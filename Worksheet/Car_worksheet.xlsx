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cuments\Custom Office Templates\"/>
    </mc:Choice>
  </mc:AlternateContent>
  <xr:revisionPtr revIDLastSave="0" documentId="13_ncr:1_{0AAF7C1F-509D-4FBB-9567-A248C867214B}" xr6:coauthVersionLast="47" xr6:coauthVersionMax="47" xr10:uidLastSave="{00000000-0000-0000-0000-000000000000}"/>
  <bookViews>
    <workbookView xWindow="-110" yWindow="-110" windowWidth="19420" windowHeight="10420" tabRatio="719" activeTab="5" xr2:uid="{58A02DF5-E785-49ED-9B7B-8C7AE1A41431}"/>
  </bookViews>
  <sheets>
    <sheet name="Car_Dataset" sheetId="1" r:id="rId1"/>
    <sheet name="Pivot" sheetId="2" r:id="rId2"/>
    <sheet name="EnginePrice" sheetId="18" r:id="rId3"/>
    <sheet name="KPI" sheetId="17" r:id="rId4"/>
    <sheet name="BrandPrice" sheetId="12" r:id="rId5"/>
    <sheet name="Dasboard" sheetId="11" r:id="rId6"/>
    <sheet name="Cal_brand" sheetId="7" r:id="rId7"/>
  </sheets>
  <definedNames>
    <definedName name="_xlnm._FilterDatabase" localSheetId="6" hidden="1">Cal_brand!$O$2:$Q$2501</definedName>
    <definedName name="_xlcn.WorksheetConnection_Cal_brandK8K25081" hidden="1">Cal_brand!$K$8:$K$2508</definedName>
    <definedName name="ExternalData_1" localSheetId="0" hidden="1">Car_Dataset!$A$1:$J$2501</definedName>
    <definedName name="Slicer_Brand">#N/A</definedName>
    <definedName name="Slicer_Condition">#N/A</definedName>
    <definedName name="Slicer_Fuel_Type2">#N/A</definedName>
  </definedNames>
  <calcPr calcId="191029"/>
  <pivotCaches>
    <pivotCache cacheId="5681" r:id="rId8"/>
    <pivotCache cacheId="5684" r:id="rId9"/>
    <pivotCache cacheId="5687" r:id="rId10"/>
    <pivotCache cacheId="5690" r:id="rId11"/>
    <pivotCache cacheId="6659" r:id="rId12"/>
    <pivotCache cacheId="6662" r:id="rId13"/>
    <pivotCache cacheId="6689" r:id="rId14"/>
    <pivotCache cacheId="6722" r:id="rId15"/>
    <pivotCache cacheId="6725" r:id="rId16"/>
    <pivotCache cacheId="6728" r:id="rId17"/>
    <pivotCache cacheId="6731" r:id="rId18"/>
    <pivotCache cacheId="6734" r:id="rId19"/>
    <pivotCache cacheId="6737" r:id="rId20"/>
    <pivotCache cacheId="6740" r:id="rId21"/>
    <pivotCache cacheId="6743" r:id="rId22"/>
  </pivotCaches>
  <extLst>
    <ext xmlns:x14="http://schemas.microsoft.com/office/spreadsheetml/2009/9/main" uri="{876F7934-8845-4945-9796-88D515C7AA90}">
      <x14:pivotCaches>
        <pivotCache cacheId="15"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_price_prediction__d27f097b-2bf3-4ef5-a6c6-d4b65ec3ff4c" name="car_price_prediction_" connection="Query - car_price_prediction_"/>
          <x15:modelTable id="Range" name="Range" connection="WorksheetConnection_Cal_brand!$K$8:$K$250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18" l="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E603" i="18"/>
  <c r="E604" i="18"/>
  <c r="E605" i="18"/>
  <c r="E606" i="18"/>
  <c r="E607" i="18"/>
  <c r="E608" i="18"/>
  <c r="E609" i="18"/>
  <c r="E610" i="18"/>
  <c r="E611" i="18"/>
  <c r="E612" i="18"/>
  <c r="E613" i="18"/>
  <c r="E614" i="18"/>
  <c r="E615" i="18"/>
  <c r="E616" i="18"/>
  <c r="E617" i="18"/>
  <c r="E618" i="18"/>
  <c r="E619" i="18"/>
  <c r="E620" i="18"/>
  <c r="E621" i="18"/>
  <c r="E622" i="18"/>
  <c r="E623" i="18"/>
  <c r="E624" i="18"/>
  <c r="E625" i="18"/>
  <c r="E626" i="18"/>
  <c r="E627" i="18"/>
  <c r="E628" i="18"/>
  <c r="E629" i="18"/>
  <c r="E630" i="18"/>
  <c r="E631" i="18"/>
  <c r="E632" i="18"/>
  <c r="E633" i="18"/>
  <c r="E634" i="18"/>
  <c r="E635" i="18"/>
  <c r="E636" i="18"/>
  <c r="E637" i="18"/>
  <c r="E638" i="18"/>
  <c r="E639" i="18"/>
  <c r="E640" i="18"/>
  <c r="E641" i="18"/>
  <c r="E642" i="18"/>
  <c r="E643" i="18"/>
  <c r="E644" i="18"/>
  <c r="E645" i="18"/>
  <c r="E646" i="18"/>
  <c r="E647" i="18"/>
  <c r="E648" i="18"/>
  <c r="E649" i="18"/>
  <c r="E650" i="18"/>
  <c r="E651" i="18"/>
  <c r="E652" i="18"/>
  <c r="E653" i="18"/>
  <c r="E654" i="18"/>
  <c r="E655" i="18"/>
  <c r="E656" i="18"/>
  <c r="E657" i="18"/>
  <c r="E658" i="18"/>
  <c r="E659" i="18"/>
  <c r="E660" i="18"/>
  <c r="E661" i="18"/>
  <c r="E662" i="18"/>
  <c r="E663" i="18"/>
  <c r="E664" i="18"/>
  <c r="E665" i="18"/>
  <c r="E666" i="18"/>
  <c r="E667" i="18"/>
  <c r="E668" i="18"/>
  <c r="E669" i="18"/>
  <c r="E670" i="18"/>
  <c r="E671" i="18"/>
  <c r="E672" i="18"/>
  <c r="E673" i="18"/>
  <c r="E674" i="18"/>
  <c r="E675" i="18"/>
  <c r="E676" i="18"/>
  <c r="E677" i="18"/>
  <c r="E678" i="18"/>
  <c r="E679" i="18"/>
  <c r="E680" i="18"/>
  <c r="E681" i="18"/>
  <c r="E682" i="18"/>
  <c r="E683" i="18"/>
  <c r="E684" i="18"/>
  <c r="E685" i="18"/>
  <c r="E686" i="18"/>
  <c r="E687" i="18"/>
  <c r="E688" i="18"/>
  <c r="E689" i="18"/>
  <c r="E690" i="18"/>
  <c r="E691" i="18"/>
  <c r="E692" i="18"/>
  <c r="E693" i="18"/>
  <c r="E694" i="18"/>
  <c r="E695" i="18"/>
  <c r="E696" i="18"/>
  <c r="E697" i="18"/>
  <c r="E698" i="18"/>
  <c r="E699" i="18"/>
  <c r="E700" i="18"/>
  <c r="E701" i="18"/>
  <c r="E702" i="18"/>
  <c r="E703" i="18"/>
  <c r="E704" i="18"/>
  <c r="E705" i="18"/>
  <c r="E706" i="18"/>
  <c r="E707" i="18"/>
  <c r="E708" i="18"/>
  <c r="E709" i="18"/>
  <c r="E710" i="18"/>
  <c r="E711" i="18"/>
  <c r="E712" i="18"/>
  <c r="E713" i="18"/>
  <c r="E714" i="18"/>
  <c r="E715" i="18"/>
  <c r="E716" i="18"/>
  <c r="E717" i="18"/>
  <c r="E718" i="18"/>
  <c r="E719" i="18"/>
  <c r="E720" i="18"/>
  <c r="E721" i="18"/>
  <c r="E722" i="18"/>
  <c r="E723" i="18"/>
  <c r="E724" i="18"/>
  <c r="E725" i="18"/>
  <c r="E726" i="18"/>
  <c r="E727" i="18"/>
  <c r="E728" i="18"/>
  <c r="E729" i="18"/>
  <c r="E730" i="18"/>
  <c r="E731" i="18"/>
  <c r="E732" i="18"/>
  <c r="E733" i="18"/>
  <c r="E734" i="18"/>
  <c r="E735" i="18"/>
  <c r="E736" i="18"/>
  <c r="E737" i="18"/>
  <c r="E738" i="18"/>
  <c r="E739" i="18"/>
  <c r="E740" i="18"/>
  <c r="E741" i="18"/>
  <c r="E742" i="18"/>
  <c r="E743" i="18"/>
  <c r="E744" i="18"/>
  <c r="E745" i="18"/>
  <c r="E746" i="18"/>
  <c r="E747" i="18"/>
  <c r="E748" i="18"/>
  <c r="E749" i="18"/>
  <c r="E750" i="18"/>
  <c r="E751" i="18"/>
  <c r="E752" i="18"/>
  <c r="E753" i="18"/>
  <c r="E754" i="18"/>
  <c r="E755" i="18"/>
  <c r="E756" i="18"/>
  <c r="E757" i="18"/>
  <c r="E758" i="18"/>
  <c r="E759" i="18"/>
  <c r="E760" i="18"/>
  <c r="E761" i="18"/>
  <c r="E762" i="18"/>
  <c r="E763" i="18"/>
  <c r="E764" i="18"/>
  <c r="E765" i="18"/>
  <c r="E766" i="18"/>
  <c r="E767" i="18"/>
  <c r="E768" i="18"/>
  <c r="E769" i="18"/>
  <c r="E770" i="18"/>
  <c r="E771" i="18"/>
  <c r="E772" i="18"/>
  <c r="E773" i="18"/>
  <c r="E774" i="18"/>
  <c r="E775" i="18"/>
  <c r="E776" i="18"/>
  <c r="E777" i="18"/>
  <c r="E778" i="18"/>
  <c r="E779" i="18"/>
  <c r="E780" i="18"/>
  <c r="E781" i="18"/>
  <c r="E782" i="18"/>
  <c r="E783" i="18"/>
  <c r="E784" i="18"/>
  <c r="E785" i="18"/>
  <c r="E786" i="18"/>
  <c r="E787" i="18"/>
  <c r="E788" i="18"/>
  <c r="E789" i="18"/>
  <c r="E790" i="18"/>
  <c r="E791" i="18"/>
  <c r="E792" i="18"/>
  <c r="E793" i="18"/>
  <c r="E794" i="18"/>
  <c r="E795" i="18"/>
  <c r="E796" i="18"/>
  <c r="E797" i="18"/>
  <c r="E798" i="18"/>
  <c r="E799" i="18"/>
  <c r="E800" i="18"/>
  <c r="E801" i="18"/>
  <c r="E802" i="18"/>
  <c r="E803" i="18"/>
  <c r="E804" i="18"/>
  <c r="E805" i="18"/>
  <c r="E806" i="18"/>
  <c r="E807" i="18"/>
  <c r="E808" i="18"/>
  <c r="E809" i="18"/>
  <c r="E810" i="18"/>
  <c r="E811" i="18"/>
  <c r="E812" i="18"/>
  <c r="E813" i="18"/>
  <c r="E814" i="18"/>
  <c r="E815" i="18"/>
  <c r="E816" i="18"/>
  <c r="E817" i="18"/>
  <c r="E818" i="18"/>
  <c r="E819" i="18"/>
  <c r="E820" i="18"/>
  <c r="E821" i="18"/>
  <c r="E822" i="18"/>
  <c r="E823" i="18"/>
  <c r="E824" i="18"/>
  <c r="E825" i="18"/>
  <c r="E826" i="18"/>
  <c r="E827" i="18"/>
  <c r="E828" i="18"/>
  <c r="E829" i="18"/>
  <c r="E830" i="18"/>
  <c r="E831" i="18"/>
  <c r="E832" i="18"/>
  <c r="E833" i="18"/>
  <c r="E834" i="18"/>
  <c r="E835" i="18"/>
  <c r="E836" i="18"/>
  <c r="E837" i="18"/>
  <c r="E838" i="18"/>
  <c r="E839" i="18"/>
  <c r="E840" i="18"/>
  <c r="E841" i="18"/>
  <c r="E842" i="18"/>
  <c r="E843" i="18"/>
  <c r="E844" i="18"/>
  <c r="E845" i="18"/>
  <c r="E846" i="18"/>
  <c r="E847" i="18"/>
  <c r="E848" i="18"/>
  <c r="E849" i="18"/>
  <c r="E850" i="18"/>
  <c r="E851" i="18"/>
  <c r="E852" i="18"/>
  <c r="E853" i="18"/>
  <c r="E854" i="18"/>
  <c r="E855" i="18"/>
  <c r="E856" i="18"/>
  <c r="E857" i="18"/>
  <c r="E858" i="18"/>
  <c r="E859" i="18"/>
  <c r="E860" i="18"/>
  <c r="E861" i="18"/>
  <c r="E862" i="18"/>
  <c r="E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D354" i="18"/>
  <c r="D355" i="18"/>
  <c r="D356" i="18"/>
  <c r="D357" i="18"/>
  <c r="D358" i="18"/>
  <c r="D359" i="18"/>
  <c r="D360" i="18"/>
  <c r="D361" i="18"/>
  <c r="D362" i="18"/>
  <c r="D363" i="18"/>
  <c r="D364" i="18"/>
  <c r="D365" i="18"/>
  <c r="D366" i="18"/>
  <c r="D367" i="18"/>
  <c r="D368" i="18"/>
  <c r="D369" i="18"/>
  <c r="D370" i="18"/>
  <c r="D371" i="18"/>
  <c r="D372" i="18"/>
  <c r="D373" i="18"/>
  <c r="D374" i="18"/>
  <c r="D375" i="18"/>
  <c r="D376" i="18"/>
  <c r="D377" i="18"/>
  <c r="D378" i="18"/>
  <c r="D379" i="18"/>
  <c r="D380" i="18"/>
  <c r="D381" i="18"/>
  <c r="D382" i="18"/>
  <c r="D383" i="18"/>
  <c r="D384" i="18"/>
  <c r="D385" i="18"/>
  <c r="D386" i="18"/>
  <c r="D387" i="18"/>
  <c r="D388" i="18"/>
  <c r="D389" i="18"/>
  <c r="D390" i="18"/>
  <c r="D391" i="18"/>
  <c r="D392" i="18"/>
  <c r="D393" i="18"/>
  <c r="D394" i="18"/>
  <c r="D395" i="18"/>
  <c r="D396" i="18"/>
  <c r="D397" i="18"/>
  <c r="D398" i="18"/>
  <c r="D399" i="18"/>
  <c r="D400" i="18"/>
  <c r="D401" i="18"/>
  <c r="D402" i="18"/>
  <c r="D403" i="18"/>
  <c r="D404" i="18"/>
  <c r="D405" i="18"/>
  <c r="D406" i="18"/>
  <c r="D407" i="18"/>
  <c r="D408" i="18"/>
  <c r="D409" i="18"/>
  <c r="D410" i="18"/>
  <c r="D411" i="18"/>
  <c r="D412" i="18"/>
  <c r="D413" i="18"/>
  <c r="D414" i="18"/>
  <c r="D415" i="18"/>
  <c r="D416" i="18"/>
  <c r="D417" i="18"/>
  <c r="D418" i="18"/>
  <c r="D419" i="18"/>
  <c r="D420" i="18"/>
  <c r="D421" i="18"/>
  <c r="D422" i="18"/>
  <c r="D423" i="18"/>
  <c r="D424" i="18"/>
  <c r="D425" i="18"/>
  <c r="D426" i="18"/>
  <c r="D427" i="18"/>
  <c r="D428" i="18"/>
  <c r="D429" i="18"/>
  <c r="D430" i="18"/>
  <c r="D431" i="18"/>
  <c r="D432" i="18"/>
  <c r="D433" i="18"/>
  <c r="D434" i="18"/>
  <c r="D435" i="18"/>
  <c r="D436" i="18"/>
  <c r="D437" i="18"/>
  <c r="D438" i="18"/>
  <c r="D439" i="18"/>
  <c r="D440" i="18"/>
  <c r="D441" i="18"/>
  <c r="D442" i="18"/>
  <c r="D443" i="18"/>
  <c r="D444" i="18"/>
  <c r="D445" i="18"/>
  <c r="D446" i="18"/>
  <c r="D447" i="18"/>
  <c r="D448" i="18"/>
  <c r="D449" i="18"/>
  <c r="D450" i="18"/>
  <c r="D451" i="18"/>
  <c r="D452" i="18"/>
  <c r="D453" i="18"/>
  <c r="D454" i="18"/>
  <c r="D455" i="18"/>
  <c r="D456" i="18"/>
  <c r="D457" i="18"/>
  <c r="D458" i="18"/>
  <c r="D459" i="18"/>
  <c r="D460" i="18"/>
  <c r="D461" i="18"/>
  <c r="D462" i="18"/>
  <c r="D463" i="18"/>
  <c r="D464" i="18"/>
  <c r="D465" i="18"/>
  <c r="D466" i="18"/>
  <c r="D467" i="18"/>
  <c r="D468" i="18"/>
  <c r="D469" i="18"/>
  <c r="D470" i="18"/>
  <c r="D471" i="18"/>
  <c r="D472" i="18"/>
  <c r="D473" i="18"/>
  <c r="D474" i="18"/>
  <c r="D475" i="18"/>
  <c r="D476" i="18"/>
  <c r="D477" i="18"/>
  <c r="D478" i="18"/>
  <c r="D479" i="18"/>
  <c r="D480" i="18"/>
  <c r="D481" i="18"/>
  <c r="D482" i="18"/>
  <c r="D483" i="18"/>
  <c r="D484" i="18"/>
  <c r="D485" i="18"/>
  <c r="D486" i="18"/>
  <c r="D487" i="18"/>
  <c r="D488" i="18"/>
  <c r="D489" i="18"/>
  <c r="D490" i="18"/>
  <c r="D491" i="18"/>
  <c r="D492" i="18"/>
  <c r="D493" i="18"/>
  <c r="D494" i="18"/>
  <c r="D495" i="18"/>
  <c r="D496" i="18"/>
  <c r="D497" i="18"/>
  <c r="D498" i="18"/>
  <c r="D499" i="18"/>
  <c r="D500" i="18"/>
  <c r="D501" i="18"/>
  <c r="D502" i="18"/>
  <c r="D503" i="18"/>
  <c r="D504" i="18"/>
  <c r="D505" i="18"/>
  <c r="D506" i="18"/>
  <c r="D507" i="18"/>
  <c r="D508" i="18"/>
  <c r="D509" i="18"/>
  <c r="D510" i="18"/>
  <c r="D511" i="18"/>
  <c r="D512" i="18"/>
  <c r="D513" i="18"/>
  <c r="D514" i="18"/>
  <c r="D515" i="18"/>
  <c r="D516" i="18"/>
  <c r="D517" i="18"/>
  <c r="D518" i="18"/>
  <c r="D519" i="18"/>
  <c r="D520" i="18"/>
  <c r="D521" i="18"/>
  <c r="D522" i="18"/>
  <c r="D523" i="18"/>
  <c r="D524" i="18"/>
  <c r="D525" i="18"/>
  <c r="D526" i="18"/>
  <c r="D527" i="18"/>
  <c r="D528" i="18"/>
  <c r="D529" i="18"/>
  <c r="D530" i="18"/>
  <c r="D531" i="18"/>
  <c r="D532" i="18"/>
  <c r="D533" i="18"/>
  <c r="D534" i="18"/>
  <c r="D535" i="18"/>
  <c r="D536" i="18"/>
  <c r="D537" i="18"/>
  <c r="D538" i="18"/>
  <c r="D539" i="18"/>
  <c r="D540" i="18"/>
  <c r="D541" i="18"/>
  <c r="D542" i="18"/>
  <c r="D543" i="18"/>
  <c r="D544" i="18"/>
  <c r="D545" i="18"/>
  <c r="D546" i="18"/>
  <c r="D547" i="18"/>
  <c r="D548" i="18"/>
  <c r="D549" i="18"/>
  <c r="D550" i="18"/>
  <c r="D551" i="18"/>
  <c r="D552" i="18"/>
  <c r="D553" i="18"/>
  <c r="D554" i="18"/>
  <c r="D555" i="18"/>
  <c r="D556" i="18"/>
  <c r="D557" i="18"/>
  <c r="D558" i="18"/>
  <c r="D559" i="18"/>
  <c r="D560" i="18"/>
  <c r="D561" i="18"/>
  <c r="D562" i="18"/>
  <c r="D563" i="18"/>
  <c r="D564" i="18"/>
  <c r="D565" i="18"/>
  <c r="D566" i="18"/>
  <c r="D567" i="18"/>
  <c r="D568" i="18"/>
  <c r="D569" i="18"/>
  <c r="D570" i="18"/>
  <c r="D571" i="18"/>
  <c r="D572" i="18"/>
  <c r="D573" i="18"/>
  <c r="D574" i="18"/>
  <c r="D575" i="18"/>
  <c r="D576" i="18"/>
  <c r="D577" i="18"/>
  <c r="D578" i="18"/>
  <c r="D579" i="18"/>
  <c r="D580" i="18"/>
  <c r="D581" i="18"/>
  <c r="D582" i="18"/>
  <c r="D583" i="18"/>
  <c r="D584" i="18"/>
  <c r="D585" i="18"/>
  <c r="D586" i="18"/>
  <c r="D587" i="18"/>
  <c r="D588" i="18"/>
  <c r="D589" i="18"/>
  <c r="D590" i="18"/>
  <c r="D591" i="18"/>
  <c r="D592" i="18"/>
  <c r="D593" i="18"/>
  <c r="D594" i="18"/>
  <c r="D595" i="18"/>
  <c r="D596" i="18"/>
  <c r="D597" i="18"/>
  <c r="D598" i="18"/>
  <c r="D599" i="18"/>
  <c r="D600" i="18"/>
  <c r="D601" i="18"/>
  <c r="D602" i="18"/>
  <c r="D603" i="18"/>
  <c r="D604" i="18"/>
  <c r="D605" i="18"/>
  <c r="D606" i="18"/>
  <c r="D607" i="18"/>
  <c r="D608" i="18"/>
  <c r="D609" i="18"/>
  <c r="D610" i="18"/>
  <c r="D611" i="18"/>
  <c r="D612" i="18"/>
  <c r="D613" i="18"/>
  <c r="D614" i="18"/>
  <c r="D615" i="18"/>
  <c r="D616" i="18"/>
  <c r="D617" i="18"/>
  <c r="D618" i="18"/>
  <c r="D619" i="18"/>
  <c r="D620" i="18"/>
  <c r="D621" i="18"/>
  <c r="D622" i="18"/>
  <c r="D623" i="18"/>
  <c r="D624" i="18"/>
  <c r="D625" i="18"/>
  <c r="D626" i="18"/>
  <c r="D627" i="18"/>
  <c r="D628" i="18"/>
  <c r="D629" i="18"/>
  <c r="D630" i="18"/>
  <c r="D631" i="18"/>
  <c r="D632" i="18"/>
  <c r="D633" i="18"/>
  <c r="D634" i="18"/>
  <c r="D635" i="18"/>
  <c r="D636" i="18"/>
  <c r="D637" i="18"/>
  <c r="D638" i="18"/>
  <c r="D639" i="18"/>
  <c r="D640" i="18"/>
  <c r="D641" i="18"/>
  <c r="D642" i="18"/>
  <c r="D643" i="18"/>
  <c r="D644" i="18"/>
  <c r="D645" i="18"/>
  <c r="D646" i="18"/>
  <c r="D647" i="18"/>
  <c r="D648" i="18"/>
  <c r="D649" i="18"/>
  <c r="D650" i="18"/>
  <c r="D651" i="18"/>
  <c r="D652" i="18"/>
  <c r="D653" i="18"/>
  <c r="D654" i="18"/>
  <c r="D655" i="18"/>
  <c r="D656" i="18"/>
  <c r="D657" i="18"/>
  <c r="D658" i="18"/>
  <c r="D659" i="18"/>
  <c r="D660" i="18"/>
  <c r="D661" i="18"/>
  <c r="D662" i="18"/>
  <c r="D663" i="18"/>
  <c r="D664" i="18"/>
  <c r="D665" i="18"/>
  <c r="D666" i="18"/>
  <c r="D667" i="18"/>
  <c r="D668" i="18"/>
  <c r="D669" i="18"/>
  <c r="D670" i="18"/>
  <c r="D671" i="18"/>
  <c r="D672" i="18"/>
  <c r="D673" i="18"/>
  <c r="D674" i="18"/>
  <c r="D675" i="18"/>
  <c r="D676" i="18"/>
  <c r="D677" i="18"/>
  <c r="D678" i="18"/>
  <c r="D679" i="18"/>
  <c r="D680" i="18"/>
  <c r="D681" i="18"/>
  <c r="D682" i="18"/>
  <c r="D683" i="18"/>
  <c r="D684" i="18"/>
  <c r="D685" i="18"/>
  <c r="D686" i="18"/>
  <c r="D687" i="18"/>
  <c r="D688" i="18"/>
  <c r="D689" i="18"/>
  <c r="D690" i="18"/>
  <c r="D691" i="18"/>
  <c r="D692" i="18"/>
  <c r="D693" i="18"/>
  <c r="D694" i="18"/>
  <c r="D695" i="18"/>
  <c r="D696" i="18"/>
  <c r="D697" i="18"/>
  <c r="D698" i="18"/>
  <c r="D699" i="18"/>
  <c r="D700" i="18"/>
  <c r="D701" i="18"/>
  <c r="D702" i="18"/>
  <c r="D703" i="18"/>
  <c r="D704" i="18"/>
  <c r="D705" i="18"/>
  <c r="D706" i="18"/>
  <c r="D707" i="18"/>
  <c r="D708" i="18"/>
  <c r="D709" i="18"/>
  <c r="D710" i="18"/>
  <c r="D711" i="18"/>
  <c r="D712" i="18"/>
  <c r="D713" i="18"/>
  <c r="D714" i="18"/>
  <c r="D715" i="18"/>
  <c r="D716" i="18"/>
  <c r="D717" i="18"/>
  <c r="D718" i="18"/>
  <c r="D719" i="18"/>
  <c r="D720" i="18"/>
  <c r="D721" i="18"/>
  <c r="D722" i="18"/>
  <c r="D723" i="18"/>
  <c r="D724" i="18"/>
  <c r="D725" i="18"/>
  <c r="D726" i="18"/>
  <c r="D727" i="18"/>
  <c r="D728" i="18"/>
  <c r="D729" i="18"/>
  <c r="D730" i="18"/>
  <c r="D731" i="18"/>
  <c r="D732" i="18"/>
  <c r="D733" i="18"/>
  <c r="D734" i="18"/>
  <c r="D735" i="18"/>
  <c r="D736" i="18"/>
  <c r="D737" i="18"/>
  <c r="D738" i="18"/>
  <c r="D739" i="18"/>
  <c r="D740" i="18"/>
  <c r="D741" i="18"/>
  <c r="D742" i="18"/>
  <c r="D743" i="18"/>
  <c r="D744" i="18"/>
  <c r="D745" i="18"/>
  <c r="D746" i="18"/>
  <c r="D747" i="18"/>
  <c r="D748" i="18"/>
  <c r="D749" i="18"/>
  <c r="D750" i="18"/>
  <c r="D751" i="18"/>
  <c r="D752" i="18"/>
  <c r="D753" i="18"/>
  <c r="D754" i="18"/>
  <c r="D755" i="18"/>
  <c r="D756" i="18"/>
  <c r="D757" i="18"/>
  <c r="D758" i="18"/>
  <c r="D759" i="18"/>
  <c r="D760" i="18"/>
  <c r="D761" i="18"/>
  <c r="D762" i="18"/>
  <c r="D763" i="18"/>
  <c r="D764" i="18"/>
  <c r="D765" i="18"/>
  <c r="D766" i="18"/>
  <c r="D767" i="18"/>
  <c r="D768" i="18"/>
  <c r="D769" i="18"/>
  <c r="D770" i="18"/>
  <c r="D771" i="18"/>
  <c r="D772" i="18"/>
  <c r="D773" i="18"/>
  <c r="D774" i="18"/>
  <c r="D775" i="18"/>
  <c r="D776" i="18"/>
  <c r="D777" i="18"/>
  <c r="D778" i="18"/>
  <c r="D779" i="18"/>
  <c r="D780" i="18"/>
  <c r="D781" i="18"/>
  <c r="D782" i="18"/>
  <c r="D783" i="18"/>
  <c r="D784" i="18"/>
  <c r="D785" i="18"/>
  <c r="D786" i="18"/>
  <c r="D787" i="18"/>
  <c r="D788" i="18"/>
  <c r="D789" i="18"/>
  <c r="D790" i="18"/>
  <c r="D791" i="18"/>
  <c r="D792" i="18"/>
  <c r="D793" i="18"/>
  <c r="D794" i="18"/>
  <c r="D795" i="18"/>
  <c r="D796" i="18"/>
  <c r="D797" i="18"/>
  <c r="D798" i="18"/>
  <c r="D799" i="18"/>
  <c r="D800" i="18"/>
  <c r="D801" i="18"/>
  <c r="D802" i="18"/>
  <c r="D803" i="18"/>
  <c r="D804" i="18"/>
  <c r="D805" i="18"/>
  <c r="D806" i="18"/>
  <c r="D807" i="18"/>
  <c r="D808" i="18"/>
  <c r="D809" i="18"/>
  <c r="D810" i="18"/>
  <c r="D811" i="18"/>
  <c r="D812" i="18"/>
  <c r="D813" i="18"/>
  <c r="D814" i="18"/>
  <c r="D815" i="18"/>
  <c r="D816" i="18"/>
  <c r="D817" i="18"/>
  <c r="D818" i="18"/>
  <c r="D819" i="18"/>
  <c r="D820" i="18"/>
  <c r="D821" i="18"/>
  <c r="D822" i="18"/>
  <c r="D823" i="18"/>
  <c r="D824" i="18"/>
  <c r="D825" i="18"/>
  <c r="D826" i="18"/>
  <c r="D827" i="18"/>
  <c r="D828" i="18"/>
  <c r="D829" i="18"/>
  <c r="D830" i="18"/>
  <c r="D831" i="18"/>
  <c r="D832" i="18"/>
  <c r="D833" i="18"/>
  <c r="D834" i="18"/>
  <c r="D835" i="18"/>
  <c r="D836" i="18"/>
  <c r="D837" i="18"/>
  <c r="D838" i="18"/>
  <c r="D839" i="18"/>
  <c r="D840" i="18"/>
  <c r="D841" i="18"/>
  <c r="D842" i="18"/>
  <c r="D843" i="18"/>
  <c r="D844" i="18"/>
  <c r="D845" i="18"/>
  <c r="D846" i="18"/>
  <c r="D847" i="18"/>
  <c r="D848" i="18"/>
  <c r="D849" i="18"/>
  <c r="D850" i="18"/>
  <c r="D851" i="18"/>
  <c r="D852" i="18"/>
  <c r="D853" i="18"/>
  <c r="D854" i="18"/>
  <c r="D855" i="18"/>
  <c r="D856" i="18"/>
  <c r="D857" i="18"/>
  <c r="D858" i="18"/>
  <c r="D859" i="18"/>
  <c r="D860" i="18"/>
  <c r="D861" i="18"/>
  <c r="D862" i="18"/>
  <c r="D4" i="18"/>
  <c r="S3" i="7" l="1"/>
  <c r="S4" i="7"/>
  <c r="S5" i="7"/>
  <c r="S6" i="7"/>
  <c r="S7" i="7"/>
  <c r="S8" i="7"/>
  <c r="S9" i="7"/>
  <c r="S10" i="7"/>
  <c r="S11" i="7"/>
  <c r="S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 i="7"/>
  <c r="L4" i="7"/>
  <c r="O3" i="7"/>
  <c r="L5" i="7"/>
  <c r="L6" i="7"/>
  <c r="H5" i="7" l="1"/>
  <c r="H4" i="7"/>
  <c r="H3" i="7"/>
  <c r="H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B3FE53-EBB0-458D-AEC5-129907B167D8}" keepAlive="1" name="ModelConnection_ExternalData_1" description="Data Model" type="5" refreshedVersion="8" minRefreshableVersion="5" saveData="1">
    <dbPr connection="Data Model Connection" command="car_price_prediction_" commandType="3"/>
    <extLst>
      <ext xmlns:x15="http://schemas.microsoft.com/office/spreadsheetml/2010/11/main" uri="{DE250136-89BD-433C-8126-D09CA5730AF9}">
        <x15:connection id="" model="1"/>
      </ext>
    </extLst>
  </connection>
  <connection id="2" xr16:uid="{E7BF03D2-96E9-4234-9466-F8536529DBE9}" name="Query - car_price_prediction_" description="Connection to the 'car_price_prediction_' query in the workbook." type="100" refreshedVersion="8" minRefreshableVersion="5">
    <extLst>
      <ext xmlns:x15="http://schemas.microsoft.com/office/spreadsheetml/2010/11/main" uri="{DE250136-89BD-433C-8126-D09CA5730AF9}">
        <x15:connection id="4e9c0589-0016-4c0b-96e0-c3afc2c5850d"/>
      </ext>
    </extLst>
  </connection>
  <connection id="3" xr16:uid="{058B2557-75EC-4A8D-B48C-5ECC9ED0F8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FB0E26C-F65C-454E-8B3B-D1E8F5000463}" name="WorksheetConnection_Cal_brand!$K$8:$K$2508" type="102" refreshedVersion="8" minRefreshableVersion="5">
    <extLst>
      <ext xmlns:x15="http://schemas.microsoft.com/office/spreadsheetml/2010/11/main" uri="{DE250136-89BD-433C-8126-D09CA5730AF9}">
        <x15:connection id="Range" autoDelete="1">
          <x15:rangePr sourceName="_xlcn.WorksheetConnection_Cal_brandK8K25081"/>
        </x15:connection>
      </ext>
    </extLst>
  </connection>
</connections>
</file>

<file path=xl/sharedStrings.xml><?xml version="1.0" encoding="utf-8"?>
<sst xmlns="http://schemas.openxmlformats.org/spreadsheetml/2006/main" count="15107" uniqueCount="64">
  <si>
    <t>Car ID</t>
  </si>
  <si>
    <t>Brand</t>
  </si>
  <si>
    <t>Year</t>
  </si>
  <si>
    <t>Engine Size</t>
  </si>
  <si>
    <t>Mileage</t>
  </si>
  <si>
    <t>Condition</t>
  </si>
  <si>
    <t>Price</t>
  </si>
  <si>
    <t>Model</t>
  </si>
  <si>
    <t>Fuel Type2</t>
  </si>
  <si>
    <t>Transmission2</t>
  </si>
  <si>
    <t>Tesla</t>
  </si>
  <si>
    <t>New</t>
  </si>
  <si>
    <t>Model X</t>
  </si>
  <si>
    <t>Electric</t>
  </si>
  <si>
    <t>Automatic</t>
  </si>
  <si>
    <t>Like New</t>
  </si>
  <si>
    <t>Used</t>
  </si>
  <si>
    <t>Model Y</t>
  </si>
  <si>
    <t>Model 3</t>
  </si>
  <si>
    <t>Model S</t>
  </si>
  <si>
    <t>Honda</t>
  </si>
  <si>
    <t>Civic</t>
  </si>
  <si>
    <t>Manual</t>
  </si>
  <si>
    <t>Ford</t>
  </si>
  <si>
    <t>Explorer</t>
  </si>
  <si>
    <t>Audi</t>
  </si>
  <si>
    <t>Q7</t>
  </si>
  <si>
    <t>BMW</t>
  </si>
  <si>
    <t>5 Series</t>
  </si>
  <si>
    <t>Mercedes</t>
  </si>
  <si>
    <t>E-Class</t>
  </si>
  <si>
    <t>C-Class</t>
  </si>
  <si>
    <t>Mustang</t>
  </si>
  <si>
    <t>CR-V</t>
  </si>
  <si>
    <t>Focus</t>
  </si>
  <si>
    <t>Toyota</t>
  </si>
  <si>
    <t>Prius</t>
  </si>
  <si>
    <t>3 Series</t>
  </si>
  <si>
    <t>GLC</t>
  </si>
  <si>
    <t>Accord</t>
  </si>
  <si>
    <t>X5</t>
  </si>
  <si>
    <t>A4</t>
  </si>
  <si>
    <t>Fiesta</t>
  </si>
  <si>
    <t>GLA</t>
  </si>
  <si>
    <t>Q5</t>
  </si>
  <si>
    <t>Corolla</t>
  </si>
  <si>
    <t>Fit</t>
  </si>
  <si>
    <t>Camry</t>
  </si>
  <si>
    <t>X3</t>
  </si>
  <si>
    <t>A3</t>
  </si>
  <si>
    <t>RAV4</t>
  </si>
  <si>
    <t>Petrol</t>
  </si>
  <si>
    <t>Hybrid</t>
  </si>
  <si>
    <t>Diesel</t>
  </si>
  <si>
    <t>Row Labels</t>
  </si>
  <si>
    <t>Grand Total</t>
  </si>
  <si>
    <t>Count of Car ID</t>
  </si>
  <si>
    <t>Sum of Mileage</t>
  </si>
  <si>
    <t>Sum of Price</t>
  </si>
  <si>
    <t>Other</t>
  </si>
  <si>
    <t>Column Labels</t>
  </si>
  <si>
    <t>Average of Price</t>
  </si>
  <si>
    <t>MIN(J2:J2501)</t>
  </si>
  <si>
    <t>Average of Mileage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</si>
</sst>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5" tint="0.79998168889431442"/>
        <bgColor indexed="64"/>
      </patternFill>
    </fill>
    <fill>
      <patternFill patternType="solid">
        <fgColor theme="9"/>
        <bgColor theme="9"/>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1" xfId="0" applyNumberFormat="1" applyFont="1" applyFill="1" applyBorder="1"/>
    <xf numFmtId="0" fontId="0" fillId="0" borderId="1" xfId="0" applyNumberFormat="1" applyFont="1" applyBorder="1"/>
    <xf numFmtId="9" fontId="0" fillId="0" borderId="0" xfId="1" applyFont="1"/>
    <xf numFmtId="0" fontId="0" fillId="3" borderId="0" xfId="0" applyFill="1"/>
    <xf numFmtId="165" fontId="0" fillId="0" borderId="0" xfId="0" applyNumberFormat="1"/>
    <xf numFmtId="165" fontId="2" fillId="4" borderId="1" xfId="0" applyNumberFormat="1" applyFont="1" applyFill="1" applyBorder="1"/>
    <xf numFmtId="165" fontId="0" fillId="2" borderId="1" xfId="0" applyNumberFormat="1" applyFont="1" applyFill="1" applyBorder="1"/>
    <xf numFmtId="165" fontId="0" fillId="0" borderId="1" xfId="0" applyNumberFormat="1" applyFont="1" applyBorder="1"/>
  </cellXfs>
  <cellStyles count="2">
    <cellStyle name="Normal" xfId="0" builtinId="0"/>
    <cellStyle name="Percent" xfId="1" builtinId="5"/>
  </cellStyles>
  <dxfs count="8">
    <dxf>
      <numFmt numFmtId="1" formatCode="0"/>
    </dxf>
    <dxf>
      <numFmt numFmtId="1" formatCode="0"/>
    </dxf>
    <dxf>
      <numFmt numFmtId="0" formatCode="General"/>
    </dxf>
    <dxf>
      <numFmt numFmtId="165" formatCode="&quot;₹&quot;\ #,##0.00"/>
    </dxf>
    <dxf>
      <numFmt numFmtId="0" formatCode="General"/>
    </dxf>
    <dxf>
      <numFmt numFmtId="1" formatCode="0"/>
    </dxf>
    <dxf>
      <numFmt numFmtId="164" formatCod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3.xml"/><Relationship Id="rId21" Type="http://schemas.openxmlformats.org/officeDocument/2006/relationships/pivotCacheDefinition" Target="pivotCache/pivotCacheDefinition14.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Year Price Trend</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8688575186458"/>
          <c:y val="0.16945967803441839"/>
          <c:w val="0.83491192534849235"/>
          <c:h val="0.6131610302783489"/>
        </c:manualLayout>
      </c:layout>
      <c:lineChart>
        <c:grouping val="standard"/>
        <c:varyColors val="0"/>
        <c:ser>
          <c:idx val="0"/>
          <c:order val="0"/>
          <c:tx>
            <c:strRef>
              <c:f>Pivot!$N$2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Pivot!$M$3:$M$27</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Pivot!$N$3:$N$27</c:f>
              <c:numCache>
                <c:formatCode>General</c:formatCode>
                <c:ptCount val="24"/>
                <c:pt idx="0">
                  <c:v>4937757.2</c:v>
                </c:pt>
                <c:pt idx="1">
                  <c:v>5334902.29</c:v>
                </c:pt>
                <c:pt idx="2">
                  <c:v>6291722.3600000003</c:v>
                </c:pt>
                <c:pt idx="3">
                  <c:v>6166702.1100000003</c:v>
                </c:pt>
                <c:pt idx="4">
                  <c:v>5151797.6900000004</c:v>
                </c:pt>
                <c:pt idx="5">
                  <c:v>5926035.3300000001</c:v>
                </c:pt>
                <c:pt idx="6">
                  <c:v>4595633.25</c:v>
                </c:pt>
                <c:pt idx="7">
                  <c:v>6211062.3899999997</c:v>
                </c:pt>
                <c:pt idx="8">
                  <c:v>5788421.9699999997</c:v>
                </c:pt>
                <c:pt idx="9">
                  <c:v>4763946.22</c:v>
                </c:pt>
                <c:pt idx="10">
                  <c:v>5096773.24</c:v>
                </c:pt>
                <c:pt idx="11">
                  <c:v>5192901.99</c:v>
                </c:pt>
                <c:pt idx="12">
                  <c:v>6337227.3600000003</c:v>
                </c:pt>
                <c:pt idx="13">
                  <c:v>4987028.3</c:v>
                </c:pt>
                <c:pt idx="14">
                  <c:v>5908080.9199999999</c:v>
                </c:pt>
                <c:pt idx="15">
                  <c:v>4533448.5599999996</c:v>
                </c:pt>
                <c:pt idx="16">
                  <c:v>6133340.7599999998</c:v>
                </c:pt>
                <c:pt idx="17">
                  <c:v>4757431.8499999996</c:v>
                </c:pt>
                <c:pt idx="18">
                  <c:v>5579940.3399999999</c:v>
                </c:pt>
                <c:pt idx="19">
                  <c:v>5134378.92</c:v>
                </c:pt>
                <c:pt idx="20">
                  <c:v>5890372.21</c:v>
                </c:pt>
                <c:pt idx="21">
                  <c:v>5467808.0899999999</c:v>
                </c:pt>
                <c:pt idx="22">
                  <c:v>6121487.6299999999</c:v>
                </c:pt>
                <c:pt idx="23">
                  <c:v>5286855.3499999996</c:v>
                </c:pt>
              </c:numCache>
            </c:numRef>
          </c:val>
          <c:smooth val="0"/>
          <c:extLst>
            <c:ext xmlns:c16="http://schemas.microsoft.com/office/drawing/2014/chart" uri="{C3380CC4-5D6E-409C-BE32-E72D297353CC}">
              <c16:uniqueId val="{00000000-3956-466B-B432-23259AB7FD4F}"/>
            </c:ext>
          </c:extLst>
        </c:ser>
        <c:dLbls>
          <c:showLegendKey val="0"/>
          <c:showVal val="0"/>
          <c:showCatName val="0"/>
          <c:showSerName val="0"/>
          <c:showPercent val="0"/>
          <c:showBubbleSize val="0"/>
        </c:dLbls>
        <c:marker val="1"/>
        <c:smooth val="0"/>
        <c:axId val="1568489823"/>
        <c:axId val="1568495583"/>
      </c:lineChart>
      <c:catAx>
        <c:axId val="156848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8495583"/>
        <c:crosses val="autoZero"/>
        <c:auto val="1"/>
        <c:lblAlgn val="ctr"/>
        <c:lblOffset val="100"/>
        <c:noMultiLvlLbl val="0"/>
      </c:catAx>
      <c:valAx>
        <c:axId val="1568495583"/>
        <c:scaling>
          <c:orientation val="minMax"/>
          <c:min val="4000000"/>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848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Arial" panose="020B0604020202020204" pitchFamily="34" charset="0"/>
                <a:cs typeface="Arial" panose="020B0604020202020204" pitchFamily="34" charset="0"/>
              </a:rPr>
              <a:t>Brand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spPr>
            <a:ln w="0"/>
          </c:spPr>
          <c:dPt>
            <c:idx val="0"/>
            <c:bubble3D val="0"/>
            <c:spPr>
              <a:solidFill>
                <a:schemeClr val="accent1"/>
              </a:solidFill>
              <a:ln w="0">
                <a:solidFill>
                  <a:schemeClr val="lt1"/>
                </a:solidFill>
              </a:ln>
              <a:effectLst/>
            </c:spPr>
            <c:extLst>
              <c:ext xmlns:c16="http://schemas.microsoft.com/office/drawing/2014/chart" uri="{C3380CC4-5D6E-409C-BE32-E72D297353CC}">
                <c16:uniqueId val="{00000001-1DB2-4C02-B3CB-5A68FB2F9137}"/>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1DB2-4C02-B3CB-5A68FB2F9137}"/>
              </c:ext>
            </c:extLst>
          </c:dPt>
          <c:dPt>
            <c:idx val="2"/>
            <c:bubble3D val="0"/>
            <c:spPr>
              <a:solidFill>
                <a:schemeClr val="accent3"/>
              </a:solidFill>
              <a:ln w="0">
                <a:solidFill>
                  <a:schemeClr val="lt1"/>
                </a:solidFill>
              </a:ln>
              <a:effectLst/>
            </c:spPr>
            <c:extLst>
              <c:ext xmlns:c16="http://schemas.microsoft.com/office/drawing/2014/chart" uri="{C3380CC4-5D6E-409C-BE32-E72D297353CC}">
                <c16:uniqueId val="{00000005-1DB2-4C02-B3CB-5A68FB2F9137}"/>
              </c:ext>
            </c:extLst>
          </c:dPt>
          <c:dPt>
            <c:idx val="3"/>
            <c:bubble3D val="0"/>
            <c:spPr>
              <a:solidFill>
                <a:schemeClr val="accent4"/>
              </a:solidFill>
              <a:ln w="0">
                <a:solidFill>
                  <a:schemeClr val="lt1"/>
                </a:solidFill>
              </a:ln>
              <a:effectLst/>
            </c:spPr>
            <c:extLst>
              <c:ext xmlns:c16="http://schemas.microsoft.com/office/drawing/2014/chart" uri="{C3380CC4-5D6E-409C-BE32-E72D297353CC}">
                <c16:uniqueId val="{00000007-1DB2-4C02-B3CB-5A68FB2F9137}"/>
              </c:ext>
            </c:extLst>
          </c:dPt>
          <c:dLbls>
            <c:dLbl>
              <c:idx val="0"/>
              <c:layout>
                <c:manualLayout>
                  <c:x val="-0.12421289680761938"/>
                  <c:y val="8.83897055325626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B2-4C02-B3CB-5A68FB2F9137}"/>
                </c:ext>
              </c:extLst>
            </c:dLbl>
            <c:dLbl>
              <c:idx val="1"/>
              <c:layout>
                <c:manualLayout>
                  <c:x val="-0.11396936751198532"/>
                  <c:y val="-7.40493940277372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B2-4C02-B3CB-5A68FB2F9137}"/>
                </c:ext>
              </c:extLst>
            </c:dLbl>
            <c:dLbl>
              <c:idx val="2"/>
              <c:layout>
                <c:manualLayout>
                  <c:x val="-2.9450350940353184E-2"/>
                  <c:y val="-0.107357950426832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B2-4C02-B3CB-5A68FB2F9137}"/>
                </c:ext>
              </c:extLst>
            </c:dLbl>
            <c:dLbl>
              <c:idx val="3"/>
              <c:layout>
                <c:manualLayout>
                  <c:x val="0.12491444279513657"/>
                  <c:y val="6.4223395651966969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977"/>
                        <a:gd name="adj2" fmla="val -4639"/>
                      </a:avLst>
                    </a:prstGeom>
                    <a:noFill/>
                    <a:ln>
                      <a:noFill/>
                    </a:ln>
                  </c15:spPr>
                </c:ext>
                <c:ext xmlns:c16="http://schemas.microsoft.com/office/drawing/2014/chart" uri="{C3380CC4-5D6E-409C-BE32-E72D297353CC}">
                  <c16:uniqueId val="{00000007-1DB2-4C02-B3CB-5A68FB2F9137}"/>
                </c:ext>
              </c:extLst>
            </c:dLbl>
            <c:spPr>
              <a:noFill/>
              <a:ln w="6350">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Cal_brand!$G$2:$G$5</c:f>
              <c:strCache>
                <c:ptCount val="4"/>
                <c:pt idx="0">
                  <c:v>Toyota</c:v>
                </c:pt>
                <c:pt idx="1">
                  <c:v>Audi</c:v>
                </c:pt>
                <c:pt idx="2">
                  <c:v>BMW</c:v>
                </c:pt>
                <c:pt idx="3">
                  <c:v>Other</c:v>
                </c:pt>
              </c:strCache>
            </c:strRef>
          </c:cat>
          <c:val>
            <c:numRef>
              <c:f>Cal_brand!$H$2:$H$5</c:f>
              <c:numCache>
                <c:formatCode>0%</c:formatCode>
                <c:ptCount val="4"/>
                <c:pt idx="0">
                  <c:v>0.14960000000000001</c:v>
                </c:pt>
                <c:pt idx="1">
                  <c:v>0.1472</c:v>
                </c:pt>
                <c:pt idx="2">
                  <c:v>0.14319999999999999</c:v>
                </c:pt>
                <c:pt idx="3">
                  <c:v>0.56000000000000005</c:v>
                </c:pt>
              </c:numCache>
            </c:numRef>
          </c:val>
          <c:extLst>
            <c:ext xmlns:c16="http://schemas.microsoft.com/office/drawing/2014/chart" uri="{C3380CC4-5D6E-409C-BE32-E72D297353CC}">
              <c16:uniqueId val="{00000008-1DB2-4C02-B3CB-5A68FB2F9137}"/>
            </c:ext>
          </c:extLst>
        </c:ser>
        <c:dLbls>
          <c:showLegendKey val="0"/>
          <c:showVal val="0"/>
          <c:showCatName val="0"/>
          <c:showSerName val="0"/>
          <c:showPercent val="0"/>
          <c:showBubbleSize val="0"/>
          <c:showLeaderLines val="0"/>
        </c:dLbls>
        <c:firstSliceAng val="216"/>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98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[Book1.xlsx]BrandPrice!PivotTable7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Brand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7872606265901"/>
          <c:y val="0.16708333333333336"/>
          <c:w val="0.80266591057910908"/>
          <c:h val="0.65503233954609807"/>
        </c:manualLayout>
      </c:layout>
      <c:barChart>
        <c:barDir val="col"/>
        <c:grouping val="clustered"/>
        <c:varyColors val="0"/>
        <c:ser>
          <c:idx val="0"/>
          <c:order val="0"/>
          <c:tx>
            <c:strRef>
              <c:f>BrandPrice!$B$1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BrandPrice!$A$2:$A$9</c:f>
              <c:strCache>
                <c:ptCount val="7"/>
                <c:pt idx="0">
                  <c:v>Audi</c:v>
                </c:pt>
                <c:pt idx="1">
                  <c:v>BMW</c:v>
                </c:pt>
                <c:pt idx="2">
                  <c:v>Ford</c:v>
                </c:pt>
                <c:pt idx="3">
                  <c:v>Honda</c:v>
                </c:pt>
                <c:pt idx="4">
                  <c:v>Mercedes</c:v>
                </c:pt>
                <c:pt idx="5">
                  <c:v>Tesla</c:v>
                </c:pt>
                <c:pt idx="6">
                  <c:v>Toyota</c:v>
                </c:pt>
              </c:strCache>
            </c:strRef>
          </c:cat>
          <c:val>
            <c:numRef>
              <c:f>BrandPrice!$B$2:$B$9</c:f>
              <c:numCache>
                <c:formatCode>General</c:formatCode>
                <c:ptCount val="7"/>
                <c:pt idx="0">
                  <c:v>19118860.329999998</c:v>
                </c:pt>
                <c:pt idx="1">
                  <c:v>19388246.949999999</c:v>
                </c:pt>
                <c:pt idx="2">
                  <c:v>17902859.420000002</c:v>
                </c:pt>
                <c:pt idx="3">
                  <c:v>18321699.949999999</c:v>
                </c:pt>
                <c:pt idx="4">
                  <c:v>18776454.800000001</c:v>
                </c:pt>
                <c:pt idx="5">
                  <c:v>18609490.52</c:v>
                </c:pt>
                <c:pt idx="6">
                  <c:v>19477444.359999999</c:v>
                </c:pt>
              </c:numCache>
            </c:numRef>
          </c:val>
          <c:extLst>
            <c:ext xmlns:c16="http://schemas.microsoft.com/office/drawing/2014/chart" uri="{C3380CC4-5D6E-409C-BE32-E72D297353CC}">
              <c16:uniqueId val="{00000000-70E0-4A59-BB2B-9C235CEB2570}"/>
            </c:ext>
          </c:extLst>
        </c:ser>
        <c:dLbls>
          <c:dLblPos val="outEnd"/>
          <c:showLegendKey val="0"/>
          <c:showVal val="1"/>
          <c:showCatName val="0"/>
          <c:showSerName val="0"/>
          <c:showPercent val="0"/>
          <c:showBubbleSize val="0"/>
        </c:dLbls>
        <c:gapWidth val="219"/>
        <c:overlap val="-27"/>
        <c:axId val="641138223"/>
        <c:axId val="994344607"/>
      </c:barChart>
      <c:catAx>
        <c:axId val="64113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4344607"/>
        <c:crosses val="autoZero"/>
        <c:auto val="1"/>
        <c:lblAlgn val="ctr"/>
        <c:lblOffset val="100"/>
        <c:noMultiLvlLbl val="0"/>
      </c:catAx>
      <c:valAx>
        <c:axId val="994344607"/>
        <c:scaling>
          <c:orientation val="minMax"/>
        </c:scaling>
        <c:delete val="0"/>
        <c:axPos val="l"/>
        <c:majorGridlines>
          <c:spPr>
            <a:ln w="9525" cap="flat" cmpd="sng" algn="ctr">
              <a:solidFill>
                <a:schemeClr val="accent2">
                  <a:lumMod val="75000"/>
                  <a:alpha val="97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113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panose="020B0604020202020204" pitchFamily="34" charset="0"/>
                <a:cs typeface="Arial" panose="020B0604020202020204" pitchFamily="34" charset="0"/>
              </a:rPr>
              <a:t>Condition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4050304138773745"/>
              <c:y val="0.1606453928612324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71396768471862"/>
                  <c:h val="0.195132871978414"/>
                </c:manualLayout>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80-4C98-A6C0-3298137516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80-4C98-A6C0-3298137516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80-4C98-A6C0-32981375163A}"/>
              </c:ext>
            </c:extLst>
          </c:dPt>
          <c:dLbls>
            <c:dLbl>
              <c:idx val="0"/>
              <c:layout>
                <c:manualLayout>
                  <c:x val="-0.14050304138773745"/>
                  <c:y val="0.1606453928612324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271396768471862"/>
                      <c:h val="0.195132871978414"/>
                    </c:manualLayout>
                  </c15:layout>
                </c:ext>
                <c:ext xmlns:c16="http://schemas.microsoft.com/office/drawing/2014/chart" uri="{C3380CC4-5D6E-409C-BE32-E72D297353CC}">
                  <c16:uniqueId val="{00000001-1580-4C98-A6C0-32981375163A}"/>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Pivot!$C$13:$C$16</c:f>
              <c:strCache>
                <c:ptCount val="3"/>
                <c:pt idx="0">
                  <c:v>Like New</c:v>
                </c:pt>
                <c:pt idx="1">
                  <c:v>New</c:v>
                </c:pt>
                <c:pt idx="2">
                  <c:v>Used</c:v>
                </c:pt>
              </c:strCache>
            </c:strRef>
          </c:cat>
          <c:val>
            <c:numRef>
              <c:f>Pivot!$D$13:$D$16</c:f>
              <c:numCache>
                <c:formatCode>General</c:formatCode>
                <c:ptCount val="3"/>
                <c:pt idx="0">
                  <c:v>836</c:v>
                </c:pt>
                <c:pt idx="1">
                  <c:v>809</c:v>
                </c:pt>
                <c:pt idx="2">
                  <c:v>855</c:v>
                </c:pt>
              </c:numCache>
            </c:numRef>
          </c:val>
          <c:extLst>
            <c:ext xmlns:c16="http://schemas.microsoft.com/office/drawing/2014/chart" uri="{C3380CC4-5D6E-409C-BE32-E72D297353CC}">
              <c16:uniqueId val="{00000006-1580-4C98-A6C0-32981375163A}"/>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rial" panose="020B0604020202020204" pitchFamily="34" charset="0"/>
                <a:cs typeface="Arial" panose="020B0604020202020204" pitchFamily="34" charset="0"/>
              </a:rPr>
              <a:t>Total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1F-4B97-B601-16BEE0329C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1F-4B97-B601-16BEE0329C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1F-4B97-B601-16BEE0329C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1F-4B97-B601-16BEE0329C4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Pivot!$A$2:$A$6</c:f>
              <c:strCache>
                <c:ptCount val="4"/>
                <c:pt idx="0">
                  <c:v>Diesel</c:v>
                </c:pt>
                <c:pt idx="1">
                  <c:v>Electric</c:v>
                </c:pt>
                <c:pt idx="2">
                  <c:v>Hybrid</c:v>
                </c:pt>
                <c:pt idx="3">
                  <c:v>Petrol</c:v>
                </c:pt>
              </c:strCache>
            </c:strRef>
          </c:cat>
          <c:val>
            <c:numRef>
              <c:f>Pivot!$B$2:$B$6</c:f>
              <c:numCache>
                <c:formatCode>General</c:formatCode>
                <c:ptCount val="4"/>
                <c:pt idx="0">
                  <c:v>567</c:v>
                </c:pt>
                <c:pt idx="1">
                  <c:v>862</c:v>
                </c:pt>
                <c:pt idx="2">
                  <c:v>516</c:v>
                </c:pt>
                <c:pt idx="3">
                  <c:v>555</c:v>
                </c:pt>
              </c:numCache>
            </c:numRef>
          </c:val>
          <c:extLst>
            <c:ext xmlns:c16="http://schemas.microsoft.com/office/drawing/2014/chart" uri="{C3380CC4-5D6E-409C-BE32-E72D297353CC}">
              <c16:uniqueId val="{00000008-951F-4B97-B601-16BEE0329C49}"/>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[Book1.xlsx]Pivot!PivotTable17</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IN" b="1">
                <a:solidFill>
                  <a:schemeClr val="tx1"/>
                </a:solidFill>
                <a:latin typeface="Arial" panose="020B0604020202020204" pitchFamily="34" charset="0"/>
                <a:cs typeface="Arial" panose="020B0604020202020204" pitchFamily="34" charset="0"/>
              </a:rPr>
              <a:t>Year wise Car</a:t>
            </a:r>
            <a:r>
              <a:rPr lang="en-IN" b="1" baseline="0">
                <a:solidFill>
                  <a:schemeClr val="tx1"/>
                </a:solidFill>
                <a:latin typeface="Arial" panose="020B0604020202020204" pitchFamily="34" charset="0"/>
                <a:cs typeface="Arial" panose="020B0604020202020204" pitchFamily="34" charset="0"/>
              </a:rPr>
              <a:t> Distribution</a:t>
            </a:r>
            <a:endParaRPr lang="en-IN" b="1">
              <a:solidFill>
                <a:schemeClr val="tx1"/>
              </a:solidFill>
              <a:latin typeface="Arial" panose="020B0604020202020204" pitchFamily="34" charset="0"/>
              <a:cs typeface="Arial" panose="020B0604020202020204" pitchFamily="34" charset="0"/>
            </a:endParaRPr>
          </a:p>
        </c:rich>
      </c:tx>
      <c:layout>
        <c:manualLayout>
          <c:xMode val="edge"/>
          <c:yMode val="edge"/>
          <c:x val="0.11956552166369919"/>
          <c:y val="2.7764814513939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0883295007965"/>
          <c:y val="0.16274589638744363"/>
          <c:w val="0.86483429514722709"/>
          <c:h val="0.62727011658480314"/>
        </c:manualLayout>
      </c:layout>
      <c:lineChart>
        <c:grouping val="standard"/>
        <c:varyColors val="0"/>
        <c:ser>
          <c:idx val="0"/>
          <c:order val="0"/>
          <c:tx>
            <c:strRef>
              <c:f>Pivot!$D$23:$D$24</c:f>
              <c:strCache>
                <c:ptCount val="1"/>
                <c:pt idx="0">
                  <c:v>Automatic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Pivot!$C$25:$C$48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Pivot!$D$25:$D$48</c:f>
              <c:numCache>
                <c:formatCode>General</c:formatCode>
                <c:ptCount val="24"/>
                <c:pt idx="0">
                  <c:v>51</c:v>
                </c:pt>
                <c:pt idx="1">
                  <c:v>57</c:v>
                </c:pt>
                <c:pt idx="2">
                  <c:v>60</c:v>
                </c:pt>
                <c:pt idx="3">
                  <c:v>72</c:v>
                </c:pt>
                <c:pt idx="4">
                  <c:v>55</c:v>
                </c:pt>
                <c:pt idx="5">
                  <c:v>58</c:v>
                </c:pt>
                <c:pt idx="6">
                  <c:v>47</c:v>
                </c:pt>
                <c:pt idx="7">
                  <c:v>59</c:v>
                </c:pt>
                <c:pt idx="8">
                  <c:v>61</c:v>
                </c:pt>
                <c:pt idx="9">
                  <c:v>50</c:v>
                </c:pt>
                <c:pt idx="10">
                  <c:v>56</c:v>
                </c:pt>
                <c:pt idx="11">
                  <c:v>57</c:v>
                </c:pt>
                <c:pt idx="12">
                  <c:v>57</c:v>
                </c:pt>
                <c:pt idx="13">
                  <c:v>57</c:v>
                </c:pt>
                <c:pt idx="14">
                  <c:v>64</c:v>
                </c:pt>
                <c:pt idx="15">
                  <c:v>47</c:v>
                </c:pt>
                <c:pt idx="16">
                  <c:v>61</c:v>
                </c:pt>
                <c:pt idx="17">
                  <c:v>62</c:v>
                </c:pt>
                <c:pt idx="18">
                  <c:v>57</c:v>
                </c:pt>
                <c:pt idx="19">
                  <c:v>60</c:v>
                </c:pt>
                <c:pt idx="20">
                  <c:v>65</c:v>
                </c:pt>
                <c:pt idx="21">
                  <c:v>68</c:v>
                </c:pt>
                <c:pt idx="22">
                  <c:v>60</c:v>
                </c:pt>
                <c:pt idx="23">
                  <c:v>53</c:v>
                </c:pt>
              </c:numCache>
            </c:numRef>
          </c:val>
          <c:smooth val="0"/>
          <c:extLst>
            <c:ext xmlns:c16="http://schemas.microsoft.com/office/drawing/2014/chart" uri="{C3380CC4-5D6E-409C-BE32-E72D297353CC}">
              <c16:uniqueId val="{00000000-868A-48D2-9FFA-CF25A8665E8E}"/>
            </c:ext>
          </c:extLst>
        </c:ser>
        <c:ser>
          <c:idx val="1"/>
          <c:order val="1"/>
          <c:tx>
            <c:strRef>
              <c:f>Pivot!$E$23:$E$24</c:f>
              <c:strCache>
                <c:ptCount val="1"/>
                <c:pt idx="0">
                  <c:v>Manual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Pivot!$C$25:$C$48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Pivot!$E$25:$E$48</c:f>
              <c:numCache>
                <c:formatCode>General</c:formatCode>
                <c:ptCount val="24"/>
                <c:pt idx="0">
                  <c:v>42</c:v>
                </c:pt>
                <c:pt idx="1">
                  <c:v>52</c:v>
                </c:pt>
                <c:pt idx="2">
                  <c:v>50</c:v>
                </c:pt>
                <c:pt idx="3">
                  <c:v>46</c:v>
                </c:pt>
                <c:pt idx="4">
                  <c:v>45</c:v>
                </c:pt>
                <c:pt idx="5">
                  <c:v>45</c:v>
                </c:pt>
                <c:pt idx="6">
                  <c:v>39</c:v>
                </c:pt>
                <c:pt idx="7">
                  <c:v>51</c:v>
                </c:pt>
                <c:pt idx="8">
                  <c:v>48</c:v>
                </c:pt>
                <c:pt idx="9">
                  <c:v>40</c:v>
                </c:pt>
                <c:pt idx="10">
                  <c:v>39</c:v>
                </c:pt>
                <c:pt idx="11">
                  <c:v>44</c:v>
                </c:pt>
                <c:pt idx="12">
                  <c:v>54</c:v>
                </c:pt>
                <c:pt idx="13">
                  <c:v>38</c:v>
                </c:pt>
                <c:pt idx="14">
                  <c:v>45</c:v>
                </c:pt>
                <c:pt idx="15">
                  <c:v>41</c:v>
                </c:pt>
                <c:pt idx="16">
                  <c:v>57</c:v>
                </c:pt>
                <c:pt idx="17">
                  <c:v>35</c:v>
                </c:pt>
                <c:pt idx="18">
                  <c:v>49</c:v>
                </c:pt>
                <c:pt idx="19">
                  <c:v>43</c:v>
                </c:pt>
                <c:pt idx="20">
                  <c:v>57</c:v>
                </c:pt>
                <c:pt idx="21">
                  <c:v>44</c:v>
                </c:pt>
                <c:pt idx="22">
                  <c:v>52</c:v>
                </c:pt>
                <c:pt idx="23">
                  <c:v>50</c:v>
                </c:pt>
              </c:numCache>
            </c:numRef>
          </c:val>
          <c:smooth val="0"/>
          <c:extLst>
            <c:ext xmlns:c16="http://schemas.microsoft.com/office/drawing/2014/chart" uri="{C3380CC4-5D6E-409C-BE32-E72D297353CC}">
              <c16:uniqueId val="{00000006-6A6A-4759-B077-3736359CF97B}"/>
            </c:ext>
          </c:extLst>
        </c:ser>
        <c:dLbls>
          <c:showLegendKey val="0"/>
          <c:showVal val="0"/>
          <c:showCatName val="0"/>
          <c:showSerName val="0"/>
          <c:showPercent val="0"/>
          <c:showBubbleSize val="0"/>
        </c:dLbls>
        <c:marker val="1"/>
        <c:smooth val="0"/>
        <c:axId val="1535194624"/>
        <c:axId val="1535205664"/>
      </c:lineChart>
      <c:catAx>
        <c:axId val="153519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5205664"/>
        <c:crosses val="autoZero"/>
        <c:auto val="1"/>
        <c:lblAlgn val="ctr"/>
        <c:lblOffset val="100"/>
        <c:noMultiLvlLbl val="0"/>
      </c:catAx>
      <c:valAx>
        <c:axId val="1535205664"/>
        <c:scaling>
          <c:orientation val="minMax"/>
          <c:min val="0"/>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Number of Car</a:t>
                </a:r>
                <a:r>
                  <a:rPr lang="en-IN" baseline="0">
                    <a:solidFill>
                      <a:schemeClr val="tx1"/>
                    </a:solidFill>
                  </a:rPr>
                  <a:t> Distribution</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5194624"/>
        <c:crosses val="autoZero"/>
        <c:crossBetween val="between"/>
      </c:valAx>
      <c:spPr>
        <a:noFill/>
        <a:ln>
          <a:noFill/>
        </a:ln>
        <a:effectLst/>
      </c:spPr>
    </c:plotArea>
    <c:legend>
      <c:legendPos val="tr"/>
      <c:layout>
        <c:manualLayout>
          <c:xMode val="edge"/>
          <c:yMode val="edge"/>
          <c:x val="0.65350477393151074"/>
          <c:y val="1.4288039269443317E-2"/>
          <c:w val="0.18204763342224017"/>
          <c:h val="0.1588997706743420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IN" b="1">
                <a:solidFill>
                  <a:schemeClr val="tx1"/>
                </a:solidFill>
                <a:latin typeface="Arial" panose="020B0604020202020204" pitchFamily="34" charset="0"/>
                <a:cs typeface="Arial" panose="020B0604020202020204" pitchFamily="34" charset="0"/>
              </a:rPr>
              <a:t>Engine</a:t>
            </a:r>
            <a:r>
              <a:rPr lang="en-IN" b="1" baseline="0">
                <a:solidFill>
                  <a:schemeClr val="tx1"/>
                </a:solidFill>
                <a:latin typeface="Arial" panose="020B0604020202020204" pitchFamily="34" charset="0"/>
                <a:cs typeface="Arial" panose="020B0604020202020204" pitchFamily="34" charset="0"/>
              </a:rPr>
              <a:t> Price</a:t>
            </a:r>
            <a:endParaRPr lang="en-IN"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8354074626775196"/>
          <c:y val="0.16988235294117648"/>
          <c:w val="0.77950461161530804"/>
          <c:h val="0.6544785548865214"/>
        </c:manualLayout>
      </c:layout>
      <c:scatterChart>
        <c:scatterStyle val="lineMarker"/>
        <c:varyColors val="0"/>
        <c:ser>
          <c:idx val="0"/>
          <c:order val="0"/>
          <c:spPr>
            <a:ln w="38100" cap="rnd">
              <a:noFill/>
              <a:round/>
            </a:ln>
            <a:effectLst/>
          </c:spPr>
          <c:marker>
            <c:symbol val="circle"/>
            <c:size val="5"/>
            <c:spPr>
              <a:solidFill>
                <a:schemeClr val="accent2">
                  <a:lumMod val="50000"/>
                </a:schemeClr>
              </a:solidFill>
              <a:ln w="9525">
                <a:noFill/>
              </a:ln>
              <a:effectLst/>
            </c:spPr>
          </c:marker>
          <c:xVal>
            <c:numRef>
              <c:f>EnginePrice!$D$4:$D$862</c:f>
              <c:numCache>
                <c:formatCode>General</c:formatCode>
                <c:ptCount val="859"/>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numCache>
            </c:numRef>
          </c:xVal>
          <c:yVal>
            <c:numRef>
              <c:f>EnginePrice!$E$4:$E$862</c:f>
              <c:numCache>
                <c:formatCode>General</c:formatCode>
                <c:ptCount val="859"/>
                <c:pt idx="0">
                  <c:v>1450284.83</c:v>
                </c:pt>
                <c:pt idx="1">
                  <c:v>2069894.82</c:v>
                </c:pt>
                <c:pt idx="2">
                  <c:v>2410645.77</c:v>
                </c:pt>
                <c:pt idx="3">
                  <c:v>3820144.04</c:v>
                </c:pt>
                <c:pt idx="4">
                  <c:v>2652365.11</c:v>
                </c:pt>
                <c:pt idx="5">
                  <c:v>2031022.78</c:v>
                </c:pt>
                <c:pt idx="6">
                  <c:v>2326359.0299999998</c:v>
                </c:pt>
                <c:pt idx="7">
                  <c:v>2552660.4700000002</c:v>
                </c:pt>
                <c:pt idx="8">
                  <c:v>3379449.47</c:v>
                </c:pt>
                <c:pt idx="9">
                  <c:v>2565542.08</c:v>
                </c:pt>
                <c:pt idx="10">
                  <c:v>2571564.7000000002</c:v>
                </c:pt>
                <c:pt idx="11">
                  <c:v>2739632.81</c:v>
                </c:pt>
                <c:pt idx="12">
                  <c:v>3367187.21</c:v>
                </c:pt>
                <c:pt idx="13">
                  <c:v>2514232.64</c:v>
                </c:pt>
                <c:pt idx="14">
                  <c:v>3004344.02</c:v>
                </c:pt>
                <c:pt idx="15">
                  <c:v>2390936.81</c:v>
                </c:pt>
                <c:pt idx="16">
                  <c:v>2649534.52</c:v>
                </c:pt>
                <c:pt idx="17">
                  <c:v>3221913.23</c:v>
                </c:pt>
                <c:pt idx="18">
                  <c:v>2354527.4900000002</c:v>
                </c:pt>
                <c:pt idx="19">
                  <c:v>2481539.3199999998</c:v>
                </c:pt>
                <c:pt idx="20">
                  <c:v>3003752.33</c:v>
                </c:pt>
                <c:pt idx="21">
                  <c:v>3246816.47</c:v>
                </c:pt>
                <c:pt idx="22">
                  <c:v>2917642.51</c:v>
                </c:pt>
                <c:pt idx="23">
                  <c:v>2084238.88</c:v>
                </c:pt>
                <c:pt idx="24">
                  <c:v>2833413.94</c:v>
                </c:pt>
                <c:pt idx="25">
                  <c:v>2056101.71</c:v>
                </c:pt>
                <c:pt idx="26">
                  <c:v>2325806.41</c:v>
                </c:pt>
                <c:pt idx="27">
                  <c:v>2868605.2</c:v>
                </c:pt>
                <c:pt idx="28">
                  <c:v>2700559.39</c:v>
                </c:pt>
                <c:pt idx="29">
                  <c:v>3254061.81</c:v>
                </c:pt>
                <c:pt idx="30">
                  <c:v>2557739.0099999998</c:v>
                </c:pt>
                <c:pt idx="31">
                  <c:v>2220712.58</c:v>
                </c:pt>
                <c:pt idx="32">
                  <c:v>2174450.9</c:v>
                </c:pt>
                <c:pt idx="33">
                  <c:v>2231798.83</c:v>
                </c:pt>
                <c:pt idx="34">
                  <c:v>3074376.71</c:v>
                </c:pt>
                <c:pt idx="35">
                  <c:v>3110103.52</c:v>
                </c:pt>
                <c:pt idx="36">
                  <c:v>1943598.89</c:v>
                </c:pt>
                <c:pt idx="37">
                  <c:v>2540351.09</c:v>
                </c:pt>
                <c:pt idx="38">
                  <c:v>2917954.63</c:v>
                </c:pt>
                <c:pt idx="39">
                  <c:v>1993602</c:v>
                </c:pt>
                <c:pt idx="40">
                  <c:v>3138948.33</c:v>
                </c:pt>
                <c:pt idx="41">
                  <c:v>3310367.55</c:v>
                </c:pt>
                <c:pt idx="42">
                  <c:v>2422833.4</c:v>
                </c:pt>
                <c:pt idx="43">
                  <c:v>2443322.4500000002</c:v>
                </c:pt>
                <c:pt idx="44">
                  <c:v>2270785.29</c:v>
                </c:pt>
                <c:pt idx="45">
                  <c:v>2058320.82</c:v>
                </c:pt>
                <c:pt idx="46">
                  <c:v>1967048.22</c:v>
                </c:pt>
                <c:pt idx="47">
                  <c:v>3040928.62</c:v>
                </c:pt>
                <c:pt idx="48">
                  <c:v>2916972.05</c:v>
                </c:pt>
                <c:pt idx="49">
                  <c:v>2164193.7000000002</c:v>
                </c:pt>
                <c:pt idx="50">
                  <c:v>1251867.94</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numCache>
            </c:numRef>
          </c:yVal>
          <c:smooth val="0"/>
          <c:extLst>
            <c:ext xmlns:c16="http://schemas.microsoft.com/office/drawing/2014/chart" uri="{C3380CC4-5D6E-409C-BE32-E72D297353CC}">
              <c16:uniqueId val="{00000000-B718-40DD-AE41-E4D55CF85FDF}"/>
            </c:ext>
          </c:extLst>
        </c:ser>
        <c:dLbls>
          <c:showLegendKey val="0"/>
          <c:showVal val="0"/>
          <c:showCatName val="0"/>
          <c:showSerName val="0"/>
          <c:showPercent val="0"/>
          <c:showBubbleSize val="0"/>
        </c:dLbls>
        <c:axId val="659175535"/>
        <c:axId val="659198095"/>
      </c:scatterChart>
      <c:valAx>
        <c:axId val="659175535"/>
        <c:scaling>
          <c:orientation val="minMax"/>
        </c:scaling>
        <c:delete val="0"/>
        <c:axPos val="b"/>
        <c:majorGridlines>
          <c:spPr>
            <a:ln w="9525" cap="flat" cmpd="sng" algn="ctr">
              <a:solidFill>
                <a:schemeClr val="accent2">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Engine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9198095"/>
        <c:crosses val="autoZero"/>
        <c:crossBetween val="midCat"/>
      </c:valAx>
      <c:valAx>
        <c:axId val="659198095"/>
        <c:scaling>
          <c:orientation val="minMax"/>
        </c:scaling>
        <c:delete val="0"/>
        <c:axPos val="l"/>
        <c:majorGridlines>
          <c:spPr>
            <a:ln w="9525" cap="sq"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Sum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w="9525" cap="flat" cmpd="sng" algn="ctr">
            <a:solidFill>
              <a:schemeClr val="accent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9175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Range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Cal_brand!$R$2:$R$11</c:f>
              <c:numCache>
                <c:formatCode>General</c:formatCode>
                <c:ptCount val="10"/>
                <c:pt idx="0">
                  <c:v>10</c:v>
                </c:pt>
                <c:pt idx="1">
                  <c:v>20</c:v>
                </c:pt>
                <c:pt idx="2">
                  <c:v>30</c:v>
                </c:pt>
                <c:pt idx="3">
                  <c:v>40</c:v>
                </c:pt>
                <c:pt idx="4">
                  <c:v>50</c:v>
                </c:pt>
                <c:pt idx="5">
                  <c:v>60</c:v>
                </c:pt>
                <c:pt idx="6">
                  <c:v>70</c:v>
                </c:pt>
                <c:pt idx="7">
                  <c:v>80</c:v>
                </c:pt>
                <c:pt idx="8">
                  <c:v>90</c:v>
                </c:pt>
                <c:pt idx="9">
                  <c:v>100</c:v>
                </c:pt>
              </c:numCache>
            </c:numRef>
          </c:cat>
          <c:val>
            <c:numRef>
              <c:f>Cal_brand!$S$2:$S$11</c:f>
              <c:numCache>
                <c:formatCode>General</c:formatCode>
                <c:ptCount val="10"/>
                <c:pt idx="0">
                  <c:v>253</c:v>
                </c:pt>
                <c:pt idx="1">
                  <c:v>269</c:v>
                </c:pt>
                <c:pt idx="2">
                  <c:v>258</c:v>
                </c:pt>
                <c:pt idx="3">
                  <c:v>264</c:v>
                </c:pt>
                <c:pt idx="4">
                  <c:v>247</c:v>
                </c:pt>
                <c:pt idx="5">
                  <c:v>272</c:v>
                </c:pt>
                <c:pt idx="6">
                  <c:v>285</c:v>
                </c:pt>
                <c:pt idx="7">
                  <c:v>257</c:v>
                </c:pt>
                <c:pt idx="8">
                  <c:v>272</c:v>
                </c:pt>
                <c:pt idx="9">
                  <c:v>118</c:v>
                </c:pt>
              </c:numCache>
            </c:numRef>
          </c:val>
          <c:extLst>
            <c:ext xmlns:c16="http://schemas.microsoft.com/office/drawing/2014/chart" uri="{C3380CC4-5D6E-409C-BE32-E72D297353CC}">
              <c16:uniqueId val="{00000000-B166-442E-8C10-DBC45E0DDC30}"/>
            </c:ext>
          </c:extLst>
        </c:ser>
        <c:dLbls>
          <c:showLegendKey val="0"/>
          <c:showVal val="0"/>
          <c:showCatName val="0"/>
          <c:showSerName val="0"/>
          <c:showPercent val="0"/>
          <c:showBubbleSize val="0"/>
        </c:dLbls>
        <c:gapWidth val="219"/>
        <c:overlap val="-27"/>
        <c:axId val="2020833247"/>
        <c:axId val="2020831327"/>
      </c:barChart>
      <c:catAx>
        <c:axId val="202083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K"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31327"/>
        <c:crosses val="autoZero"/>
        <c:auto val="1"/>
        <c:lblAlgn val="ctr"/>
        <c:lblOffset val="100"/>
        <c:noMultiLvlLbl val="0"/>
      </c:catAx>
      <c:valAx>
        <c:axId val="2020831327"/>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33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[Book1.xlsx]Cal_brand!PivotTable9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Cal_brand!$N$8</c:f>
              <c:strCache>
                <c:ptCount val="1"/>
                <c:pt idx="0">
                  <c:v>Total</c:v>
                </c:pt>
              </c:strCache>
            </c:strRef>
          </c:tx>
          <c:spPr>
            <a:solidFill>
              <a:schemeClr val="accent1"/>
            </a:solidFill>
            <a:ln>
              <a:noFill/>
            </a:ln>
            <a:effectLst/>
          </c:spPr>
          <c:invertIfNegative val="0"/>
          <c:cat>
            <c:strRef>
              <c:f>Cal_brand!$M$9:$M$16</c:f>
              <c:strCache>
                <c:ptCount val="7"/>
                <c:pt idx="0">
                  <c:v>Audi</c:v>
                </c:pt>
                <c:pt idx="1">
                  <c:v>BMW</c:v>
                </c:pt>
                <c:pt idx="2">
                  <c:v>Ford</c:v>
                </c:pt>
                <c:pt idx="3">
                  <c:v>Honda</c:v>
                </c:pt>
                <c:pt idx="4">
                  <c:v>Mercedes</c:v>
                </c:pt>
                <c:pt idx="5">
                  <c:v>Tesla</c:v>
                </c:pt>
                <c:pt idx="6">
                  <c:v>Toyota</c:v>
                </c:pt>
              </c:strCache>
            </c:strRef>
          </c:cat>
          <c:val>
            <c:numRef>
              <c:f>Cal_brand!$N$9:$N$16</c:f>
              <c:numCache>
                <c:formatCode>General</c:formatCode>
                <c:ptCount val="7"/>
                <c:pt idx="0">
                  <c:v>368</c:v>
                </c:pt>
                <c:pt idx="1">
                  <c:v>358</c:v>
                </c:pt>
                <c:pt idx="2">
                  <c:v>347</c:v>
                </c:pt>
                <c:pt idx="3">
                  <c:v>352</c:v>
                </c:pt>
                <c:pt idx="4">
                  <c:v>353</c:v>
                </c:pt>
                <c:pt idx="5">
                  <c:v>348</c:v>
                </c:pt>
                <c:pt idx="6">
                  <c:v>374</c:v>
                </c:pt>
              </c:numCache>
            </c:numRef>
          </c:val>
          <c:extLst>
            <c:ext xmlns:c16="http://schemas.microsoft.com/office/drawing/2014/chart" uri="{C3380CC4-5D6E-409C-BE32-E72D297353CC}">
              <c16:uniqueId val="{00000000-C58E-47CE-AA25-2583A148FA77}"/>
            </c:ext>
          </c:extLst>
        </c:ser>
        <c:dLbls>
          <c:showLegendKey val="0"/>
          <c:showVal val="0"/>
          <c:showCatName val="0"/>
          <c:showSerName val="0"/>
          <c:showPercent val="0"/>
          <c:showBubbleSize val="0"/>
        </c:dLbls>
        <c:gapWidth val="219"/>
        <c:axId val="869565135"/>
        <c:axId val="869581455"/>
      </c:barChart>
      <c:catAx>
        <c:axId val="86956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81455"/>
        <c:crosses val="autoZero"/>
        <c:auto val="1"/>
        <c:lblAlgn val="ctr"/>
        <c:lblOffset val="100"/>
        <c:noMultiLvlLbl val="0"/>
      </c:catAx>
      <c:valAx>
        <c:axId val="869581455"/>
        <c:scaling>
          <c:orientation val="minMax"/>
          <c:min val="3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cars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6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xdr:colOff>
      <xdr:row>2</xdr:row>
      <xdr:rowOff>63500</xdr:rowOff>
    </xdr:from>
    <xdr:to>
      <xdr:col>1</xdr:col>
      <xdr:colOff>127000</xdr:colOff>
      <xdr:row>5</xdr:row>
      <xdr:rowOff>82550</xdr:rowOff>
    </xdr:to>
    <xdr:sp macro="" textlink="KPI!A2">
      <xdr:nvSpPr>
        <xdr:cNvPr id="2" name="TextBox 1">
          <a:extLst>
            <a:ext uri="{FF2B5EF4-FFF2-40B4-BE49-F238E27FC236}">
              <a16:creationId xmlns:a16="http://schemas.microsoft.com/office/drawing/2014/main" id="{CEE02785-8AB6-54AE-46F2-6AA4037AD8F3}"/>
            </a:ext>
          </a:extLst>
        </xdr:cNvPr>
        <xdr:cNvSpPr txBox="1"/>
      </xdr:nvSpPr>
      <xdr:spPr>
        <a:xfrm>
          <a:off x="76200" y="431800"/>
          <a:ext cx="9906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Aptos Narrow"/>
            </a:rPr>
            <a:t>Total Cars</a:t>
          </a:r>
          <a:br>
            <a:rPr lang="en-US" sz="1100" b="0" i="0" u="none" strike="noStrike">
              <a:solidFill>
                <a:srgbClr val="000000"/>
              </a:solidFill>
              <a:latin typeface="Aptos Narrow"/>
            </a:rPr>
          </a:br>
          <a:fld id="{C4832F46-E7D6-411B-8949-57D598A4AA66}" type="TxLink">
            <a:rPr lang="en-US" sz="1100" b="0" i="0" u="none" strike="noStrike">
              <a:solidFill>
                <a:srgbClr val="000000"/>
              </a:solidFill>
              <a:latin typeface="Aptos Narrow"/>
            </a:rPr>
            <a:pPr algn="ctr"/>
            <a:t>2500</a:t>
          </a:fld>
          <a:endParaRPr lang="en-IN" sz="1100"/>
        </a:p>
      </xdr:txBody>
    </xdr:sp>
    <xdr:clientData/>
  </xdr:twoCellAnchor>
  <xdr:twoCellAnchor>
    <xdr:from>
      <xdr:col>1</xdr:col>
      <xdr:colOff>228600</xdr:colOff>
      <xdr:row>2</xdr:row>
      <xdr:rowOff>63500</xdr:rowOff>
    </xdr:from>
    <xdr:to>
      <xdr:col>2</xdr:col>
      <xdr:colOff>736600</xdr:colOff>
      <xdr:row>5</xdr:row>
      <xdr:rowOff>82550</xdr:rowOff>
    </xdr:to>
    <xdr:sp macro="" textlink="KPI!C2">
      <xdr:nvSpPr>
        <xdr:cNvPr id="3" name="TextBox 2">
          <a:extLst>
            <a:ext uri="{FF2B5EF4-FFF2-40B4-BE49-F238E27FC236}">
              <a16:creationId xmlns:a16="http://schemas.microsoft.com/office/drawing/2014/main" id="{43F679EA-B9E5-76A9-1AD5-11B0906C5E4F}"/>
            </a:ext>
          </a:extLst>
        </xdr:cNvPr>
        <xdr:cNvSpPr txBox="1"/>
      </xdr:nvSpPr>
      <xdr:spPr>
        <a:xfrm>
          <a:off x="1168400" y="431800"/>
          <a:ext cx="11176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49D4FF-886E-4251-8DB3-227DC31A41CC}" type="TxLink">
            <a:rPr lang="en-US" sz="1100" b="0" i="0" u="none" strike="noStrike">
              <a:solidFill>
                <a:srgbClr val="000000"/>
              </a:solidFill>
              <a:latin typeface="Aptos Narrow"/>
            </a:rPr>
            <a:pPr algn="ctr"/>
            <a:t>52638</a:t>
          </a:fld>
          <a:endParaRPr lang="en-IN" sz="1100"/>
        </a:p>
      </xdr:txBody>
    </xdr:sp>
    <xdr:clientData/>
  </xdr:twoCellAnchor>
  <xdr:twoCellAnchor>
    <xdr:from>
      <xdr:col>2</xdr:col>
      <xdr:colOff>850900</xdr:colOff>
      <xdr:row>2</xdr:row>
      <xdr:rowOff>57150</xdr:rowOff>
    </xdr:from>
    <xdr:to>
      <xdr:col>3</xdr:col>
      <xdr:colOff>844550</xdr:colOff>
      <xdr:row>5</xdr:row>
      <xdr:rowOff>101600</xdr:rowOff>
    </xdr:to>
    <xdr:sp macro="" textlink="KPI!D2">
      <xdr:nvSpPr>
        <xdr:cNvPr id="4" name="TextBox 3">
          <a:extLst>
            <a:ext uri="{FF2B5EF4-FFF2-40B4-BE49-F238E27FC236}">
              <a16:creationId xmlns:a16="http://schemas.microsoft.com/office/drawing/2014/main" id="{71840E73-BED8-9D1E-4E1D-B585155C066D}"/>
            </a:ext>
          </a:extLst>
        </xdr:cNvPr>
        <xdr:cNvSpPr txBox="1"/>
      </xdr:nvSpPr>
      <xdr:spPr>
        <a:xfrm>
          <a:off x="2400300" y="425450"/>
          <a:ext cx="977900" cy="59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Aptos Narrow"/>
            </a:rPr>
            <a:t>Avg. Mileage</a:t>
          </a:r>
          <a:br>
            <a:rPr lang="en-US" sz="1100" b="0" i="0" u="none" strike="noStrike">
              <a:solidFill>
                <a:srgbClr val="000000"/>
              </a:solidFill>
              <a:latin typeface="Aptos Narrow"/>
            </a:rPr>
          </a:br>
          <a:fld id="{225F784F-B148-4F34-9C68-1C1BDDE04ED8}" type="TxLink">
            <a:rPr lang="en-US" sz="1100" b="0" i="0" u="none" strike="noStrike">
              <a:solidFill>
                <a:srgbClr val="000000"/>
              </a:solidFill>
              <a:latin typeface="Aptos Narrow"/>
            </a:rPr>
            <a:pPr algn="ctr"/>
            <a:t>149750</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533400</xdr:colOff>
      <xdr:row>21</xdr:row>
      <xdr:rowOff>57726</xdr:rowOff>
    </xdr:from>
    <xdr:to>
      <xdr:col>23</xdr:col>
      <xdr:colOff>143502</xdr:colOff>
      <xdr:row>35</xdr:row>
      <xdr:rowOff>104429</xdr:rowOff>
    </xdr:to>
    <xdr:graphicFrame macro="">
      <xdr:nvGraphicFramePr>
        <xdr:cNvPr id="5" name="Chart 4">
          <a:extLst>
            <a:ext uri="{FF2B5EF4-FFF2-40B4-BE49-F238E27FC236}">
              <a16:creationId xmlns:a16="http://schemas.microsoft.com/office/drawing/2014/main" id="{A234438F-5493-4BF5-A779-842BA463F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157623</xdr:colOff>
      <xdr:row>0</xdr:row>
      <xdr:rowOff>139700</xdr:rowOff>
    </xdr:from>
    <xdr:to>
      <xdr:col>6</xdr:col>
      <xdr:colOff>456406</xdr:colOff>
      <xdr:row>5</xdr:row>
      <xdr:rowOff>21771</xdr:rowOff>
    </xdr:to>
    <xdr:sp macro="" textlink="">
      <xdr:nvSpPr>
        <xdr:cNvPr id="4" name="TextBox 3">
          <a:extLst>
            <a:ext uri="{FF2B5EF4-FFF2-40B4-BE49-F238E27FC236}">
              <a16:creationId xmlns:a16="http://schemas.microsoft.com/office/drawing/2014/main" id="{447A85A1-DFDB-7525-1500-CFB80B93C25F}"/>
            </a:ext>
          </a:extLst>
        </xdr:cNvPr>
        <xdr:cNvSpPr txBox="1"/>
      </xdr:nvSpPr>
      <xdr:spPr>
        <a:xfrm>
          <a:off x="157623" y="139700"/>
          <a:ext cx="3930189" cy="824649"/>
        </a:xfrm>
        <a:prstGeom prst="roundRect">
          <a:avLst/>
        </a:prstGeom>
        <a:solidFill>
          <a:schemeClr val="accent2">
            <a:lumMod val="60000"/>
            <a:lumOff val="4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Arial" panose="020B0604020202020204" pitchFamily="34" charset="0"/>
              <a:ea typeface="+mn-ea"/>
              <a:cs typeface="Arial" panose="020B0604020202020204" pitchFamily="34" charset="0"/>
            </a:rPr>
            <a:t>Car Price Analysis</a:t>
          </a:r>
          <a:endParaRPr lang="en-IN" sz="1800" b="1">
            <a:effectLst/>
            <a:latin typeface="Arial" panose="020B0604020202020204" pitchFamily="34" charset="0"/>
            <a:cs typeface="Arial" panose="020B0604020202020204" pitchFamily="34" charset="0"/>
          </a:endParaRPr>
        </a:p>
      </xdr:txBody>
    </xdr:sp>
    <xdr:clientData/>
  </xdr:twoCellAnchor>
  <xdr:twoCellAnchor editAs="absolute">
    <xdr:from>
      <xdr:col>19</xdr:col>
      <xdr:colOff>172059</xdr:colOff>
      <xdr:row>0</xdr:row>
      <xdr:rowOff>129718</xdr:rowOff>
    </xdr:from>
    <xdr:to>
      <xdr:col>23</xdr:col>
      <xdr:colOff>112171</xdr:colOff>
      <xdr:row>5</xdr:row>
      <xdr:rowOff>38100</xdr:rowOff>
    </xdr:to>
    <xdr:sp macro="" textlink="">
      <xdr:nvSpPr>
        <xdr:cNvPr id="15" name="Rectangle: Rounded Corners 14">
          <a:extLst>
            <a:ext uri="{FF2B5EF4-FFF2-40B4-BE49-F238E27FC236}">
              <a16:creationId xmlns:a16="http://schemas.microsoft.com/office/drawing/2014/main" id="{1A50A8B6-8E9D-436B-B9C3-4468EC28175A}"/>
            </a:ext>
          </a:extLst>
        </xdr:cNvPr>
        <xdr:cNvSpPr/>
      </xdr:nvSpPr>
      <xdr:spPr>
        <a:xfrm>
          <a:off x="11773021" y="129718"/>
          <a:ext cx="2382419" cy="83645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425970</xdr:colOff>
      <xdr:row>0</xdr:row>
      <xdr:rowOff>177752</xdr:rowOff>
    </xdr:from>
    <xdr:to>
      <xdr:col>22</xdr:col>
      <xdr:colOff>498601</xdr:colOff>
      <xdr:row>2</xdr:row>
      <xdr:rowOff>16326</xdr:rowOff>
    </xdr:to>
    <xdr:sp macro="" textlink="">
      <xdr:nvSpPr>
        <xdr:cNvPr id="16" name="TextBox 15">
          <a:extLst>
            <a:ext uri="{FF2B5EF4-FFF2-40B4-BE49-F238E27FC236}">
              <a16:creationId xmlns:a16="http://schemas.microsoft.com/office/drawing/2014/main" id="{9B4603AF-59A7-4CC1-8149-7B3EB75E454B}"/>
            </a:ext>
          </a:extLst>
        </xdr:cNvPr>
        <xdr:cNvSpPr txBox="1"/>
      </xdr:nvSpPr>
      <xdr:spPr>
        <a:xfrm>
          <a:off x="12026932" y="177752"/>
          <a:ext cx="1904361" cy="209805"/>
        </a:xfrm>
        <a:prstGeom prst="rect">
          <a:avLst/>
        </a:prstGeom>
        <a:noFill/>
        <a:ln w="9525" cmpd="sng">
          <a:solidFill>
            <a:schemeClr val="accent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Arial" panose="020B0604020202020204" pitchFamily="34" charset="0"/>
              <a:cs typeface="Arial" panose="020B0604020202020204" pitchFamily="34" charset="0"/>
            </a:rPr>
            <a:t>Total Transmission</a:t>
          </a:r>
        </a:p>
      </xdr:txBody>
    </xdr:sp>
    <xdr:clientData/>
  </xdr:twoCellAnchor>
  <xdr:twoCellAnchor editAs="absolute">
    <xdr:from>
      <xdr:col>19</xdr:col>
      <xdr:colOff>422875</xdr:colOff>
      <xdr:row>3</xdr:row>
      <xdr:rowOff>62408</xdr:rowOff>
    </xdr:from>
    <xdr:to>
      <xdr:col>21</xdr:col>
      <xdr:colOff>92363</xdr:colOff>
      <xdr:row>4</xdr:row>
      <xdr:rowOff>154823</xdr:rowOff>
    </xdr:to>
    <xdr:sp macro="" textlink="KPI!F3">
      <xdr:nvSpPr>
        <xdr:cNvPr id="17" name="TextBox 16">
          <a:extLst>
            <a:ext uri="{FF2B5EF4-FFF2-40B4-BE49-F238E27FC236}">
              <a16:creationId xmlns:a16="http://schemas.microsoft.com/office/drawing/2014/main" id="{FF93B369-5CF4-4528-BA7D-F637FE854CC5}"/>
            </a:ext>
          </a:extLst>
        </xdr:cNvPr>
        <xdr:cNvSpPr txBox="1"/>
      </xdr:nvSpPr>
      <xdr:spPr>
        <a:xfrm>
          <a:off x="12005275" y="614858"/>
          <a:ext cx="888688" cy="276565"/>
        </a:xfrm>
        <a:prstGeom prst="rect">
          <a:avLst/>
        </a:prstGeom>
        <a:noFill/>
        <a:ln w="9525" cmpd="sng">
          <a:solidFill>
            <a:schemeClr val="accent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EF6370-6957-4915-A702-BD1E065171C2}" type="TxLink">
            <a:rPr lang="en-US" sz="1200" b="0" i="0" u="none" strike="noStrike">
              <a:solidFill>
                <a:srgbClr val="000000"/>
              </a:solidFill>
              <a:latin typeface="Aptos Narrow"/>
              <a:cs typeface="Arial" panose="020B0604020202020204" pitchFamily="34" charset="0"/>
            </a:rPr>
            <a:pPr algn="ctr"/>
            <a:t>1394</a:t>
          </a:fld>
          <a:endParaRPr lang="en-IN" sz="1200">
            <a:latin typeface="Arial" panose="020B0604020202020204" pitchFamily="34" charset="0"/>
            <a:cs typeface="Arial" panose="020B0604020202020204" pitchFamily="34" charset="0"/>
          </a:endParaRPr>
        </a:p>
      </xdr:txBody>
    </xdr:sp>
    <xdr:clientData/>
  </xdr:twoCellAnchor>
  <xdr:twoCellAnchor editAs="absolute">
    <xdr:from>
      <xdr:col>19</xdr:col>
      <xdr:colOff>423866</xdr:colOff>
      <xdr:row>2</xdr:row>
      <xdr:rowOff>42918</xdr:rowOff>
    </xdr:from>
    <xdr:to>
      <xdr:col>21</xdr:col>
      <xdr:colOff>92362</xdr:colOff>
      <xdr:row>3</xdr:row>
      <xdr:rowOff>65354</xdr:rowOff>
    </xdr:to>
    <xdr:sp macro="" textlink="">
      <xdr:nvSpPr>
        <xdr:cNvPr id="18" name="TextBox 17">
          <a:extLst>
            <a:ext uri="{FF2B5EF4-FFF2-40B4-BE49-F238E27FC236}">
              <a16:creationId xmlns:a16="http://schemas.microsoft.com/office/drawing/2014/main" id="{BBD4333E-F47A-46DE-B93B-888F95CD4B6C}"/>
            </a:ext>
          </a:extLst>
        </xdr:cNvPr>
        <xdr:cNvSpPr txBox="1"/>
      </xdr:nvSpPr>
      <xdr:spPr>
        <a:xfrm>
          <a:off x="12006266" y="411218"/>
          <a:ext cx="887696" cy="206586"/>
        </a:xfrm>
        <a:prstGeom prst="rect">
          <a:avLst/>
        </a:prstGeom>
        <a:noFill/>
        <a:ln w="9525" cmpd="sng">
          <a:solidFill>
            <a:schemeClr val="accent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Arial" panose="020B0604020202020204" pitchFamily="34" charset="0"/>
              <a:cs typeface="Arial" panose="020B0604020202020204" pitchFamily="34" charset="0"/>
            </a:rPr>
            <a:t>Automatic</a:t>
          </a:r>
        </a:p>
      </xdr:txBody>
    </xdr:sp>
    <xdr:clientData/>
  </xdr:twoCellAnchor>
  <xdr:twoCellAnchor editAs="absolute">
    <xdr:from>
      <xdr:col>21</xdr:col>
      <xdr:colOff>232146</xdr:colOff>
      <xdr:row>2</xdr:row>
      <xdr:rowOff>43369</xdr:rowOff>
    </xdr:from>
    <xdr:to>
      <xdr:col>22</xdr:col>
      <xdr:colOff>494425</xdr:colOff>
      <xdr:row>3</xdr:row>
      <xdr:rowOff>65263</xdr:rowOff>
    </xdr:to>
    <xdr:sp macro="" textlink="">
      <xdr:nvSpPr>
        <xdr:cNvPr id="19" name="TextBox 18">
          <a:extLst>
            <a:ext uri="{FF2B5EF4-FFF2-40B4-BE49-F238E27FC236}">
              <a16:creationId xmlns:a16="http://schemas.microsoft.com/office/drawing/2014/main" id="{63BEF685-1ABC-4338-991C-E624E9111CD9}"/>
            </a:ext>
          </a:extLst>
        </xdr:cNvPr>
        <xdr:cNvSpPr txBox="1"/>
      </xdr:nvSpPr>
      <xdr:spPr>
        <a:xfrm>
          <a:off x="13033746" y="411669"/>
          <a:ext cx="871879" cy="206044"/>
        </a:xfrm>
        <a:prstGeom prst="rect">
          <a:avLst/>
        </a:prstGeom>
        <a:noFill/>
        <a:ln w="9525" cmpd="sng">
          <a:solidFill>
            <a:schemeClr val="accent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Manual</a:t>
          </a:r>
        </a:p>
      </xdr:txBody>
    </xdr:sp>
    <xdr:clientData/>
  </xdr:twoCellAnchor>
  <xdr:twoCellAnchor editAs="absolute">
    <xdr:from>
      <xdr:col>21</xdr:col>
      <xdr:colOff>232146</xdr:colOff>
      <xdr:row>3</xdr:row>
      <xdr:rowOff>60449</xdr:rowOff>
    </xdr:from>
    <xdr:to>
      <xdr:col>22</xdr:col>
      <xdr:colOff>494425</xdr:colOff>
      <xdr:row>4</xdr:row>
      <xdr:rowOff>146448</xdr:rowOff>
    </xdr:to>
    <xdr:sp macro="" textlink="KPI!G3">
      <xdr:nvSpPr>
        <xdr:cNvPr id="20" name="TextBox 19">
          <a:extLst>
            <a:ext uri="{FF2B5EF4-FFF2-40B4-BE49-F238E27FC236}">
              <a16:creationId xmlns:a16="http://schemas.microsoft.com/office/drawing/2014/main" id="{1716E80A-61CD-48E6-9BE5-DA3B26D52434}"/>
            </a:ext>
          </a:extLst>
        </xdr:cNvPr>
        <xdr:cNvSpPr txBox="1"/>
      </xdr:nvSpPr>
      <xdr:spPr>
        <a:xfrm>
          <a:off x="13033746" y="612899"/>
          <a:ext cx="871879" cy="270149"/>
        </a:xfrm>
        <a:prstGeom prst="rect">
          <a:avLst/>
        </a:prstGeom>
        <a:noFill/>
        <a:ln w="9525" cmpd="sng">
          <a:solidFill>
            <a:schemeClr val="accent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B3292F-7044-4D9C-9438-AD2C0D26CB33}" type="TxLink">
            <a:rPr lang="en-US" sz="1200" b="0" i="0" u="none" strike="noStrike">
              <a:solidFill>
                <a:srgbClr val="000000"/>
              </a:solidFill>
              <a:latin typeface="Aptos Narrow"/>
              <a:cs typeface="Arial" panose="020B0604020202020204" pitchFamily="34" charset="0"/>
            </a:rPr>
            <a:pPr algn="ctr"/>
            <a:t>1106</a:t>
          </a:fld>
          <a:endParaRPr lang="en-IN" sz="1200">
            <a:latin typeface="Arial" panose="020B0604020202020204" pitchFamily="34" charset="0"/>
            <a:cs typeface="Arial" panose="020B0604020202020204" pitchFamily="34" charset="0"/>
          </a:endParaRPr>
        </a:p>
      </xdr:txBody>
    </xdr:sp>
    <xdr:clientData/>
  </xdr:twoCellAnchor>
  <xdr:twoCellAnchor editAs="absolute">
    <xdr:from>
      <xdr:col>2</xdr:col>
      <xdr:colOff>439244</xdr:colOff>
      <xdr:row>5</xdr:row>
      <xdr:rowOff>170961</xdr:rowOff>
    </xdr:from>
    <xdr:to>
      <xdr:col>6</xdr:col>
      <xdr:colOff>265545</xdr:colOff>
      <xdr:row>20</xdr:row>
      <xdr:rowOff>92883</xdr:rowOff>
    </xdr:to>
    <xdr:graphicFrame macro="">
      <xdr:nvGraphicFramePr>
        <xdr:cNvPr id="22" name="Chart 21">
          <a:extLst>
            <a:ext uri="{FF2B5EF4-FFF2-40B4-BE49-F238E27FC236}">
              <a16:creationId xmlns:a16="http://schemas.microsoft.com/office/drawing/2014/main" id="{DFEAD7BE-D812-424B-B9C3-42A4F8520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428831</xdr:colOff>
      <xdr:row>21</xdr:row>
      <xdr:rowOff>46182</xdr:rowOff>
    </xdr:from>
    <xdr:to>
      <xdr:col>9</xdr:col>
      <xdr:colOff>163287</xdr:colOff>
      <xdr:row>35</xdr:row>
      <xdr:rowOff>122380</xdr:rowOff>
    </xdr:to>
    <xdr:graphicFrame macro="">
      <xdr:nvGraphicFramePr>
        <xdr:cNvPr id="2" name="Chart 1">
          <a:extLst>
            <a:ext uri="{FF2B5EF4-FFF2-40B4-BE49-F238E27FC236}">
              <a16:creationId xmlns:a16="http://schemas.microsoft.com/office/drawing/2014/main" id="{9BBE77CF-5882-482B-A2CD-933D9DE94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611908</xdr:colOff>
      <xdr:row>5</xdr:row>
      <xdr:rowOff>173181</xdr:rowOff>
    </xdr:from>
    <xdr:to>
      <xdr:col>15</xdr:col>
      <xdr:colOff>230910</xdr:colOff>
      <xdr:row>20</xdr:row>
      <xdr:rowOff>115455</xdr:rowOff>
    </xdr:to>
    <xdr:graphicFrame macro="">
      <xdr:nvGraphicFramePr>
        <xdr:cNvPr id="3" name="Chart 2">
          <a:extLst>
            <a:ext uri="{FF2B5EF4-FFF2-40B4-BE49-F238E27FC236}">
              <a16:creationId xmlns:a16="http://schemas.microsoft.com/office/drawing/2014/main" id="{0A5890AA-DDD7-4503-BA96-2FD1E5F72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590341</xdr:colOff>
      <xdr:row>0</xdr:row>
      <xdr:rowOff>141504</xdr:rowOff>
    </xdr:from>
    <xdr:to>
      <xdr:col>10</xdr:col>
      <xdr:colOff>536426</xdr:colOff>
      <xdr:row>5</xdr:row>
      <xdr:rowOff>31353</xdr:rowOff>
    </xdr:to>
    <xdr:sp macro="" textlink="">
      <xdr:nvSpPr>
        <xdr:cNvPr id="44" name="Rectangle: Rounded Corners 43">
          <a:extLst>
            <a:ext uri="{FF2B5EF4-FFF2-40B4-BE49-F238E27FC236}">
              <a16:creationId xmlns:a16="http://schemas.microsoft.com/office/drawing/2014/main" id="{73B04AB4-DAC8-501B-47C6-CE86B8259969}"/>
            </a:ext>
          </a:extLst>
        </xdr:cNvPr>
        <xdr:cNvSpPr/>
      </xdr:nvSpPr>
      <xdr:spPr>
        <a:xfrm>
          <a:off x="4265870" y="141504"/>
          <a:ext cx="2396438" cy="823673"/>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editAs="absolute">
    <xdr:from>
      <xdr:col>7</xdr:col>
      <xdr:colOff>286966</xdr:colOff>
      <xdr:row>1</xdr:row>
      <xdr:rowOff>19785</xdr:rowOff>
    </xdr:from>
    <xdr:to>
      <xdr:col>10</xdr:col>
      <xdr:colOff>223663</xdr:colOff>
      <xdr:row>2</xdr:row>
      <xdr:rowOff>59992</xdr:rowOff>
    </xdr:to>
    <xdr:sp macro="" textlink="">
      <xdr:nvSpPr>
        <xdr:cNvPr id="45" name="TextBox 44">
          <a:extLst>
            <a:ext uri="{FF2B5EF4-FFF2-40B4-BE49-F238E27FC236}">
              <a16:creationId xmlns:a16="http://schemas.microsoft.com/office/drawing/2014/main" id="{CBAC843F-88FB-279C-D7C4-81C132D8F7AE}"/>
            </a:ext>
          </a:extLst>
        </xdr:cNvPr>
        <xdr:cNvSpPr txBox="1"/>
      </xdr:nvSpPr>
      <xdr:spPr>
        <a:xfrm>
          <a:off x="4575084" y="206550"/>
          <a:ext cx="1760054" cy="2216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400" b="1">
              <a:solidFill>
                <a:schemeClr val="tx1"/>
              </a:solidFill>
              <a:effectLst/>
              <a:latin typeface="Arial" panose="020B0604020202020204" pitchFamily="34" charset="0"/>
              <a:ea typeface="+mn-ea"/>
              <a:cs typeface="Arial" panose="020B0604020202020204" pitchFamily="34" charset="0"/>
            </a:rPr>
            <a:t>Total Cars</a:t>
          </a:r>
          <a:endParaRPr lang="en-IN" sz="1400">
            <a:effectLst/>
            <a:latin typeface="Arial" panose="020B0604020202020204" pitchFamily="34" charset="0"/>
            <a:cs typeface="Arial" panose="020B0604020202020204" pitchFamily="34" charset="0"/>
          </a:endParaRPr>
        </a:p>
      </xdr:txBody>
    </xdr:sp>
    <xdr:clientData/>
  </xdr:twoCellAnchor>
  <xdr:twoCellAnchor editAs="absolute">
    <xdr:from>
      <xdr:col>7</xdr:col>
      <xdr:colOff>285467</xdr:colOff>
      <xdr:row>2</xdr:row>
      <xdr:rowOff>53563</xdr:rowOff>
    </xdr:from>
    <xdr:to>
      <xdr:col>10</xdr:col>
      <xdr:colOff>227114</xdr:colOff>
      <xdr:row>4</xdr:row>
      <xdr:rowOff>146158</xdr:rowOff>
    </xdr:to>
    <xdr:sp macro="" textlink="KPI!A2">
      <xdr:nvSpPr>
        <xdr:cNvPr id="46" name="TextBox 45">
          <a:extLst>
            <a:ext uri="{FF2B5EF4-FFF2-40B4-BE49-F238E27FC236}">
              <a16:creationId xmlns:a16="http://schemas.microsoft.com/office/drawing/2014/main" id="{5385CAA0-D849-E869-F898-CC955FB5FF0E}"/>
            </a:ext>
          </a:extLst>
        </xdr:cNvPr>
        <xdr:cNvSpPr txBox="1"/>
      </xdr:nvSpPr>
      <xdr:spPr>
        <a:xfrm>
          <a:off x="4573585" y="427092"/>
          <a:ext cx="1765004" cy="4554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A7522D0-1DBD-42E7-AB55-EC60DE9D82E1}" type="TxLink">
            <a:rPr lang="en-US" sz="1800" b="0" i="0" u="none" strike="noStrike">
              <a:solidFill>
                <a:srgbClr val="000000"/>
              </a:solidFill>
              <a:effectLst/>
              <a:latin typeface="Aptos Narrow"/>
              <a:cs typeface="Arial" panose="020B0604020202020204" pitchFamily="34" charset="0"/>
            </a:rPr>
            <a:pPr algn="ctr"/>
            <a:t>2500</a:t>
          </a:fld>
          <a:endParaRPr lang="en-IN" sz="1800">
            <a:effectLst/>
            <a:latin typeface="Arial" panose="020B0604020202020204" pitchFamily="34" charset="0"/>
            <a:cs typeface="Arial" panose="020B0604020202020204" pitchFamily="34" charset="0"/>
          </a:endParaRPr>
        </a:p>
      </xdr:txBody>
    </xdr:sp>
    <xdr:clientData/>
  </xdr:twoCellAnchor>
  <xdr:twoCellAnchor editAs="absolute">
    <xdr:from>
      <xdr:col>11</xdr:col>
      <xdr:colOff>37891</xdr:colOff>
      <xdr:row>0</xdr:row>
      <xdr:rowOff>141504</xdr:rowOff>
    </xdr:from>
    <xdr:to>
      <xdr:col>14</xdr:col>
      <xdr:colOff>593576</xdr:colOff>
      <xdr:row>5</xdr:row>
      <xdr:rowOff>31353</xdr:rowOff>
    </xdr:to>
    <xdr:sp macro="" textlink="">
      <xdr:nvSpPr>
        <xdr:cNvPr id="47" name="Rectangle: Rounded Corners 46">
          <a:extLst>
            <a:ext uri="{FF2B5EF4-FFF2-40B4-BE49-F238E27FC236}">
              <a16:creationId xmlns:a16="http://schemas.microsoft.com/office/drawing/2014/main" id="{AC332348-7F9D-038D-F21F-82F3B14DBFD5}"/>
            </a:ext>
          </a:extLst>
        </xdr:cNvPr>
        <xdr:cNvSpPr/>
      </xdr:nvSpPr>
      <xdr:spPr>
        <a:xfrm>
          <a:off x="6743491" y="141504"/>
          <a:ext cx="2384485" cy="81059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editAs="absolute">
    <xdr:from>
      <xdr:col>11</xdr:col>
      <xdr:colOff>344116</xdr:colOff>
      <xdr:row>1</xdr:row>
      <xdr:rowOff>19785</xdr:rowOff>
    </xdr:from>
    <xdr:to>
      <xdr:col>14</xdr:col>
      <xdr:colOff>280813</xdr:colOff>
      <xdr:row>2</xdr:row>
      <xdr:rowOff>59992</xdr:rowOff>
    </xdr:to>
    <xdr:sp macro="" textlink="">
      <xdr:nvSpPr>
        <xdr:cNvPr id="48" name="TextBox 47">
          <a:extLst>
            <a:ext uri="{FF2B5EF4-FFF2-40B4-BE49-F238E27FC236}">
              <a16:creationId xmlns:a16="http://schemas.microsoft.com/office/drawing/2014/main" id="{AA447408-8EA3-8D76-1728-5330B0072B4D}"/>
            </a:ext>
          </a:extLst>
        </xdr:cNvPr>
        <xdr:cNvSpPr txBox="1"/>
      </xdr:nvSpPr>
      <xdr:spPr>
        <a:xfrm>
          <a:off x="7049716" y="203935"/>
          <a:ext cx="1760054" cy="2216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1" i="0">
              <a:solidFill>
                <a:schemeClr val="tx1"/>
              </a:solidFill>
              <a:effectLst/>
              <a:latin typeface="Arial" panose="020B0604020202020204" pitchFamily="34" charset="0"/>
              <a:ea typeface="+mn-ea"/>
              <a:cs typeface="Arial" panose="020B0604020202020204" pitchFamily="34" charset="0"/>
            </a:rPr>
            <a:t>Avg.</a:t>
          </a:r>
          <a:r>
            <a:rPr lang="en-US" sz="1400" b="1" i="0" baseline="0">
              <a:solidFill>
                <a:schemeClr val="tx1"/>
              </a:solidFill>
              <a:effectLst/>
              <a:latin typeface="Arial" panose="020B0604020202020204" pitchFamily="34" charset="0"/>
              <a:ea typeface="+mn-ea"/>
              <a:cs typeface="Arial" panose="020B0604020202020204" pitchFamily="34" charset="0"/>
            </a:rPr>
            <a:t> Price</a:t>
          </a:r>
          <a:endParaRPr lang="en-IN" sz="1400" b="1">
            <a:effectLst/>
            <a:latin typeface="Arial" panose="020B0604020202020204" pitchFamily="34" charset="0"/>
            <a:cs typeface="Arial" panose="020B0604020202020204" pitchFamily="34" charset="0"/>
          </a:endParaRPr>
        </a:p>
      </xdr:txBody>
    </xdr:sp>
    <xdr:clientData/>
  </xdr:twoCellAnchor>
  <xdr:twoCellAnchor editAs="absolute">
    <xdr:from>
      <xdr:col>11</xdr:col>
      <xdr:colOff>342617</xdr:colOff>
      <xdr:row>2</xdr:row>
      <xdr:rowOff>53563</xdr:rowOff>
    </xdr:from>
    <xdr:to>
      <xdr:col>14</xdr:col>
      <xdr:colOff>284264</xdr:colOff>
      <xdr:row>4</xdr:row>
      <xdr:rowOff>146158</xdr:rowOff>
    </xdr:to>
    <xdr:sp macro="" textlink="KPI!C2">
      <xdr:nvSpPr>
        <xdr:cNvPr id="49" name="TextBox 48">
          <a:extLst>
            <a:ext uri="{FF2B5EF4-FFF2-40B4-BE49-F238E27FC236}">
              <a16:creationId xmlns:a16="http://schemas.microsoft.com/office/drawing/2014/main" id="{786239A7-B620-E4D5-6755-538167CBBAD2}"/>
            </a:ext>
          </a:extLst>
        </xdr:cNvPr>
        <xdr:cNvSpPr txBox="1"/>
      </xdr:nvSpPr>
      <xdr:spPr>
        <a:xfrm>
          <a:off x="7048217" y="421863"/>
          <a:ext cx="1765004" cy="4554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C84E421C-C467-4623-B0AB-18409A5F339D}" type="TxLink">
            <a:rPr lang="en-US" sz="1600" b="0" i="0" u="none" strike="noStrike">
              <a:solidFill>
                <a:srgbClr val="000000"/>
              </a:solidFill>
              <a:effectLst/>
              <a:latin typeface="Arial" panose="020B0604020202020204" pitchFamily="34" charset="0"/>
              <a:cs typeface="Arial" panose="020B0604020202020204" pitchFamily="34" charset="0"/>
            </a:rPr>
            <a:pPr algn="ctr"/>
            <a:t>52638</a:t>
          </a:fld>
          <a:endParaRPr lang="en-IN" sz="1600">
            <a:effectLst/>
            <a:latin typeface="Arial" panose="020B0604020202020204" pitchFamily="34" charset="0"/>
            <a:cs typeface="Arial" panose="020B0604020202020204" pitchFamily="34" charset="0"/>
          </a:endParaRPr>
        </a:p>
      </xdr:txBody>
    </xdr:sp>
    <xdr:clientData/>
  </xdr:twoCellAnchor>
  <xdr:twoCellAnchor editAs="absolute">
    <xdr:from>
      <xdr:col>15</xdr:col>
      <xdr:colOff>107741</xdr:colOff>
      <xdr:row>0</xdr:row>
      <xdr:rowOff>141504</xdr:rowOff>
    </xdr:from>
    <xdr:to>
      <xdr:col>19</xdr:col>
      <xdr:colOff>53826</xdr:colOff>
      <xdr:row>5</xdr:row>
      <xdr:rowOff>31353</xdr:rowOff>
    </xdr:to>
    <xdr:sp macro="" textlink="">
      <xdr:nvSpPr>
        <xdr:cNvPr id="50" name="Rectangle: Rounded Corners 49">
          <a:extLst>
            <a:ext uri="{FF2B5EF4-FFF2-40B4-BE49-F238E27FC236}">
              <a16:creationId xmlns:a16="http://schemas.microsoft.com/office/drawing/2014/main" id="{47B6E7F4-40BE-9B99-E2ED-08E8EB798742}"/>
            </a:ext>
          </a:extLst>
        </xdr:cNvPr>
        <xdr:cNvSpPr/>
      </xdr:nvSpPr>
      <xdr:spPr>
        <a:xfrm>
          <a:off x="9251741" y="141504"/>
          <a:ext cx="2384485" cy="81059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editAs="absolute">
    <xdr:from>
      <xdr:col>15</xdr:col>
      <xdr:colOff>413966</xdr:colOff>
      <xdr:row>1</xdr:row>
      <xdr:rowOff>19785</xdr:rowOff>
    </xdr:from>
    <xdr:to>
      <xdr:col>18</xdr:col>
      <xdr:colOff>350663</xdr:colOff>
      <xdr:row>2</xdr:row>
      <xdr:rowOff>59992</xdr:rowOff>
    </xdr:to>
    <xdr:sp macro="" textlink="">
      <xdr:nvSpPr>
        <xdr:cNvPr id="51" name="TextBox 50">
          <a:extLst>
            <a:ext uri="{FF2B5EF4-FFF2-40B4-BE49-F238E27FC236}">
              <a16:creationId xmlns:a16="http://schemas.microsoft.com/office/drawing/2014/main" id="{CEC80A33-90AA-E2E9-0ECD-8682C2986093}"/>
            </a:ext>
          </a:extLst>
        </xdr:cNvPr>
        <xdr:cNvSpPr txBox="1"/>
      </xdr:nvSpPr>
      <xdr:spPr>
        <a:xfrm>
          <a:off x="9557966" y="203935"/>
          <a:ext cx="1760054" cy="2216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1" i="0">
              <a:solidFill>
                <a:schemeClr val="tx1"/>
              </a:solidFill>
              <a:effectLst/>
              <a:latin typeface="Arial" panose="020B0604020202020204" pitchFamily="34" charset="0"/>
              <a:ea typeface="+mn-ea"/>
              <a:cs typeface="Arial" panose="020B0604020202020204" pitchFamily="34" charset="0"/>
            </a:rPr>
            <a:t>Avg. Mileage</a:t>
          </a:r>
          <a:endParaRPr lang="en-IN" sz="1400" b="1">
            <a:effectLst/>
            <a:latin typeface="Arial" panose="020B0604020202020204" pitchFamily="34" charset="0"/>
            <a:cs typeface="Arial" panose="020B0604020202020204" pitchFamily="34" charset="0"/>
          </a:endParaRPr>
        </a:p>
      </xdr:txBody>
    </xdr:sp>
    <xdr:clientData/>
  </xdr:twoCellAnchor>
  <xdr:twoCellAnchor editAs="absolute">
    <xdr:from>
      <xdr:col>15</xdr:col>
      <xdr:colOff>412467</xdr:colOff>
      <xdr:row>2</xdr:row>
      <xdr:rowOff>53563</xdr:rowOff>
    </xdr:from>
    <xdr:to>
      <xdr:col>18</xdr:col>
      <xdr:colOff>354114</xdr:colOff>
      <xdr:row>4</xdr:row>
      <xdr:rowOff>146158</xdr:rowOff>
    </xdr:to>
    <xdr:sp macro="" textlink="KPI!D2">
      <xdr:nvSpPr>
        <xdr:cNvPr id="52" name="TextBox 51">
          <a:extLst>
            <a:ext uri="{FF2B5EF4-FFF2-40B4-BE49-F238E27FC236}">
              <a16:creationId xmlns:a16="http://schemas.microsoft.com/office/drawing/2014/main" id="{03AB7EB8-9E82-889F-C005-689F02526F4F}"/>
            </a:ext>
          </a:extLst>
        </xdr:cNvPr>
        <xdr:cNvSpPr txBox="1"/>
      </xdr:nvSpPr>
      <xdr:spPr>
        <a:xfrm>
          <a:off x="9556467" y="421863"/>
          <a:ext cx="1765004" cy="4554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2F38BE72-33ED-4068-84C0-847FF2B37510}" type="TxLink">
            <a:rPr lang="en-US" sz="1600" b="0" i="0" u="none" strike="noStrike">
              <a:solidFill>
                <a:srgbClr val="000000"/>
              </a:solidFill>
              <a:effectLst/>
              <a:latin typeface="Arial" panose="020B0604020202020204" pitchFamily="34" charset="0"/>
              <a:cs typeface="Arial" panose="020B0604020202020204" pitchFamily="34" charset="0"/>
            </a:rPr>
            <a:pPr algn="ctr"/>
            <a:t>149750</a:t>
          </a:fld>
          <a:endParaRPr lang="en-IN" sz="1600">
            <a:effectLst/>
            <a:latin typeface="Arial" panose="020B0604020202020204" pitchFamily="34" charset="0"/>
            <a:cs typeface="Arial" panose="020B0604020202020204" pitchFamily="34" charset="0"/>
          </a:endParaRPr>
        </a:p>
      </xdr:txBody>
    </xdr:sp>
    <xdr:clientData/>
  </xdr:twoCellAnchor>
  <xdr:twoCellAnchor editAs="oneCell">
    <xdr:from>
      <xdr:col>0</xdr:col>
      <xdr:colOff>145142</xdr:colOff>
      <xdr:row>6</xdr:row>
      <xdr:rowOff>0</xdr:rowOff>
    </xdr:from>
    <xdr:to>
      <xdr:col>2</xdr:col>
      <xdr:colOff>330200</xdr:colOff>
      <xdr:row>18</xdr:row>
      <xdr:rowOff>172357</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F9499786-C30D-4352-AB2B-811D5A187A3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1113692"/>
              <a:ext cx="1837174" cy="2399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361463</xdr:colOff>
      <xdr:row>5</xdr:row>
      <xdr:rowOff>170960</xdr:rowOff>
    </xdr:from>
    <xdr:to>
      <xdr:col>10</xdr:col>
      <xdr:colOff>517770</xdr:colOff>
      <xdr:row>20</xdr:row>
      <xdr:rowOff>101975</xdr:rowOff>
    </xdr:to>
    <xdr:graphicFrame macro="">
      <xdr:nvGraphicFramePr>
        <xdr:cNvPr id="7" name="Chart 6">
          <a:extLst>
            <a:ext uri="{FF2B5EF4-FFF2-40B4-BE49-F238E27FC236}">
              <a16:creationId xmlns:a16="http://schemas.microsoft.com/office/drawing/2014/main" id="{70357C21-37FB-4E03-9650-91628C800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146050</xdr:colOff>
      <xdr:row>19</xdr:row>
      <xdr:rowOff>147210</xdr:rowOff>
    </xdr:from>
    <xdr:to>
      <xdr:col>2</xdr:col>
      <xdr:colOff>330200</xdr:colOff>
      <xdr:row>28</xdr:row>
      <xdr:rowOff>13283</xdr:rowOff>
    </xdr:to>
    <mc:AlternateContent xmlns:mc="http://schemas.openxmlformats.org/markup-compatibility/2006">
      <mc:Choice xmlns:a14="http://schemas.microsoft.com/office/drawing/2010/main" Requires="a14">
        <xdr:graphicFrame macro="">
          <xdr:nvGraphicFramePr>
            <xdr:cNvPr id="8" name="Fuel Type2">
              <a:extLst>
                <a:ext uri="{FF2B5EF4-FFF2-40B4-BE49-F238E27FC236}">
                  <a16:creationId xmlns:a16="http://schemas.microsoft.com/office/drawing/2014/main" id="{BC7168AF-F279-422B-889A-B10889DFDB2D}"/>
                </a:ext>
              </a:extLst>
            </xdr:cNvPr>
            <xdr:cNvGraphicFramePr/>
          </xdr:nvGraphicFramePr>
          <xdr:xfrm>
            <a:off x="0" y="0"/>
            <a:ext cx="0" cy="0"/>
          </xdr:xfrm>
          <a:graphic>
            <a:graphicData uri="http://schemas.microsoft.com/office/drawing/2010/slicer">
              <sle:slicer xmlns:sle="http://schemas.microsoft.com/office/drawing/2010/slicer" name="Fuel Type2"/>
            </a:graphicData>
          </a:graphic>
        </xdr:graphicFrame>
      </mc:Choice>
      <mc:Fallback>
        <xdr:sp macro="" textlink="">
          <xdr:nvSpPr>
            <xdr:cNvPr id="0" name=""/>
            <xdr:cNvSpPr>
              <a:spLocks noTextEdit="1"/>
            </xdr:cNvSpPr>
          </xdr:nvSpPr>
          <xdr:spPr>
            <a:xfrm>
              <a:off x="146050" y="3594353"/>
              <a:ext cx="1399721" cy="1498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311729</xdr:colOff>
      <xdr:row>5</xdr:row>
      <xdr:rowOff>138547</xdr:rowOff>
    </xdr:from>
    <xdr:to>
      <xdr:col>23</xdr:col>
      <xdr:colOff>127000</xdr:colOff>
      <xdr:row>20</xdr:row>
      <xdr:rowOff>114593</xdr:rowOff>
    </xdr:to>
    <xdr:graphicFrame macro="">
      <xdr:nvGraphicFramePr>
        <xdr:cNvPr id="9" name="Chart 8">
          <a:extLst>
            <a:ext uri="{FF2B5EF4-FFF2-40B4-BE49-F238E27FC236}">
              <a16:creationId xmlns:a16="http://schemas.microsoft.com/office/drawing/2014/main" id="{5F1F1665-D307-3881-FA6D-A559392B9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242454</xdr:colOff>
      <xdr:row>21</xdr:row>
      <xdr:rowOff>46182</xdr:rowOff>
    </xdr:from>
    <xdr:to>
      <xdr:col>15</xdr:col>
      <xdr:colOff>444500</xdr:colOff>
      <xdr:row>35</xdr:row>
      <xdr:rowOff>114300</xdr:rowOff>
    </xdr:to>
    <xdr:graphicFrame macro="">
      <xdr:nvGraphicFramePr>
        <xdr:cNvPr id="12" name="Chart 11">
          <a:extLst>
            <a:ext uri="{FF2B5EF4-FFF2-40B4-BE49-F238E27FC236}">
              <a16:creationId xmlns:a16="http://schemas.microsoft.com/office/drawing/2014/main" id="{93B4B610-5EE7-4C7C-9388-F7B30ED2E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144517</xdr:colOff>
      <xdr:row>28</xdr:row>
      <xdr:rowOff>158750</xdr:rowOff>
    </xdr:from>
    <xdr:to>
      <xdr:col>2</xdr:col>
      <xdr:colOff>323850</xdr:colOff>
      <xdr:row>35</xdr:row>
      <xdr:rowOff>118243</xdr:rowOff>
    </xdr:to>
    <mc:AlternateContent xmlns:mc="http://schemas.openxmlformats.org/markup-compatibility/2006">
      <mc:Choice xmlns:a14="http://schemas.microsoft.com/office/drawing/2010/main" Requires="a14">
        <xdr:graphicFrame macro="">
          <xdr:nvGraphicFramePr>
            <xdr:cNvPr id="13" name="Condition">
              <a:extLst>
                <a:ext uri="{FF2B5EF4-FFF2-40B4-BE49-F238E27FC236}">
                  <a16:creationId xmlns:a16="http://schemas.microsoft.com/office/drawing/2014/main" id="{0CA1715E-3AC1-4E7C-B136-565A9E43CE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144517" y="5238750"/>
              <a:ext cx="1394904" cy="1229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373207</xdr:colOff>
      <xdr:row>13</xdr:row>
      <xdr:rowOff>48491</xdr:rowOff>
    </xdr:from>
    <xdr:to>
      <xdr:col>26</xdr:col>
      <xdr:colOff>68406</xdr:colOff>
      <xdr:row>28</xdr:row>
      <xdr:rowOff>29441</xdr:rowOff>
    </xdr:to>
    <xdr:graphicFrame macro="">
      <xdr:nvGraphicFramePr>
        <xdr:cNvPr id="3" name="Chart 2">
          <a:extLst>
            <a:ext uri="{FF2B5EF4-FFF2-40B4-BE49-F238E27FC236}">
              <a16:creationId xmlns:a16="http://schemas.microsoft.com/office/drawing/2014/main" id="{99E0F89D-62BE-C2A3-B8D0-512BAFECA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18473</xdr:colOff>
      <xdr:row>6</xdr:row>
      <xdr:rowOff>156441</xdr:rowOff>
    </xdr:from>
    <xdr:to>
      <xdr:col>13</xdr:col>
      <xdr:colOff>364837</xdr:colOff>
      <xdr:row>21</xdr:row>
      <xdr:rowOff>136813</xdr:rowOff>
    </xdr:to>
    <xdr:graphicFrame macro="">
      <xdr:nvGraphicFramePr>
        <xdr:cNvPr id="4" name="Chart 3">
          <a:extLst>
            <a:ext uri="{FF2B5EF4-FFF2-40B4-BE49-F238E27FC236}">
              <a16:creationId xmlns:a16="http://schemas.microsoft.com/office/drawing/2014/main" id="{42024D10-908E-04DA-29D4-E0D699044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696206365741" backgroundQuery="1" createdVersion="8" refreshedVersion="8" minRefreshableVersion="3" recordCount="0" supportSubquery="1" supportAdvancedDrill="1" xr:uid="{F996D248-8D95-4368-8522-01238D1E5DDD}">
  <cacheSource type="external" connectionId="3"/>
  <cacheFields count="1">
    <cacheField name="[Measures].[Sum of Mileage]" caption="Sum of Mileage" numFmtId="0" hierarchy="20" level="32767"/>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0" memberValueDatatype="130" unbalanced="0"/>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0"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696207060188" backgroundQuery="1" createdVersion="8" refreshedVersion="8" minRefreshableVersion="3" recordCount="0" supportSubquery="1" supportAdvancedDrill="1" xr:uid="{1CE08F3D-E71A-49C7-82C8-16D100ADB870}">
  <cacheSource type="external" connectionId="3"/>
  <cacheFields count="1">
    <cacheField name="[car_price_prediction_].[Brand].[Brand]" caption="Brand" numFmtId="0" hierarchy="1" level="1">
      <sharedItems count="7">
        <s v="Audi"/>
        <s v="BMW"/>
        <s v="Ford"/>
        <s v="Honda"/>
        <s v="Mercedes"/>
        <s v="Tesla"/>
        <s v="Toyota"/>
      </sharedItems>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0"/>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0"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696208680558" backgroundQuery="1" createdVersion="8" refreshedVersion="8" minRefreshableVersion="3" recordCount="0" supportSubquery="1" supportAdvancedDrill="1" xr:uid="{863955AB-5D39-4E6C-9122-A6BE7247E1E7}">
  <cacheSource type="external" connectionId="3"/>
  <cacheFields count="2">
    <cacheField name="[car_price_prediction_].[Year].[Year]" caption="Year" numFmtId="0" hierarchy="2" level="1">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car_price_prediction_].[Year].&amp;[2000]"/>
            <x15:cachedUniqueName index="1" name="[car_price_prediction_].[Year].&amp;[2001]"/>
            <x15:cachedUniqueName index="2" name="[car_price_prediction_].[Year].&amp;[2002]"/>
            <x15:cachedUniqueName index="3" name="[car_price_prediction_].[Year].&amp;[2003]"/>
            <x15:cachedUniqueName index="4" name="[car_price_prediction_].[Year].&amp;[2004]"/>
            <x15:cachedUniqueName index="5" name="[car_price_prediction_].[Year].&amp;[2005]"/>
            <x15:cachedUniqueName index="6" name="[car_price_prediction_].[Year].&amp;[2006]"/>
            <x15:cachedUniqueName index="7" name="[car_price_prediction_].[Year].&amp;[2007]"/>
            <x15:cachedUniqueName index="8" name="[car_price_prediction_].[Year].&amp;[2008]"/>
            <x15:cachedUniqueName index="9" name="[car_price_prediction_].[Year].&amp;[2009]"/>
            <x15:cachedUniqueName index="10" name="[car_price_prediction_].[Year].&amp;[2010]"/>
            <x15:cachedUniqueName index="11" name="[car_price_prediction_].[Year].&amp;[2011]"/>
            <x15:cachedUniqueName index="12" name="[car_price_prediction_].[Year].&amp;[2012]"/>
            <x15:cachedUniqueName index="13" name="[car_price_prediction_].[Year].&amp;[2013]"/>
            <x15:cachedUniqueName index="14" name="[car_price_prediction_].[Year].&amp;[2014]"/>
            <x15:cachedUniqueName index="15" name="[car_price_prediction_].[Year].&amp;[2015]"/>
            <x15:cachedUniqueName index="16" name="[car_price_prediction_].[Year].&amp;[2016]"/>
            <x15:cachedUniqueName index="17" name="[car_price_prediction_].[Year].&amp;[2017]"/>
            <x15:cachedUniqueName index="18" name="[car_price_prediction_].[Year].&amp;[2018]"/>
            <x15:cachedUniqueName index="19" name="[car_price_prediction_].[Year].&amp;[2019]"/>
            <x15:cachedUniqueName index="20" name="[car_price_prediction_].[Year].&amp;[2020]"/>
            <x15:cachedUniqueName index="21" name="[car_price_prediction_].[Year].&amp;[2021]"/>
            <x15:cachedUniqueName index="22" name="[car_price_prediction_].[Year].&amp;[2022]"/>
            <x15:cachedUniqueName index="23" name="[car_price_prediction_].[Year].&amp;[2023]"/>
          </x15:cachedUniqueNames>
        </ext>
      </extLst>
    </cacheField>
    <cacheField name="[Measures].[Sum of Price]" caption="Sum of Price" numFmtId="0" hierarchy="21" level="32767"/>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0" memberValueDatatype="130" unbalanced="0"/>
    <cacheHierarchy uniqueName="[car_price_prediction_].[Year]" caption="Year" attribute="1" defaultMemberUniqueName="[car_price_prediction_].[Year].[All]" allUniqueName="[car_price_prediction_].[Year].[All]" dimensionUniqueName="[car_price_prediction_]" displayFolder="" count="2" memberValueDatatype="20" unbalanced="0">
      <fieldsUsage count="2">
        <fieldUsage x="-1"/>
        <fieldUsage x="0"/>
      </fieldsUsage>
    </cacheHierarchy>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0"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69620972222" backgroundQuery="1" createdVersion="8" refreshedVersion="8" minRefreshableVersion="3" recordCount="0" supportSubquery="1" supportAdvancedDrill="1" xr:uid="{0A1AC09B-AA28-445D-9A91-34C965B7EA52}">
  <cacheSource type="external" connectionId="3"/>
  <cacheFields count="2">
    <cacheField name="[car_price_prediction_].[Brand].[Brand]" caption="Brand" numFmtId="0" hierarchy="1" level="1">
      <sharedItems count="7">
        <s v="Audi"/>
        <s v="BMW"/>
        <s v="Ford"/>
        <s v="Honda"/>
        <s v="Mercedes"/>
        <s v="Tesla"/>
        <s v="Toyota"/>
      </sharedItems>
    </cacheField>
    <cacheField name="[Measures].[Count of Car ID]" caption="Count of Car ID" numFmtId="0" hierarchy="18" level="32767"/>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0"/>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0"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223148151" backgroundQuery="1" createdVersion="8" refreshedVersion="8" minRefreshableVersion="3" recordCount="0" supportSubquery="1" supportAdvancedDrill="1" xr:uid="{81555ABA-7E58-4218-9695-F25D9C13BDFC}">
  <cacheSource type="external" connectionId="3"/>
  <cacheFields count="3">
    <cacheField name="[car_price_prediction_].[Fuel Type2].[Fuel Type2]" caption="Fuel Type2" numFmtId="0" hierarchy="8" level="1">
      <sharedItems count="4">
        <s v="Diesel"/>
        <s v="Electric"/>
        <s v="Hybrid"/>
        <s v="Petrol"/>
      </sharedItems>
    </cacheField>
    <cacheField name="[Measures].[Count of Car ID]" caption="Count of Car ID" numFmtId="0" hierarchy="18" level="32767"/>
    <cacheField name="[car_price_prediction_].[Condition].[Condition]" caption="Condition" numFmtId="0" hierarchy="5"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0" memberValueDatatype="130" unbalanced="0"/>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fieldsUsage count="2">
        <fieldUsage x="-1"/>
        <fieldUsage x="2"/>
      </fieldsUsage>
    </cacheHierarchy>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fieldsUsage count="2">
        <fieldUsage x="-1"/>
        <fieldUsage x="0"/>
      </fieldsUsage>
    </cacheHierarchy>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224074075" backgroundQuery="1" createdVersion="8" refreshedVersion="8" minRefreshableVersion="3" recordCount="0" supportSubquery="1" supportAdvancedDrill="1" xr:uid="{702FB62E-8BF6-403A-A474-AF66876A79BA}">
  <cacheSource type="external" connectionId="3"/>
  <cacheFields count="3">
    <cacheField name="[car_price_prediction_].[Brand].[Brand]" caption="Brand" numFmtId="0" hierarchy="1" level="1">
      <sharedItems count="7">
        <s v="Audi"/>
        <s v="BMW"/>
        <s v="Ford"/>
        <s v="Honda"/>
        <s v="Mercedes"/>
        <s v="Tesla"/>
        <s v="Toyota"/>
      </sharedItems>
    </cacheField>
    <cacheField name="[car_price_prediction_].[Transmission2].[Transmission2]" caption="Transmission2" numFmtId="0" hierarchy="9" level="1">
      <sharedItems count="2">
        <s v="Automatic"/>
        <s v="Manual"/>
      </sharedItems>
    </cacheField>
    <cacheField name="[car_price_prediction_].[Condition].[Condition]" caption="Condition" numFmtId="0" hierarchy="5"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0"/>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fieldsUsage count="2">
        <fieldUsage x="-1"/>
        <fieldUsage x="2"/>
      </fieldsUsage>
    </cacheHierarchy>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0"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2" memberValueDatatype="130" unbalanced="0">
      <fieldsUsage count="2">
        <fieldUsage x="-1"/>
        <fieldUsage x="1"/>
      </fieldsUsage>
    </cacheHierarchy>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241203702" backgroundQuery="1" createdVersion="8" refreshedVersion="8" minRefreshableVersion="3" recordCount="0" supportSubquery="1" supportAdvancedDrill="1" xr:uid="{A9561543-EC8D-4402-821D-51687DD6F0B8}">
  <cacheSource type="external" connectionId="3"/>
  <cacheFields count="3">
    <cacheField name="[car_price_prediction_].[Brand].[Brand]" caption="Brand" numFmtId="0" hierarchy="1" level="1">
      <sharedItems count="7">
        <s v="Audi"/>
        <s v="BMW"/>
        <s v="Ford"/>
        <s v="Honda"/>
        <s v="Mercedes"/>
        <s v="Tesla"/>
        <s v="Toyota"/>
      </sharedItems>
    </cacheField>
    <cacheField name="[Measures].[Sum of Price]" caption="Sum of Price" numFmtId="0" hierarchy="21" level="32767"/>
    <cacheField name="[car_price_prediction_].[Fuel Type2].[Fuel Type2]" caption="Fuel Type2" numFmtId="0" hierarchy="8"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0"/>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fieldsUsage count="2">
        <fieldUsage x="-1"/>
        <fieldUsage x="2"/>
      </fieldsUsage>
    </cacheHierarchy>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795717594" backgroundQuery="1" createdVersion="8" refreshedVersion="8" minRefreshableVersion="3" recordCount="0" supportSubquery="1" supportAdvancedDrill="1" xr:uid="{2B90EC10-3920-4961-811D-6D4C32853DF8}">
  <cacheSource type="external" connectionId="3"/>
  <cacheFields count="2">
    <cacheField name="[Measures].[Count of Car ID]" caption="Count of Car ID" numFmtId="0" hierarchy="18"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1"/>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796296294" backgroundQuery="1" createdVersion="8" refreshedVersion="8" minRefreshableVersion="3" recordCount="0" supportSubquery="1" supportAdvancedDrill="1" xr:uid="{6FFEFC68-FD32-436B-B0BD-0E795EBCF0FB}">
  <cacheSource type="external" connectionId="3"/>
  <cacheFields count="2">
    <cacheField name="[Measures].[Average of Price]" caption="Average of Price" numFmtId="0" hierarchy="25"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1"/>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797222225" backgroundQuery="1" createdVersion="8" refreshedVersion="8" minRefreshableVersion="3" recordCount="0" supportSubquery="1" supportAdvancedDrill="1" xr:uid="{5525A167-9C50-43DD-BAAA-C88F354DC9D4}">
  <cacheSource type="external" connectionId="3"/>
  <cacheFields count="2">
    <cacheField name="[Measures].[Average of Mileage]" caption="Average of Mileage" numFmtId="0" hierarchy="28"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1"/>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798495373" backgroundQuery="1" createdVersion="8" refreshedVersion="8" minRefreshableVersion="3" recordCount="0" supportSubquery="1" supportAdvancedDrill="1" xr:uid="{6329E715-BBE8-4691-93FC-9918AC7D5FE7}">
  <cacheSource type="external" connectionId="3"/>
  <cacheFields count="3">
    <cacheField name="[car_price_prediction_].[Transmission2].[Transmission2]" caption="Transmission2" numFmtId="0" hierarchy="9" level="1">
      <sharedItems count="2">
        <s v="Automatic"/>
        <s v="Manual"/>
      </sharedItems>
    </cacheField>
    <cacheField name="[Measures].[Count of Car ID]" caption="Count of Car ID" numFmtId="0" hierarchy="18"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2"/>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2" memberValueDatatype="130" unbalanced="0">
      <fieldsUsage count="2">
        <fieldUsage x="-1"/>
        <fieldUsage x="0"/>
      </fieldsUsage>
    </cacheHierarchy>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799189812" backgroundQuery="1" createdVersion="8" refreshedVersion="8" minRefreshableVersion="3" recordCount="0" supportSubquery="1" supportAdvancedDrill="1" xr:uid="{65F5E478-039E-4A50-97F9-147C5090070E}">
  <cacheSource type="external" connectionId="3"/>
  <cacheFields count="3">
    <cacheField name="[car_price_prediction_].[Condition].[Condition]" caption="Condition" numFmtId="0" hierarchy="5" level="1">
      <sharedItems count="3">
        <s v="Like New"/>
        <s v="New"/>
        <s v="Used"/>
      </sharedItems>
    </cacheField>
    <cacheField name="[Measures].[Count of Car ID]" caption="Count of Car ID" numFmtId="0" hierarchy="18"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2"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2"/>
      </fieldsUsage>
    </cacheHierarchy>
    <cacheHierarchy uniqueName="[car_price_prediction_].[Year]" caption="Year" attribute="1" defaultMemberUniqueName="[car_price_prediction_].[Year].[All]" allUniqueName="[car_price_prediction_].[Year].[All]" dimensionUniqueName="[car_price_prediction_]" displayFolder="" count="2"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2" memberValueDatatype="5" unbalanced="0"/>
    <cacheHierarchy uniqueName="[car_price_prediction_].[Mileage]" caption="Mileage" attribute="1" defaultMemberUniqueName="[car_price_prediction_].[Mileage].[All]" allUniqueName="[car_price_prediction_].[Mileage].[All]" dimensionUniqueName="[car_price_prediction_]" displayFolder="" count="2"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fieldsUsage count="2">
        <fieldUsage x="-1"/>
        <fieldUsage x="0"/>
      </fieldsUsage>
    </cacheHierarchy>
    <cacheHierarchy uniqueName="[car_price_prediction_].[Price]" caption="Price" attribute="1" defaultMemberUniqueName="[car_price_prediction_].[Price].[All]" allUniqueName="[car_price_prediction_].[Price].[All]" dimensionUniqueName="[car_price_prediction_]" displayFolder="" count="2" memberValueDatatype="5" unbalanced="0"/>
    <cacheHierarchy uniqueName="[car_price_prediction_].[Model]" caption="Model" attribute="1" defaultMemberUniqueName="[car_price_prediction_].[Model].[All]" allUniqueName="[car_price_prediction_].[Model].[All]" dimensionUniqueName="[car_price_prediction_]" displayFolder="" count="2"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2" memberValueDatatype="130" unbalanced="0"/>
    <cacheHierarchy uniqueName="[Range].[20000]" caption="20000" attribute="1" defaultMemberUniqueName="[Range].[20000].[All]" allUniqueName="[Range].[20000].[All]" dimensionUniqueName="[Range]" displayFolder="" count="2"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800925928" backgroundQuery="1" createdVersion="8" refreshedVersion="8" minRefreshableVersion="3" recordCount="0" supportSubquery="1" supportAdvancedDrill="1" xr:uid="{C436670E-F4C0-4EC5-BEA5-65EA8739B142}">
  <cacheSource type="external" connectionId="3"/>
  <cacheFields count="4">
    <cacheField name="[car_price_prediction_].[Transmission2].[Transmission2]" caption="Transmission2" numFmtId="0" hierarchy="9" level="1">
      <sharedItems count="2">
        <s v="Automatic"/>
        <s v="Manual"/>
      </sharedItems>
    </cacheField>
    <cacheField name="[Measures].[Count of Car ID]" caption="Count of Car ID" numFmtId="0" hierarchy="18" level="32767"/>
    <cacheField name="[car_price_prediction_].[Year].[Year]" caption="Year" numFmtId="0" hierarchy="2" level="1">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car_price_prediction_].[Year].&amp;[2000]"/>
            <x15:cachedUniqueName index="1" name="[car_price_prediction_].[Year].&amp;[2001]"/>
            <x15:cachedUniqueName index="2" name="[car_price_prediction_].[Year].&amp;[2002]"/>
            <x15:cachedUniqueName index="3" name="[car_price_prediction_].[Year].&amp;[2003]"/>
            <x15:cachedUniqueName index="4" name="[car_price_prediction_].[Year].&amp;[2004]"/>
            <x15:cachedUniqueName index="5" name="[car_price_prediction_].[Year].&amp;[2005]"/>
            <x15:cachedUniqueName index="6" name="[car_price_prediction_].[Year].&amp;[2006]"/>
            <x15:cachedUniqueName index="7" name="[car_price_prediction_].[Year].&amp;[2007]"/>
            <x15:cachedUniqueName index="8" name="[car_price_prediction_].[Year].&amp;[2008]"/>
            <x15:cachedUniqueName index="9" name="[car_price_prediction_].[Year].&amp;[2009]"/>
            <x15:cachedUniqueName index="10" name="[car_price_prediction_].[Year].&amp;[2010]"/>
            <x15:cachedUniqueName index="11" name="[car_price_prediction_].[Year].&amp;[2011]"/>
            <x15:cachedUniqueName index="12" name="[car_price_prediction_].[Year].&amp;[2012]"/>
            <x15:cachedUniqueName index="13" name="[car_price_prediction_].[Year].&amp;[2013]"/>
            <x15:cachedUniqueName index="14" name="[car_price_prediction_].[Year].&amp;[2014]"/>
            <x15:cachedUniqueName index="15" name="[car_price_prediction_].[Year].&amp;[2015]"/>
            <x15:cachedUniqueName index="16" name="[car_price_prediction_].[Year].&amp;[2016]"/>
            <x15:cachedUniqueName index="17" name="[car_price_prediction_].[Year].&amp;[2017]"/>
            <x15:cachedUniqueName index="18" name="[car_price_prediction_].[Year].&amp;[2018]"/>
            <x15:cachedUniqueName index="19" name="[car_price_prediction_].[Year].&amp;[2019]"/>
            <x15:cachedUniqueName index="20" name="[car_price_prediction_].[Year].&amp;[2020]"/>
            <x15:cachedUniqueName index="21" name="[car_price_prediction_].[Year].&amp;[2021]"/>
            <x15:cachedUniqueName index="22" name="[car_price_prediction_].[Year].&amp;[2022]"/>
            <x15:cachedUniqueName index="23" name="[car_price_prediction_].[Year].&amp;[2023]"/>
          </x15:cachedUniqueNames>
        </ext>
      </extLst>
    </cacheField>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3"/>
      </fieldsUsage>
    </cacheHierarchy>
    <cacheHierarchy uniqueName="[car_price_prediction_].[Year]" caption="Year" attribute="1" defaultMemberUniqueName="[car_price_prediction_].[Year].[All]" allUniqueName="[car_price_prediction_].[Year].[All]" dimensionUniqueName="[car_price_prediction_]" displayFolder="" count="2" memberValueDatatype="20" unbalanced="0">
      <fieldsUsage count="2">
        <fieldUsage x="-1"/>
        <fieldUsage x="2"/>
      </fieldsUsage>
    </cacheHierarchy>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2" memberValueDatatype="130" unbalanced="0">
      <fieldsUsage count="2">
        <fieldUsage x="-1"/>
        <fieldUsage x="0"/>
      </fieldsUsage>
    </cacheHierarchy>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801851852" backgroundQuery="1" createdVersion="8" refreshedVersion="8" minRefreshableVersion="3" recordCount="0" supportSubquery="1" supportAdvancedDrill="1" xr:uid="{0FAB0EFB-7881-4269-A22F-68154594EE93}">
  <cacheSource type="external" connectionId="3"/>
  <cacheFields count="2">
    <cacheField name="[car_price_prediction_].[Brand].[Brand]" caption="Brand" numFmtId="0" hierarchy="1" level="1">
      <sharedItems count="7">
        <s v="Audi"/>
        <s v="BMW"/>
        <s v="Ford"/>
        <s v="Honda"/>
        <s v="Mercedes"/>
        <s v="Tesla"/>
        <s v="Toyota"/>
      </sharedItems>
    </cacheField>
    <cacheField name="[Measures].[Count of Car ID]" caption="Count of Car ID" numFmtId="0" hierarchy="18" level="32767"/>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0"/>
      </fieldsUsage>
    </cacheHierarchy>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70980300926" backgroundQuery="1" createdVersion="8" refreshedVersion="8" minRefreshableVersion="3" recordCount="0" supportSubquery="1" supportAdvancedDrill="1" xr:uid="{FB4AAC2B-D19F-403B-BF97-2BA69C54E32A}">
  <cacheSource type="external" connectionId="3"/>
  <cacheFields count="3">
    <cacheField name="[car_price_prediction_].[Engine Size].[Engine Size]" caption="Engine Size" numFmtId="0" hierarchy="3" level="1">
      <sharedItems containsSemiMixedTypes="0" containsString="0" containsNumber="1" minValue="1" maxValue="6" count="51">
        <n v="1"/>
        <n v="1.1000000000000001"/>
        <n v="1.2"/>
        <n v="1.3"/>
        <n v="1.4"/>
        <n v="1.5"/>
        <n v="1.6"/>
        <n v="1.7"/>
        <n v="1.8"/>
        <n v="1.9"/>
        <n v="2"/>
        <n v="2.1"/>
        <n v="2.2000000000000002"/>
        <n v="2.2999999999999998"/>
        <n v="2.4"/>
        <n v="2.5"/>
        <n v="2.6"/>
        <n v="2.7"/>
        <n v="2.8"/>
        <n v="2.9"/>
        <n v="3"/>
        <n v="3.1"/>
        <n v="3.2"/>
        <n v="3.3"/>
        <n v="3.4"/>
        <n v="3.5"/>
        <n v="3.6"/>
        <n v="3.7"/>
        <n v="3.8"/>
        <n v="3.9"/>
        <n v="4"/>
        <n v="4.0999999999999996"/>
        <n v="4.2"/>
        <n v="4.3"/>
        <n v="4.4000000000000004"/>
        <n v="4.5"/>
        <n v="4.5999999999999996"/>
        <n v="4.7"/>
        <n v="4.8"/>
        <n v="4.9000000000000004"/>
        <n v="5"/>
        <n v="5.0999999999999996"/>
        <n v="5.2"/>
        <n v="5.3"/>
        <n v="5.4"/>
        <n v="5.5"/>
        <n v="5.6"/>
        <n v="5.7"/>
        <n v="5.8"/>
        <n v="5.9"/>
        <n v="6"/>
      </sharedItems>
    </cacheField>
    <cacheField name="[Measures].[Sum of Price]" caption="Sum of Price" numFmtId="0" hierarchy="21" level="32767"/>
    <cacheField name="[car_price_prediction_].[Brand].[Brand]" caption="Brand" numFmtId="0" hierarchy="1" level="1">
      <sharedItems containsSemiMixedTypes="0" containsNonDate="0" containsString="0"/>
    </cacheField>
  </cacheFields>
  <cacheHierarchies count="30">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fieldsUsage count="2">
        <fieldUsage x="-1"/>
        <fieldUsage x="2"/>
      </fieldsUsage>
    </cacheHierarchy>
    <cacheHierarchy uniqueName="[car_price_prediction_].[Year]" caption="Year" attribute="1" defaultMemberUniqueName="[car_price_prediction_].[Year].[All]" allUniqueName="[car_price_prediction_].[Year].[All]" dimensionUniqueName="[car_price_prediction_]" displayFolder="" count="2"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2" memberValueDatatype="5" unbalanced="0">
      <fieldsUsage count="2">
        <fieldUsage x="-1"/>
        <fieldUsage x="0"/>
      </fieldsUsage>
    </cacheHierarchy>
    <cacheHierarchy uniqueName="[car_price_prediction_].[Mileage]" caption="Mileage" attribute="1" defaultMemberUniqueName="[car_price_prediction_].[Mileage].[All]" allUniqueName="[car_price_prediction_].[Mileage].[All]" dimensionUniqueName="[car_price_prediction_]" displayFolder="" count="2"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2" memberValueDatatype="5" unbalanced="0"/>
    <cacheHierarchy uniqueName="[car_price_prediction_].[Model]" caption="Model" attribute="1" defaultMemberUniqueName="[car_price_prediction_].[Model].[All]" allUniqueName="[car_price_prediction_].[Model].[All]" dimensionUniqueName="[car_price_prediction_]" displayFolder="" count="2"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Count of Mileage]" caption="Count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dimensions count="3">
    <dimension name="car_price_prediction_" uniqueName="[car_price_prediction_]" caption="car_price_prediction_"/>
    <dimension measure="1" name="Measures" uniqueName="[Measures]" caption="Measures"/>
    <dimension name="Range" uniqueName="[Range]" caption="Range"/>
  </dimensions>
  <measureGroups count="2">
    <measureGroup name="car_price_prediction_" caption="car_price_prediction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39159143518" backgroundQuery="1" createdVersion="3" refreshedVersion="8" minRefreshableVersion="3" recordCount="0" supportSubquery="1" supportAdvancedDrill="1" xr:uid="{2AAF0ED6-FF57-45A9-A8EC-80A8FE0F21AA}">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r_price_prediction_].[Car ID]" caption="Car ID" attribute="1" defaultMemberUniqueName="[car_price_prediction_].[Car ID].[All]" allUniqueName="[car_price_prediction_].[Car ID].[All]" dimensionUniqueName="[car_price_prediction_]" displayFolder="" count="0" memberValueDatatype="20" unbalanced="0"/>
    <cacheHierarchy uniqueName="[car_price_prediction_].[Brand]" caption="Brand" attribute="1" defaultMemberUniqueName="[car_price_prediction_].[Brand].[All]" allUniqueName="[car_price_prediction_].[Brand].[All]" dimensionUniqueName="[car_price_prediction_]" displayFolder="" count="2" memberValueDatatype="130" unbalanced="0"/>
    <cacheHierarchy uniqueName="[car_price_prediction_].[Year]" caption="Year" attribute="1" defaultMemberUniqueName="[car_price_prediction_].[Year].[All]" allUniqueName="[car_price_prediction_].[Year].[All]" dimensionUniqueName="[car_price_prediction_]" displayFolder="" count="0" memberValueDatatype="20" unbalanced="0"/>
    <cacheHierarchy uniqueName="[car_price_prediction_].[Engine Size]" caption="Engine Size" attribute="1" defaultMemberUniqueName="[car_price_prediction_].[Engine Size].[All]" allUniqueName="[car_price_prediction_].[Engine Size].[All]" dimensionUniqueName="[car_price_prediction_]" displayFolder="" count="0" memberValueDatatype="5" unbalanced="0"/>
    <cacheHierarchy uniqueName="[car_price_prediction_].[Mileage]" caption="Mileage" attribute="1" defaultMemberUniqueName="[car_price_prediction_].[Mileage].[All]" allUniqueName="[car_price_prediction_].[Mileage].[All]" dimensionUniqueName="[car_price_prediction_]" displayFolder="" count="0" memberValueDatatype="20" unbalanced="0"/>
    <cacheHierarchy uniqueName="[car_price_prediction_].[Condition]" caption="Condition" attribute="1" defaultMemberUniqueName="[car_price_prediction_].[Condition].[All]" allUniqueName="[car_price_prediction_].[Condition].[All]" dimensionUniqueName="[car_price_prediction_]" displayFolder="" count="2" memberValueDatatype="130" unbalanced="0"/>
    <cacheHierarchy uniqueName="[car_price_prediction_].[Price]" caption="Price" attribute="1" defaultMemberUniqueName="[car_price_prediction_].[Price].[All]" allUniqueName="[car_price_prediction_].[Price].[All]" dimensionUniqueName="[car_price_prediction_]" displayFolder="" count="0" memberValueDatatype="5" unbalanced="0"/>
    <cacheHierarchy uniqueName="[car_price_prediction_].[Model]" caption="Model" attribute="1" defaultMemberUniqueName="[car_price_prediction_].[Model].[All]" allUniqueName="[car_price_prediction_].[Model].[All]" dimensionUniqueName="[car_price_prediction_]" displayFolder="" count="0" memberValueDatatype="130" unbalanced="0"/>
    <cacheHierarchy uniqueName="[car_price_prediction_].[Fuel Type2]" caption="Fuel Type2" attribute="1" defaultMemberUniqueName="[car_price_prediction_].[Fuel Type2].[All]" allUniqueName="[car_price_prediction_].[Fuel Type2].[All]" dimensionUniqueName="[car_price_prediction_]" displayFolder="" count="2" memberValueDatatype="130" unbalanced="0"/>
    <cacheHierarchy uniqueName="[car_price_prediction_].[Transmission2]" caption="Transmission2" attribute="1" defaultMemberUniqueName="[car_price_prediction_].[Transmission2].[All]" allUniqueName="[car_price_prediction_].[Transmission2].[All]" dimensionUniqueName="[car_price_prediction_]" displayFolder="" count="0" memberValueDatatype="130" unbalanced="0"/>
    <cacheHierarchy uniqueName="[Range].[20000]" caption="20000" attribute="1" defaultMemberUniqueName="[Range].[20000].[All]" allUniqueName="[Range].[20000].[All]" dimensionUniqueName="[Range]" displayFolder="" count="0" memberValueDatatype="20" unbalanced="0"/>
    <cacheHierarchy uniqueName="[Measures].[__XL_Count car_price_prediction_]" caption="__XL_Count car_price_prediction_" measure="1" displayFolder="" measureGroup="car_price_prediction_"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car_price_prediction_"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car_price_prediction_" count="0" hidden="1">
      <extLst>
        <ext xmlns:x15="http://schemas.microsoft.com/office/spreadsheetml/2010/11/main" uri="{B97F6D7D-B522-45F9-BDA1-12C45D357490}">
          <x15:cacheHierarchy aggregatedColumn="2"/>
        </ext>
      </extLst>
    </cacheHierarchy>
    <cacheHierarchy uniqueName="[Measures].[Sum of Car ID]" caption="Sum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Count of Car ID]" caption="Count of Car ID" measure="1" displayFolder="" measureGroup="car_price_prediction_" count="0" hidden="1">
      <extLst>
        <ext xmlns:x15="http://schemas.microsoft.com/office/spreadsheetml/2010/11/main" uri="{B97F6D7D-B522-45F9-BDA1-12C45D357490}">
          <x15:cacheHierarchy aggregatedColumn="0"/>
        </ext>
      </extLst>
    </cacheHierarchy>
    <cacheHierarchy uniqueName="[Measures].[Sum of Engine Size]" caption="Sum of Engine Size" measure="1" displayFolder="" measureGroup="car_price_prediction_" count="0" hidden="1">
      <extLst>
        <ext xmlns:x15="http://schemas.microsoft.com/office/spreadsheetml/2010/11/main" uri="{B97F6D7D-B522-45F9-BDA1-12C45D357490}">
          <x15:cacheHierarchy aggregatedColumn="3"/>
        </ext>
      </extLst>
    </cacheHierarchy>
    <cacheHierarchy uniqueName="[Measures].[Sum of Mileage]" caption="Sum of Mileage" measure="1" displayFolder="" measureGroup="car_price_prediction_" count="0" hidden="1">
      <extLst>
        <ext xmlns:x15="http://schemas.microsoft.com/office/spreadsheetml/2010/11/main" uri="{B97F6D7D-B522-45F9-BDA1-12C45D357490}">
          <x15:cacheHierarchy aggregatedColumn="4"/>
        </ext>
      </extLst>
    </cacheHierarchy>
    <cacheHierarchy uniqueName="[Measures].[Sum of Price]" caption="Sum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Price]" caption="Count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Count of Transmission2]" caption="Count of Transmission2" measure="1" displayFolder="" measureGroup="car_price_prediction_" count="0" hidden="1">
      <extLst>
        <ext xmlns:x15="http://schemas.microsoft.com/office/spreadsheetml/2010/11/main" uri="{B97F6D7D-B522-45F9-BDA1-12C45D357490}">
          <x15:cacheHierarchy aggregatedColumn="9"/>
        </ext>
      </extLst>
    </cacheHierarchy>
    <cacheHierarchy uniqueName="[Measures].[Count of Condition]" caption="Count of Condition" measure="1" displayFolder="" measureGroup="car_price_prediction_"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car_price_prediction_" count="0" hidden="1">
      <extLst>
        <ext xmlns:x15="http://schemas.microsoft.com/office/spreadsheetml/2010/11/main" uri="{B97F6D7D-B522-45F9-BDA1-12C45D357490}">
          <x15:cacheHierarchy aggregatedColumn="6"/>
        </ext>
      </extLst>
    </cacheHierarchy>
    <cacheHierarchy uniqueName="[Measures].[Sum of 20000]" caption="Sum of 20000" measure="1" displayFolder="" measureGroup="Range" count="0" hidden="1">
      <extLst>
        <ext xmlns:x15="http://schemas.microsoft.com/office/spreadsheetml/2010/11/main" uri="{B97F6D7D-B522-45F9-BDA1-12C45D357490}">
          <x15:cacheHierarchy aggregatedColumn="10"/>
        </ext>
      </extLst>
    </cacheHierarchy>
    <cacheHierarchy uniqueName="[Measures].[Count of 20000]" caption="Count of 20000" measure="1" displayFolder="" measureGroup="Range" count="0" hidden="1">
      <extLst>
        <ext xmlns:x15="http://schemas.microsoft.com/office/spreadsheetml/2010/11/main" uri="{B97F6D7D-B522-45F9-BDA1-12C45D357490}">
          <x15:cacheHierarchy aggregatedColumn="10"/>
        </ext>
      </extLst>
    </cacheHierarchy>
    <cacheHierarchy uniqueName="[Measures].[Average of Mileage]" caption="Average of Mileage" measure="1" displayFolder="" measureGroup="car_price_prediction_"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06007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9C354-DB09-4135-890D-B2D742D924EC}" name="PivotTable11" cacheId="6662" applyNumberFormats="0" applyBorderFormats="0" applyFontFormats="0" applyPatternFormats="0" applyAlignmentFormats="0" applyWidthHeightFormats="1" dataCaption="Values" tag="65a29a61-1e93-4206-9313-5ef1b83dd3c5" updatedVersion="8" minRefreshableVersion="3" useAutoFormatting="1" subtotalHiddenItems="1" itemPrintTitles="1" createdVersion="8" indent="0" outline="1" outlineData="1" multipleFieldFilters="0" chartFormat="29">
  <location ref="F12:I21"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3">
    <i>
      <x/>
    </i>
    <i>
      <x v="1"/>
    </i>
    <i t="grand">
      <x/>
    </i>
  </colItems>
  <pivotHierarchies count="30">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D4967-2B69-45E2-A966-B1A8674C731E}" name="PivotTable17" cacheId="6737" applyNumberFormats="0" applyBorderFormats="0" applyFontFormats="0" applyPatternFormats="0" applyAlignmentFormats="0" applyWidthHeightFormats="1" dataCaption="Values" tag="8a1df9c9-f024-44da-8348-82ae104405ae" updatedVersion="8" minRefreshableVersion="3" useAutoFormatting="1" subtotalHiddenItems="1" rowGrandTotals="0" colGrandTotals="0" itemPrintTitles="1" createdVersion="8" indent="0" outline="1" outlineData="1" multipleFieldFilters="0" chartFormat="11">
  <location ref="C23:E4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0"/>
  </colFields>
  <colItems count="2">
    <i>
      <x/>
    </i>
    <i>
      <x v="1"/>
    </i>
  </colItems>
  <dataFields count="1">
    <dataField name="Count of Car ID" fld="1" subtotal="count" baseField="0" baseItem="0"/>
  </dataFields>
  <chartFormats count="5">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2">
          <reference field="4294967294" count="1" selected="0">
            <x v="0"/>
          </reference>
          <reference field="0" count="1" selected="0">
            <x v="0"/>
          </reference>
        </references>
      </pivotArea>
    </chartFormat>
    <chartFormat chart="10" format="11" series="1">
      <pivotArea type="data" outline="0" fieldPosition="0">
        <references count="2">
          <reference field="4294967294" count="1" selected="0">
            <x v="0"/>
          </reference>
          <reference field="0" count="1" selected="0">
            <x v="1"/>
          </reference>
        </references>
      </pivotArea>
    </chartFormat>
    <chartFormat chart="10" format="1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509B2-FB63-44B1-8943-0DA9A62CF9C8}" name="PivotTable1" cacheId="6659" applyNumberFormats="0" applyBorderFormats="0" applyFontFormats="0" applyPatternFormats="0" applyAlignmentFormats="0" applyWidthHeightFormats="1" dataCaption="Values" tag="31eb6f47-7292-41e0-bbf6-0f4bc3dcad5e" updatedVersion="8" minRefreshableVersion="3" useAutoFormatting="1" subtotalHiddenItems="1" itemPrintTitles="1" createdVersion="8" indent="0" outline="1" outlineData="1" multipleFieldFilters="0" chartFormat="31">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ar ID" fld="1" subtotal="count" baseField="0" baseItem="0"/>
  </dataFields>
  <chartFormats count="5">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0" count="1" selected="0">
            <x v="0"/>
          </reference>
        </references>
      </pivotArea>
    </chartFormat>
    <chartFormat chart="28" format="8">
      <pivotArea type="data" outline="0" fieldPosition="0">
        <references count="2">
          <reference field="4294967294" count="1" selected="0">
            <x v="0"/>
          </reference>
          <reference field="0" count="1" selected="0">
            <x v="1"/>
          </reference>
        </references>
      </pivotArea>
    </chartFormat>
    <chartFormat chart="28" format="9">
      <pivotArea type="data" outline="0" fieldPosition="0">
        <references count="2">
          <reference field="4294967294" count="1" selected="0">
            <x v="0"/>
          </reference>
          <reference field="0" count="1" selected="0">
            <x v="2"/>
          </reference>
        </references>
      </pivotArea>
    </chartFormat>
    <chartFormat chart="28" format="10">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D43FA-71A5-4BDC-9DD8-05595BBD6557}" name="PivotTable4" cacheId="56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M2:N27"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rice"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97922-FA64-4E98-9306-752ADD66D527}" name="PivotTable2" cacheId="5681" applyNumberFormats="0" applyBorderFormats="0" applyFontFormats="0" applyPatternFormats="0" applyAlignmentFormats="0" applyWidthHeightFormats="1" dataCaption="Values" tag="b813e8df-98e9-42d0-982b-eddb4af9c304" updatedVersion="8" minRefreshableVersion="3" useAutoFormatting="1" subtotalHiddenItems="1" itemPrintTitles="1" createdVersion="8" indent="0" outline="1" outlineData="1" multipleFieldFilters="0" chartFormat="61">
  <location ref="D1:D2" firstHeaderRow="1" firstDataRow="1" firstDataCol="0"/>
  <pivotFields count="1">
    <pivotField dataField="1" subtotalTop="0" showAll="0" defaultSubtotal="0"/>
  </pivotFields>
  <rowItems count="1">
    <i/>
  </rowItems>
  <colItems count="1">
    <i/>
  </colItems>
  <dataFields count="1">
    <dataField name="Sum of Mileage" fld="0" baseField="0" baseItem="0"/>
  </dataField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F4779-EBE5-44DC-9912-75024A04978F}" name="PivotTable3" cacheId="5684" applyNumberFormats="0" applyBorderFormats="0" applyFontFormats="0" applyPatternFormats="0" applyAlignmentFormats="0" applyWidthHeightFormats="1" dataCaption="Values" tag="b1afcfa2-1a98-483e-ae1c-4ca607611f2b" updatedVersion="8" minRefreshableVersion="3" useAutoFormatting="1" subtotalHiddenItems="1" itemPrintTitles="1" createdVersion="8" indent="0" outline="1" outlineData="1" multipleFieldFilters="0" chartFormat="20">
  <location ref="J12:J20"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caption="Sum of Price"/>
    <pivotHierarchy dragToData="1" caption="Count of Price"/>
    <pivotHierarchy dragToData="1"/>
    <pivotHierarchy dragToData="1"/>
    <pivotHierarchy dragToData="1" caption="Average of Pri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440BC-496D-4F03-AD11-CD83F3CA0632}" name="PivotTable9" cacheId="67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12:D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ar ID"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759129-BB63-4827-83D5-A7CCF8844140}" name="PivotTable8" cacheId="56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H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Car ID" fld="1" subtotal="count" baseField="0" baseItem="0"/>
  </dataField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02B6F3-56F4-41AD-9E26-4C585F92D920}" name="PivotTable1" cacheId="67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B54" firstHeaderRow="1" firstDataRow="1" firstDataCol="1"/>
  <pivotFields count="3">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Sum of Price" fld="1" baseField="0" baseItem="0"/>
  </dataField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caption="Sum of Price"/>
    <pivotHierarchy dragToData="1" caption="Count of Price"/>
    <pivotHierarchy dragToData="1"/>
    <pivotHierarchy dragToData="1"/>
    <pivotHierarchy dragToData="1" caption="Average of Price"/>
    <pivotHierarchy dragToData="1"/>
    <pivotHierarchy dragToData="1"/>
    <pivotHierarchy dragToData="1" caption="Average of Mileage"/>
    <pivotHierarchy dragToData="1" caption="Count of Mileag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570915-812D-43CD-9AE2-734802E8D88B}" name="PivotTable17" cacheId="673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1:G3"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2">
    <i>
      <x/>
    </i>
    <i>
      <x v="1"/>
    </i>
  </colItems>
  <dataFields count="1">
    <dataField name="Count of Car ID" fld="1" subtotal="count" baseField="0" baseItem="0"/>
  </dataField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A60AF4-4806-4C7A-A1C4-D3C54B62EE07}" name="PivotTable16" cacheId="67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ileage" fld="0" subtotal="average" baseField="0" baseItem="0" numFmtId="1"/>
  </dataFields>
  <formats count="1">
    <format dxfId="0">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ileag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AD41E3-1CA8-4DF5-BBFF-EFB1ABA7416E}" name="PivotTable15" cacheId="67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numFmtId="1"/>
  </dataFields>
  <formats count="1">
    <format dxfId="1">
      <pivotArea outline="0" collapsedLevelsAreSubtotals="1" fieldPosition="0"/>
    </format>
  </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926BD7-96B6-4C40-8694-7CA9D1B0A2D0}" name="PivotTable14" cacheId="67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r ID" fld="0" subtotal="count" baseField="0" baseItem="0"/>
  </dataField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395C2E-B29B-4559-861A-116261C07CC5}" name="PivotTable7" cacheId="66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ic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A79C95-5327-466B-B911-D9F15BDC7087}" name="PivotTable9" cacheId="67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M8:N1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Car I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a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_price_prediction_]"/>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F32C400-EACD-491A-9A34-1D350353BCBA}" autoFormatId="16" applyNumberFormats="0" applyBorderFormats="0" applyFontFormats="0" applyPatternFormats="0" applyAlignmentFormats="0" applyWidthHeightFormats="0">
  <queryTableRefresh nextId="11">
    <queryTableFields count="10">
      <queryTableField id="1" name="Car ID" tableColumnId="1"/>
      <queryTableField id="2" name="Brand" tableColumnId="2"/>
      <queryTableField id="3" name="Year" tableColumnId="3"/>
      <queryTableField id="4" name="Engine Size" tableColumnId="4"/>
      <queryTableField id="5" name="Mileage" tableColumnId="5"/>
      <queryTableField id="6" name="Condition" tableColumnId="6"/>
      <queryTableField id="7" name="Price" tableColumnId="7"/>
      <queryTableField id="8" name="Model" tableColumnId="8"/>
      <queryTableField id="9" name="Fuel Type2" tableColumnId="9"/>
      <queryTableField id="10" name="Transmission2" tableColumnId="10"/>
    </queryTableFields>
  </queryTableRefresh>
  <extLst>
    <ext xmlns:x15="http://schemas.microsoft.com/office/spreadsheetml/2010/11/main" uri="{883FBD77-0823-4a55-B5E3-86C4891E6966}">
      <x15:queryTable sourceDataName="Query - car_price_prediction_"/>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662FEA6-7CFF-4D89-809B-D8F182C6A96D}" sourceName="[car_price_prediction_].[Brand]">
  <pivotTables>
    <pivotTable tabId="17" name="PivotTable14"/>
    <pivotTable tabId="17" name="PivotTable15"/>
    <pivotTable tabId="17" name="PivotTable16"/>
    <pivotTable tabId="17" name="PivotTable17"/>
    <pivotTable tabId="2" name="PivotTable9"/>
    <pivotTable tabId="2" name="PivotTable17"/>
    <pivotTable tabId="7" name="PivotTable9"/>
    <pivotTable tabId="18" name="PivotTable1"/>
  </pivotTables>
  <data>
    <olap pivotCacheId="2006007076">
      <levels count="2">
        <level uniqueName="[car_price_prediction_].[Brand].[(All)]" sourceCaption="(All)" count="0"/>
        <level uniqueName="[car_price_prediction_].[Brand].[Brand]" sourceCaption="Brand" count="7">
          <ranges>
            <range startItem="0">
              <i n="[car_price_prediction_].[Brand].&amp;[Audi]" c="Audi"/>
              <i n="[car_price_prediction_].[Brand].&amp;[BMW]" c="BMW"/>
              <i n="[car_price_prediction_].[Brand].&amp;[Ford]" c="Ford"/>
              <i n="[car_price_prediction_].[Brand].&amp;[Honda]" c="Honda"/>
              <i n="[car_price_prediction_].[Brand].&amp;[Mercedes]" c="Mercedes"/>
              <i n="[car_price_prediction_].[Brand].&amp;[Tesla]" c="Tesla"/>
              <i n="[car_price_prediction_].[Brand].&amp;[Toyota]" c="Toyota"/>
            </range>
          </ranges>
        </level>
      </levels>
      <selections count="1">
        <selection n="[car_price_prediction_].[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2" xr10:uid="{178EB953-01AC-49CC-9665-70469B7BFADD}" sourceName="[car_price_prediction_].[Fuel Type2]">
  <pivotTables>
    <pivotTable tabId="17" name="PivotTable14"/>
    <pivotTable tabId="17" name="PivotTable15"/>
    <pivotTable tabId="17" name="PivotTable16"/>
    <pivotTable tabId="17" name="PivotTable17"/>
    <pivotTable tabId="2" name="PivotTable9"/>
    <pivotTable tabId="2" name="PivotTable17"/>
    <pivotTable tabId="12" name="PivotTable7"/>
    <pivotTable tabId="18" name="PivotTable1"/>
    <pivotTable tabId="7" name="PivotTable9"/>
  </pivotTables>
  <data>
    <olap pivotCacheId="2006007076">
      <levels count="2">
        <level uniqueName="[car_price_prediction_].[Fuel Type2].[(All)]" sourceCaption="(All)" count="0"/>
        <level uniqueName="[car_price_prediction_].[Fuel Type2].[Fuel Type2]" sourceCaption="Fuel Type2" count="4">
          <ranges>
            <range startItem="0">
              <i n="[car_price_prediction_].[Fuel Type2].&amp;[Diesel]" c="Diesel"/>
              <i n="[car_price_prediction_].[Fuel Type2].&amp;[Electric]" c="Electric"/>
              <i n="[car_price_prediction_].[Fuel Type2].&amp;[Hybrid]" c="Hybrid"/>
              <i n="[car_price_prediction_].[Fuel Type2].&amp;[Petrol]" c="Petrol"/>
            </range>
          </ranges>
        </level>
      </levels>
      <selections count="1">
        <selection n="[car_price_prediction_].[Fuel Type2].[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11F6E219-3383-483E-B4F2-22A873E6DCEF}" sourceName="[car_price_prediction_].[Condition]">
  <pivotTables>
    <pivotTable tabId="12" name="PivotTable7"/>
    <pivotTable tabId="7" name="PivotTable9"/>
    <pivotTable tabId="17" name="PivotTable14"/>
    <pivotTable tabId="17" name="PivotTable15"/>
    <pivotTable tabId="17" name="PivotTable16"/>
    <pivotTable tabId="17" name="PivotTable17"/>
    <pivotTable tabId="2" name="PivotTable1"/>
    <pivotTable tabId="2" name="PivotTable11"/>
    <pivotTable tabId="2" name="PivotTable17"/>
    <pivotTable tabId="18" name="PivotTable1"/>
  </pivotTables>
  <data>
    <olap pivotCacheId="2006007076">
      <levels count="2">
        <level uniqueName="[car_price_prediction_].[Condition].[(All)]" sourceCaption="(All)" count="0"/>
        <level uniqueName="[car_price_prediction_].[Condition].[Condition]" sourceCaption="Condition" count="3">
          <ranges>
            <range startItem="0">
              <i n="[car_price_prediction_].[Condition].&amp;[Like New]" c="Like New"/>
              <i n="[car_price_prediction_].[Condition].&amp;[New]" c="New"/>
              <i n="[car_price_prediction_].[Condition].&amp;[Used]" c="Used"/>
            </range>
          </ranges>
        </level>
      </levels>
      <selections count="1">
        <selection n="[car_price_prediction_].[Condi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AEE91685-8123-4DDB-9FAA-BFDF5B83EF02}" cache="Slicer_Brand" caption="Brand" level="1" style="SlicerStyleLight2" rowHeight="251883"/>
  <slicer name="Fuel Type2" xr10:uid="{1C5A4854-2DEF-40D7-B33F-E19F01CCBFA5}" cache="Slicer_Fuel_Type2" caption="Fuel Type2" level="1" style="SlicerStyleLight2" rowHeight="251883"/>
  <slicer name="Condition" xr10:uid="{9493A928-2F30-4A21-9958-E68B5665DF27}" cache="Slicer_Condition" caption="Condition" level="1"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ECDA9D-728F-4EC9-810D-FBED8E22D272}" name="car_price_prediction_" displayName="car_price_prediction_" ref="A1:J2501" tableType="queryTable" totalsRowShown="0">
  <autoFilter ref="A1:J2501" xr:uid="{13ECDA9D-728F-4EC9-810D-FBED8E22D272}"/>
  <sortState xmlns:xlrd2="http://schemas.microsoft.com/office/spreadsheetml/2017/richdata2" ref="A2:J2501">
    <sortCondition ref="A1:A2501"/>
  </sortState>
  <tableColumns count="10">
    <tableColumn id="1" xr3:uid="{4E7F27BA-DD1C-4643-9F57-583361A96CC0}" uniqueName="1" name="Car ID" queryTableFieldId="1"/>
    <tableColumn id="2" xr3:uid="{208942C2-B547-4D9C-88D7-4F79864F278F}" uniqueName="2" name="Brand" queryTableFieldId="2" dataDxfId="7"/>
    <tableColumn id="3" xr3:uid="{7B58CAB3-E521-4501-8911-1B0CC4935296}" uniqueName="3" name="Year" queryTableFieldId="3"/>
    <tableColumn id="4" xr3:uid="{0DF3DFC5-E93A-47DE-81CD-F2971340CFEC}" uniqueName="4" name="Engine Size" queryTableFieldId="4" dataDxfId="6"/>
    <tableColumn id="5" xr3:uid="{8F4F8E2E-3172-46BF-8DF2-A9235FA28AD7}" uniqueName="5" name="Mileage" queryTableFieldId="5" dataDxfId="5"/>
    <tableColumn id="6" xr3:uid="{5261FF1F-54EB-4F88-BEAC-CA560F580EAA}" uniqueName="6" name="Condition" queryTableFieldId="6" dataDxfId="4"/>
    <tableColumn id="7" xr3:uid="{0F019574-23BA-4024-BE9C-2EA746543F35}" uniqueName="7" name="Price" queryTableFieldId="7" dataDxfId="3"/>
    <tableColumn id="8" xr3:uid="{38403652-0C66-42A2-8130-348AC2D04684}" uniqueName="8" name="Model" queryTableFieldId="8" dataDxfId="2"/>
    <tableColumn id="9" xr3:uid="{3979FC2B-00F7-40C2-9359-7D98CD9F2CCC}" uniqueName="9" name="Fuel Type2" queryTableFieldId="9"/>
    <tableColumn id="10" xr3:uid="{BEBFFD2F-F25B-4AA4-AD0C-254AD9D35FE1}" uniqueName="10" name="Transmission2"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1.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D84C-EF1A-4AC1-821D-83638DC5C9EF}">
  <dimension ref="A1:J2501"/>
  <sheetViews>
    <sheetView zoomScale="56" workbookViewId="0">
      <selection activeCell="L9" sqref="L9"/>
    </sheetView>
  </sheetViews>
  <sheetFormatPr defaultRowHeight="14.5" x14ac:dyDescent="0.35"/>
  <cols>
    <col min="1" max="1" width="10.1796875" bestFit="1" customWidth="1"/>
    <col min="2" max="2" width="9.81640625" bestFit="1" customWidth="1"/>
    <col min="3" max="3" width="8.7265625" bestFit="1" customWidth="1"/>
    <col min="4" max="4" width="14.08984375" style="4" bestFit="1" customWidth="1"/>
    <col min="5" max="5" width="11.453125" style="5" bestFit="1" customWidth="1"/>
    <col min="6" max="6" width="12.90625" bestFit="1" customWidth="1"/>
    <col min="7" max="7" width="10.26953125" style="10" bestFit="1" customWidth="1"/>
    <col min="8" max="8" width="10" bestFit="1" customWidth="1"/>
    <col min="9" max="9" width="13.36328125" bestFit="1" customWidth="1"/>
    <col min="10" max="10" width="17.1796875" bestFit="1" customWidth="1"/>
  </cols>
  <sheetData>
    <row r="1" spans="1:10" x14ac:dyDescent="0.35">
      <c r="A1" t="s">
        <v>0</v>
      </c>
      <c r="B1" t="s">
        <v>1</v>
      </c>
      <c r="C1" t="s">
        <v>2</v>
      </c>
      <c r="D1" s="4" t="s">
        <v>3</v>
      </c>
      <c r="E1" s="5" t="s">
        <v>4</v>
      </c>
      <c r="F1" t="s">
        <v>5</v>
      </c>
      <c r="G1" s="10" t="s">
        <v>6</v>
      </c>
      <c r="H1" t="s">
        <v>7</v>
      </c>
      <c r="I1" t="s">
        <v>8</v>
      </c>
      <c r="J1" t="s">
        <v>9</v>
      </c>
    </row>
    <row r="2" spans="1:10" x14ac:dyDescent="0.35">
      <c r="A2">
        <v>1</v>
      </c>
      <c r="B2" s="1" t="s">
        <v>10</v>
      </c>
      <c r="C2">
        <v>2016</v>
      </c>
      <c r="D2" s="4">
        <v>2.2999999999999998</v>
      </c>
      <c r="E2" s="5">
        <v>114832</v>
      </c>
      <c r="F2" s="1" t="s">
        <v>11</v>
      </c>
      <c r="G2" s="10">
        <v>26613.919999999998</v>
      </c>
      <c r="H2" s="1" t="s">
        <v>12</v>
      </c>
      <c r="I2" t="s">
        <v>13</v>
      </c>
      <c r="J2" t="s">
        <v>14</v>
      </c>
    </row>
    <row r="3" spans="1:10" x14ac:dyDescent="0.35">
      <c r="A3">
        <v>2</v>
      </c>
      <c r="B3" s="1" t="s">
        <v>27</v>
      </c>
      <c r="C3">
        <v>2018</v>
      </c>
      <c r="D3" s="4">
        <v>4.4000000000000004</v>
      </c>
      <c r="E3" s="5">
        <v>143190</v>
      </c>
      <c r="F3" s="1" t="s">
        <v>16</v>
      </c>
      <c r="G3" s="10">
        <v>14679.61</v>
      </c>
      <c r="H3" s="1" t="s">
        <v>28</v>
      </c>
      <c r="I3" t="s">
        <v>13</v>
      </c>
      <c r="J3" t="s">
        <v>14</v>
      </c>
    </row>
    <row r="4" spans="1:10" x14ac:dyDescent="0.35">
      <c r="A4">
        <v>3</v>
      </c>
      <c r="B4" s="1" t="s">
        <v>25</v>
      </c>
      <c r="C4">
        <v>2013</v>
      </c>
      <c r="D4" s="4">
        <v>4.5</v>
      </c>
      <c r="E4" s="5">
        <v>181601</v>
      </c>
      <c r="F4" s="1" t="s">
        <v>11</v>
      </c>
      <c r="G4" s="10">
        <v>44402.61</v>
      </c>
      <c r="H4" s="1" t="s">
        <v>41</v>
      </c>
      <c r="I4" t="s">
        <v>13</v>
      </c>
      <c r="J4" t="s">
        <v>22</v>
      </c>
    </row>
    <row r="5" spans="1:10" x14ac:dyDescent="0.35">
      <c r="A5">
        <v>4</v>
      </c>
      <c r="B5" s="1" t="s">
        <v>10</v>
      </c>
      <c r="C5">
        <v>2011</v>
      </c>
      <c r="D5" s="4">
        <v>4.0999999999999996</v>
      </c>
      <c r="E5" s="5">
        <v>68682</v>
      </c>
      <c r="F5" s="1" t="s">
        <v>11</v>
      </c>
      <c r="G5" s="10">
        <v>86374.33</v>
      </c>
      <c r="H5" s="1" t="s">
        <v>17</v>
      </c>
      <c r="I5" t="s">
        <v>13</v>
      </c>
      <c r="J5" t="s">
        <v>14</v>
      </c>
    </row>
    <row r="6" spans="1:10" x14ac:dyDescent="0.35">
      <c r="A6">
        <v>5</v>
      </c>
      <c r="B6" s="1" t="s">
        <v>23</v>
      </c>
      <c r="C6">
        <v>2009</v>
      </c>
      <c r="D6" s="4">
        <v>2.6</v>
      </c>
      <c r="E6" s="5">
        <v>223009</v>
      </c>
      <c r="F6" s="1" t="s">
        <v>15</v>
      </c>
      <c r="G6" s="10">
        <v>73577.100000000006</v>
      </c>
      <c r="H6" s="1" t="s">
        <v>32</v>
      </c>
      <c r="I6" t="s">
        <v>53</v>
      </c>
      <c r="J6" t="s">
        <v>22</v>
      </c>
    </row>
    <row r="7" spans="1:10" x14ac:dyDescent="0.35">
      <c r="A7">
        <v>6</v>
      </c>
      <c r="B7" s="1" t="s">
        <v>25</v>
      </c>
      <c r="C7">
        <v>2019</v>
      </c>
      <c r="D7" s="4">
        <v>2.4</v>
      </c>
      <c r="E7" s="5">
        <v>246553</v>
      </c>
      <c r="F7" s="1" t="s">
        <v>15</v>
      </c>
      <c r="G7" s="10">
        <v>88969.76</v>
      </c>
      <c r="H7" s="1" t="s">
        <v>26</v>
      </c>
      <c r="I7" t="s">
        <v>53</v>
      </c>
      <c r="J7" t="s">
        <v>14</v>
      </c>
    </row>
    <row r="8" spans="1:10" x14ac:dyDescent="0.35">
      <c r="A8">
        <v>7</v>
      </c>
      <c r="B8" s="1" t="s">
        <v>25</v>
      </c>
      <c r="C8">
        <v>2020</v>
      </c>
      <c r="D8" s="4">
        <v>4</v>
      </c>
      <c r="E8" s="5">
        <v>135486</v>
      </c>
      <c r="F8" s="1" t="s">
        <v>16</v>
      </c>
      <c r="G8" s="10">
        <v>63498.75</v>
      </c>
      <c r="H8" s="1" t="s">
        <v>44</v>
      </c>
      <c r="I8" t="s">
        <v>13</v>
      </c>
      <c r="J8" t="s">
        <v>14</v>
      </c>
    </row>
    <row r="9" spans="1:10" x14ac:dyDescent="0.35">
      <c r="A9">
        <v>8</v>
      </c>
      <c r="B9" s="1" t="s">
        <v>10</v>
      </c>
      <c r="C9">
        <v>2017</v>
      </c>
      <c r="D9" s="4">
        <v>5.3</v>
      </c>
      <c r="E9" s="5">
        <v>83030</v>
      </c>
      <c r="F9" s="1" t="s">
        <v>11</v>
      </c>
      <c r="G9" s="10">
        <v>17381.189999999999</v>
      </c>
      <c r="H9" s="1" t="s">
        <v>17</v>
      </c>
      <c r="I9" t="s">
        <v>13</v>
      </c>
      <c r="J9" t="s">
        <v>14</v>
      </c>
    </row>
    <row r="10" spans="1:10" x14ac:dyDescent="0.35">
      <c r="A10">
        <v>9</v>
      </c>
      <c r="B10" s="1" t="s">
        <v>20</v>
      </c>
      <c r="C10">
        <v>2023</v>
      </c>
      <c r="D10" s="4">
        <v>5.7</v>
      </c>
      <c r="E10" s="5">
        <v>120360</v>
      </c>
      <c r="F10" s="1" t="s">
        <v>15</v>
      </c>
      <c r="G10" s="10">
        <v>15905.62</v>
      </c>
      <c r="H10" s="1" t="s">
        <v>21</v>
      </c>
      <c r="I10" t="s">
        <v>13</v>
      </c>
      <c r="J10" t="s">
        <v>22</v>
      </c>
    </row>
    <row r="11" spans="1:10" x14ac:dyDescent="0.35">
      <c r="A11">
        <v>10</v>
      </c>
      <c r="B11" s="1" t="s">
        <v>23</v>
      </c>
      <c r="C11">
        <v>2010</v>
      </c>
      <c r="D11" s="4">
        <v>1.5</v>
      </c>
      <c r="E11" s="5">
        <v>135009</v>
      </c>
      <c r="F11" s="1" t="s">
        <v>15</v>
      </c>
      <c r="G11" s="10">
        <v>9560.2199999999993</v>
      </c>
      <c r="H11" s="1" t="s">
        <v>24</v>
      </c>
      <c r="I11" t="s">
        <v>13</v>
      </c>
      <c r="J11" t="s">
        <v>14</v>
      </c>
    </row>
    <row r="12" spans="1:10" x14ac:dyDescent="0.35">
      <c r="A12">
        <v>11</v>
      </c>
      <c r="B12" s="1" t="s">
        <v>10</v>
      </c>
      <c r="C12">
        <v>2001</v>
      </c>
      <c r="D12" s="4">
        <v>1.8</v>
      </c>
      <c r="E12" s="5">
        <v>298875</v>
      </c>
      <c r="F12" s="1" t="s">
        <v>15</v>
      </c>
      <c r="G12" s="10">
        <v>58872.6</v>
      </c>
      <c r="H12" s="1" t="s">
        <v>18</v>
      </c>
      <c r="I12" t="s">
        <v>13</v>
      </c>
      <c r="J12" t="s">
        <v>14</v>
      </c>
    </row>
    <row r="13" spans="1:10" x14ac:dyDescent="0.35">
      <c r="A13">
        <v>12</v>
      </c>
      <c r="B13" s="1" t="s">
        <v>23</v>
      </c>
      <c r="C13">
        <v>2017</v>
      </c>
      <c r="D13" s="4">
        <v>5.7</v>
      </c>
      <c r="E13" s="5">
        <v>169737</v>
      </c>
      <c r="F13" s="1" t="s">
        <v>16</v>
      </c>
      <c r="G13" s="10">
        <v>28074.19</v>
      </c>
      <c r="H13" s="1" t="s">
        <v>32</v>
      </c>
      <c r="I13" t="s">
        <v>13</v>
      </c>
      <c r="J13" t="s">
        <v>14</v>
      </c>
    </row>
    <row r="14" spans="1:10" x14ac:dyDescent="0.35">
      <c r="A14">
        <v>13</v>
      </c>
      <c r="B14" s="1" t="s">
        <v>23</v>
      </c>
      <c r="C14">
        <v>2006</v>
      </c>
      <c r="D14" s="4">
        <v>4.7</v>
      </c>
      <c r="E14" s="5">
        <v>114360</v>
      </c>
      <c r="F14" s="1" t="s">
        <v>11</v>
      </c>
      <c r="G14" s="10">
        <v>74766.45</v>
      </c>
      <c r="H14" s="1" t="s">
        <v>42</v>
      </c>
      <c r="I14" t="s">
        <v>51</v>
      </c>
      <c r="J14" t="s">
        <v>14</v>
      </c>
    </row>
    <row r="15" spans="1:10" x14ac:dyDescent="0.35">
      <c r="A15">
        <v>14</v>
      </c>
      <c r="B15" s="1" t="s">
        <v>25</v>
      </c>
      <c r="C15">
        <v>2023</v>
      </c>
      <c r="D15" s="4">
        <v>5.4</v>
      </c>
      <c r="E15" s="5">
        <v>263894</v>
      </c>
      <c r="F15" s="1" t="s">
        <v>15</v>
      </c>
      <c r="G15" s="10">
        <v>70193.740000000005</v>
      </c>
      <c r="H15" s="1" t="s">
        <v>26</v>
      </c>
      <c r="I15" t="s">
        <v>13</v>
      </c>
      <c r="J15" t="s">
        <v>14</v>
      </c>
    </row>
    <row r="16" spans="1:10" x14ac:dyDescent="0.35">
      <c r="A16">
        <v>15</v>
      </c>
      <c r="B16" s="1" t="s">
        <v>27</v>
      </c>
      <c r="C16">
        <v>2014</v>
      </c>
      <c r="D16" s="4">
        <v>2</v>
      </c>
      <c r="E16" s="5">
        <v>65018</v>
      </c>
      <c r="F16" s="1" t="s">
        <v>11</v>
      </c>
      <c r="G16" s="10">
        <v>35220.519999999997</v>
      </c>
      <c r="H16" s="1" t="s">
        <v>48</v>
      </c>
      <c r="I16" t="s">
        <v>13</v>
      </c>
      <c r="J16" t="s">
        <v>14</v>
      </c>
    </row>
    <row r="17" spans="1:10" x14ac:dyDescent="0.35">
      <c r="A17">
        <v>16</v>
      </c>
      <c r="B17" s="1" t="s">
        <v>23</v>
      </c>
      <c r="C17">
        <v>2010</v>
      </c>
      <c r="D17" s="4">
        <v>3.9</v>
      </c>
      <c r="E17" s="5">
        <v>240904</v>
      </c>
      <c r="F17" s="1" t="s">
        <v>16</v>
      </c>
      <c r="G17" s="10">
        <v>21796.16</v>
      </c>
      <c r="H17" s="1" t="s">
        <v>32</v>
      </c>
      <c r="I17" t="s">
        <v>13</v>
      </c>
      <c r="J17" t="s">
        <v>14</v>
      </c>
    </row>
    <row r="18" spans="1:10" x14ac:dyDescent="0.35">
      <c r="A18">
        <v>17</v>
      </c>
      <c r="B18" s="1" t="s">
        <v>29</v>
      </c>
      <c r="C18">
        <v>2017</v>
      </c>
      <c r="D18" s="4">
        <v>4.5</v>
      </c>
      <c r="E18" s="5">
        <v>136817</v>
      </c>
      <c r="F18" s="1" t="s">
        <v>11</v>
      </c>
      <c r="G18" s="10">
        <v>14728.03</v>
      </c>
      <c r="H18" s="1" t="s">
        <v>43</v>
      </c>
      <c r="I18" t="s">
        <v>13</v>
      </c>
      <c r="J18" t="s">
        <v>14</v>
      </c>
    </row>
    <row r="19" spans="1:10" x14ac:dyDescent="0.35">
      <c r="A19">
        <v>18</v>
      </c>
      <c r="B19" s="1" t="s">
        <v>25</v>
      </c>
      <c r="C19">
        <v>2022</v>
      </c>
      <c r="D19" s="4">
        <v>4.4000000000000004</v>
      </c>
      <c r="E19" s="5">
        <v>192803</v>
      </c>
      <c r="F19" s="1" t="s">
        <v>15</v>
      </c>
      <c r="G19" s="10">
        <v>75044.95</v>
      </c>
      <c r="H19" s="1" t="s">
        <v>49</v>
      </c>
      <c r="I19" t="s">
        <v>52</v>
      </c>
      <c r="J19" t="s">
        <v>14</v>
      </c>
    </row>
    <row r="20" spans="1:10" x14ac:dyDescent="0.35">
      <c r="A20">
        <v>19</v>
      </c>
      <c r="B20" s="1" t="s">
        <v>20</v>
      </c>
      <c r="C20">
        <v>2011</v>
      </c>
      <c r="D20" s="4">
        <v>3</v>
      </c>
      <c r="E20" s="5">
        <v>86984</v>
      </c>
      <c r="F20" s="1" t="s">
        <v>11</v>
      </c>
      <c r="G20" s="10">
        <v>47791.89</v>
      </c>
      <c r="H20" s="1" t="s">
        <v>21</v>
      </c>
      <c r="I20" t="s">
        <v>13</v>
      </c>
      <c r="J20" t="s">
        <v>14</v>
      </c>
    </row>
    <row r="21" spans="1:10" x14ac:dyDescent="0.35">
      <c r="A21">
        <v>20</v>
      </c>
      <c r="B21" s="1" t="s">
        <v>27</v>
      </c>
      <c r="C21">
        <v>2005</v>
      </c>
      <c r="D21" s="4">
        <v>1.1000000000000001</v>
      </c>
      <c r="E21" s="5">
        <v>290595</v>
      </c>
      <c r="F21" s="1" t="s">
        <v>11</v>
      </c>
      <c r="G21" s="10">
        <v>35735.339999999997</v>
      </c>
      <c r="H21" s="1" t="s">
        <v>40</v>
      </c>
      <c r="I21" t="s">
        <v>51</v>
      </c>
      <c r="J21" t="s">
        <v>14</v>
      </c>
    </row>
    <row r="22" spans="1:10" x14ac:dyDescent="0.35">
      <c r="A22">
        <v>21</v>
      </c>
      <c r="B22" s="1" t="s">
        <v>29</v>
      </c>
      <c r="C22">
        <v>2019</v>
      </c>
      <c r="D22" s="4">
        <v>3.9</v>
      </c>
      <c r="E22" s="5">
        <v>192608</v>
      </c>
      <c r="F22" s="1" t="s">
        <v>16</v>
      </c>
      <c r="G22" s="10">
        <v>86382.04</v>
      </c>
      <c r="H22" s="1" t="s">
        <v>31</v>
      </c>
      <c r="I22" t="s">
        <v>51</v>
      </c>
      <c r="J22" t="s">
        <v>14</v>
      </c>
    </row>
    <row r="23" spans="1:10" x14ac:dyDescent="0.35">
      <c r="A23">
        <v>22</v>
      </c>
      <c r="B23" s="1" t="s">
        <v>29</v>
      </c>
      <c r="C23">
        <v>2022</v>
      </c>
      <c r="D23" s="4">
        <v>2.2999999999999998</v>
      </c>
      <c r="E23" s="5">
        <v>12150</v>
      </c>
      <c r="F23" s="1" t="s">
        <v>16</v>
      </c>
      <c r="G23" s="10">
        <v>61393.26</v>
      </c>
      <c r="H23" s="1" t="s">
        <v>30</v>
      </c>
      <c r="I23" t="s">
        <v>13</v>
      </c>
      <c r="J23" t="s">
        <v>22</v>
      </c>
    </row>
    <row r="24" spans="1:10" x14ac:dyDescent="0.35">
      <c r="A24">
        <v>23</v>
      </c>
      <c r="B24" s="1" t="s">
        <v>20</v>
      </c>
      <c r="C24">
        <v>2012</v>
      </c>
      <c r="D24" s="4">
        <v>3.3</v>
      </c>
      <c r="E24" s="5">
        <v>275550</v>
      </c>
      <c r="F24" s="1" t="s">
        <v>11</v>
      </c>
      <c r="G24" s="10">
        <v>54210.22</v>
      </c>
      <c r="H24" s="1" t="s">
        <v>33</v>
      </c>
      <c r="I24" t="s">
        <v>53</v>
      </c>
      <c r="J24" t="s">
        <v>22</v>
      </c>
    </row>
    <row r="25" spans="1:10" x14ac:dyDescent="0.35">
      <c r="A25">
        <v>24</v>
      </c>
      <c r="B25" s="1" t="s">
        <v>27</v>
      </c>
      <c r="C25">
        <v>2019</v>
      </c>
      <c r="D25" s="4">
        <v>5.8</v>
      </c>
      <c r="E25" s="5">
        <v>150853</v>
      </c>
      <c r="F25" s="1" t="s">
        <v>11</v>
      </c>
      <c r="G25" s="10">
        <v>75621.02</v>
      </c>
      <c r="H25" s="1" t="s">
        <v>40</v>
      </c>
      <c r="I25" t="s">
        <v>52</v>
      </c>
      <c r="J25" t="s">
        <v>14</v>
      </c>
    </row>
    <row r="26" spans="1:10" x14ac:dyDescent="0.35">
      <c r="A26">
        <v>25</v>
      </c>
      <c r="B26" s="1" t="s">
        <v>25</v>
      </c>
      <c r="C26">
        <v>2015</v>
      </c>
      <c r="D26" s="4">
        <v>3</v>
      </c>
      <c r="E26" s="5">
        <v>188489</v>
      </c>
      <c r="F26" s="1" t="s">
        <v>11</v>
      </c>
      <c r="G26" s="10">
        <v>82480.399999999994</v>
      </c>
      <c r="H26" s="1" t="s">
        <v>44</v>
      </c>
      <c r="I26" t="s">
        <v>13</v>
      </c>
      <c r="J26" t="s">
        <v>14</v>
      </c>
    </row>
    <row r="27" spans="1:10" x14ac:dyDescent="0.35">
      <c r="A27">
        <v>26</v>
      </c>
      <c r="B27" s="1" t="s">
        <v>35</v>
      </c>
      <c r="C27">
        <v>2017</v>
      </c>
      <c r="D27" s="4">
        <v>5.2</v>
      </c>
      <c r="E27" s="5">
        <v>18325</v>
      </c>
      <c r="F27" s="1" t="s">
        <v>16</v>
      </c>
      <c r="G27" s="10">
        <v>70176.95</v>
      </c>
      <c r="H27" s="1" t="s">
        <v>47</v>
      </c>
      <c r="I27" t="s">
        <v>13</v>
      </c>
      <c r="J27" t="s">
        <v>14</v>
      </c>
    </row>
    <row r="28" spans="1:10" x14ac:dyDescent="0.35">
      <c r="A28">
        <v>27</v>
      </c>
      <c r="B28" s="1" t="s">
        <v>27</v>
      </c>
      <c r="C28">
        <v>2009</v>
      </c>
      <c r="D28" s="4">
        <v>1.9</v>
      </c>
      <c r="E28" s="5">
        <v>199756</v>
      </c>
      <c r="F28" s="1" t="s">
        <v>16</v>
      </c>
      <c r="G28" s="10">
        <v>46800.6</v>
      </c>
      <c r="H28" s="1" t="s">
        <v>48</v>
      </c>
      <c r="I28" t="s">
        <v>13</v>
      </c>
      <c r="J28" t="s">
        <v>22</v>
      </c>
    </row>
    <row r="29" spans="1:10" x14ac:dyDescent="0.35">
      <c r="A29">
        <v>28</v>
      </c>
      <c r="B29" s="1" t="s">
        <v>20</v>
      </c>
      <c r="C29">
        <v>2022</v>
      </c>
      <c r="D29" s="4">
        <v>4.4000000000000004</v>
      </c>
      <c r="E29" s="5">
        <v>204541</v>
      </c>
      <c r="F29" s="1" t="s">
        <v>11</v>
      </c>
      <c r="G29" s="10">
        <v>41033.39</v>
      </c>
      <c r="H29" s="1" t="s">
        <v>39</v>
      </c>
      <c r="I29" t="s">
        <v>53</v>
      </c>
      <c r="J29" t="s">
        <v>22</v>
      </c>
    </row>
    <row r="30" spans="1:10" x14ac:dyDescent="0.35">
      <c r="A30">
        <v>29</v>
      </c>
      <c r="B30" s="1" t="s">
        <v>29</v>
      </c>
      <c r="C30">
        <v>2007</v>
      </c>
      <c r="D30" s="4">
        <v>5.9</v>
      </c>
      <c r="E30" s="5">
        <v>17669</v>
      </c>
      <c r="F30" s="1" t="s">
        <v>16</v>
      </c>
      <c r="G30" s="10">
        <v>78308.17</v>
      </c>
      <c r="H30" s="1" t="s">
        <v>38</v>
      </c>
      <c r="I30" t="s">
        <v>53</v>
      </c>
      <c r="J30" t="s">
        <v>22</v>
      </c>
    </row>
    <row r="31" spans="1:10" x14ac:dyDescent="0.35">
      <c r="A31">
        <v>30</v>
      </c>
      <c r="B31" s="1" t="s">
        <v>25</v>
      </c>
      <c r="C31">
        <v>2017</v>
      </c>
      <c r="D31" s="4">
        <v>1.5</v>
      </c>
      <c r="E31" s="5">
        <v>207836</v>
      </c>
      <c r="F31" s="1" t="s">
        <v>15</v>
      </c>
      <c r="G31" s="10">
        <v>54201.18</v>
      </c>
      <c r="H31" s="1" t="s">
        <v>49</v>
      </c>
      <c r="I31" t="s">
        <v>53</v>
      </c>
      <c r="J31" t="s">
        <v>14</v>
      </c>
    </row>
    <row r="32" spans="1:10" x14ac:dyDescent="0.35">
      <c r="A32">
        <v>31</v>
      </c>
      <c r="B32" s="1" t="s">
        <v>27</v>
      </c>
      <c r="C32">
        <v>2020</v>
      </c>
      <c r="D32" s="4">
        <v>1</v>
      </c>
      <c r="E32" s="5">
        <v>132915</v>
      </c>
      <c r="F32" s="1" t="s">
        <v>16</v>
      </c>
      <c r="G32" s="10">
        <v>71916.679999999993</v>
      </c>
      <c r="H32" s="1" t="s">
        <v>40</v>
      </c>
      <c r="I32" t="s">
        <v>52</v>
      </c>
      <c r="J32" t="s">
        <v>14</v>
      </c>
    </row>
    <row r="33" spans="1:10" x14ac:dyDescent="0.35">
      <c r="A33">
        <v>32</v>
      </c>
      <c r="B33" s="1" t="s">
        <v>35</v>
      </c>
      <c r="C33">
        <v>2000</v>
      </c>
      <c r="D33" s="4">
        <v>3.2</v>
      </c>
      <c r="E33" s="5">
        <v>196681</v>
      </c>
      <c r="F33" s="1" t="s">
        <v>16</v>
      </c>
      <c r="G33" s="10">
        <v>89587.88</v>
      </c>
      <c r="H33" s="1" t="s">
        <v>45</v>
      </c>
      <c r="I33" t="s">
        <v>51</v>
      </c>
      <c r="J33" t="s">
        <v>14</v>
      </c>
    </row>
    <row r="34" spans="1:10" x14ac:dyDescent="0.35">
      <c r="A34">
        <v>33</v>
      </c>
      <c r="B34" s="1" t="s">
        <v>35</v>
      </c>
      <c r="C34">
        <v>2022</v>
      </c>
      <c r="D34" s="4">
        <v>1.5</v>
      </c>
      <c r="E34" s="5">
        <v>50812</v>
      </c>
      <c r="F34" s="1" t="s">
        <v>16</v>
      </c>
      <c r="G34" s="10">
        <v>92009.61</v>
      </c>
      <c r="H34" s="1" t="s">
        <v>45</v>
      </c>
      <c r="I34" t="s">
        <v>52</v>
      </c>
      <c r="J34" t="s">
        <v>14</v>
      </c>
    </row>
    <row r="35" spans="1:10" x14ac:dyDescent="0.35">
      <c r="A35">
        <v>34</v>
      </c>
      <c r="B35" s="1" t="s">
        <v>23</v>
      </c>
      <c r="C35">
        <v>2007</v>
      </c>
      <c r="D35" s="4">
        <v>4.7</v>
      </c>
      <c r="E35" s="5">
        <v>278203</v>
      </c>
      <c r="F35" s="1" t="s">
        <v>15</v>
      </c>
      <c r="G35" s="10">
        <v>31382.99</v>
      </c>
      <c r="H35" s="1" t="s">
        <v>42</v>
      </c>
      <c r="I35" t="s">
        <v>53</v>
      </c>
      <c r="J35" t="s">
        <v>22</v>
      </c>
    </row>
    <row r="36" spans="1:10" x14ac:dyDescent="0.35">
      <c r="A36">
        <v>35</v>
      </c>
      <c r="B36" s="1" t="s">
        <v>23</v>
      </c>
      <c r="C36">
        <v>2005</v>
      </c>
      <c r="D36" s="4">
        <v>5.6</v>
      </c>
      <c r="E36" s="5">
        <v>252862</v>
      </c>
      <c r="F36" s="1" t="s">
        <v>15</v>
      </c>
      <c r="G36" s="10">
        <v>22849.55</v>
      </c>
      <c r="H36" s="1" t="s">
        <v>32</v>
      </c>
      <c r="I36" t="s">
        <v>51</v>
      </c>
      <c r="J36" t="s">
        <v>14</v>
      </c>
    </row>
    <row r="37" spans="1:10" x14ac:dyDescent="0.35">
      <c r="A37">
        <v>36</v>
      </c>
      <c r="B37" s="1" t="s">
        <v>10</v>
      </c>
      <c r="C37">
        <v>2004</v>
      </c>
      <c r="D37" s="4">
        <v>3.2</v>
      </c>
      <c r="E37" s="5">
        <v>171840</v>
      </c>
      <c r="F37" s="1" t="s">
        <v>15</v>
      </c>
      <c r="G37" s="10">
        <v>29822.3</v>
      </c>
      <c r="H37" s="1" t="s">
        <v>18</v>
      </c>
      <c r="I37" t="s">
        <v>13</v>
      </c>
      <c r="J37" t="s">
        <v>14</v>
      </c>
    </row>
    <row r="38" spans="1:10" x14ac:dyDescent="0.35">
      <c r="A38">
        <v>37</v>
      </c>
      <c r="B38" s="1" t="s">
        <v>20</v>
      </c>
      <c r="C38">
        <v>2014</v>
      </c>
      <c r="D38" s="4">
        <v>2.2999999999999998</v>
      </c>
      <c r="E38" s="5">
        <v>25395</v>
      </c>
      <c r="F38" s="1" t="s">
        <v>11</v>
      </c>
      <c r="G38" s="10">
        <v>76380.320000000007</v>
      </c>
      <c r="H38" s="1" t="s">
        <v>46</v>
      </c>
      <c r="I38" t="s">
        <v>53</v>
      </c>
      <c r="J38" t="s">
        <v>22</v>
      </c>
    </row>
    <row r="39" spans="1:10" x14ac:dyDescent="0.35">
      <c r="A39">
        <v>38</v>
      </c>
      <c r="B39" s="1" t="s">
        <v>27</v>
      </c>
      <c r="C39">
        <v>2021</v>
      </c>
      <c r="D39" s="4">
        <v>3.2</v>
      </c>
      <c r="E39" s="5">
        <v>282346</v>
      </c>
      <c r="F39" s="1" t="s">
        <v>11</v>
      </c>
      <c r="G39" s="10">
        <v>40155.51</v>
      </c>
      <c r="H39" s="1" t="s">
        <v>28</v>
      </c>
      <c r="I39" t="s">
        <v>53</v>
      </c>
      <c r="J39" t="s">
        <v>14</v>
      </c>
    </row>
    <row r="40" spans="1:10" x14ac:dyDescent="0.35">
      <c r="A40">
        <v>39</v>
      </c>
      <c r="B40" s="1" t="s">
        <v>27</v>
      </c>
      <c r="C40">
        <v>2014</v>
      </c>
      <c r="D40" s="4">
        <v>4.5999999999999996</v>
      </c>
      <c r="E40" s="5">
        <v>229707</v>
      </c>
      <c r="F40" s="1" t="s">
        <v>15</v>
      </c>
      <c r="G40" s="10">
        <v>21471.98</v>
      </c>
      <c r="H40" s="1" t="s">
        <v>48</v>
      </c>
      <c r="I40" t="s">
        <v>52</v>
      </c>
      <c r="J40" t="s">
        <v>22</v>
      </c>
    </row>
    <row r="41" spans="1:10" x14ac:dyDescent="0.35">
      <c r="A41">
        <v>40</v>
      </c>
      <c r="B41" s="1" t="s">
        <v>10</v>
      </c>
      <c r="C41">
        <v>2001</v>
      </c>
      <c r="D41" s="4">
        <v>1</v>
      </c>
      <c r="E41" s="5">
        <v>247181</v>
      </c>
      <c r="F41" s="1" t="s">
        <v>11</v>
      </c>
      <c r="G41" s="10">
        <v>14346.62</v>
      </c>
      <c r="H41" s="1" t="s">
        <v>12</v>
      </c>
      <c r="I41" t="s">
        <v>13</v>
      </c>
      <c r="J41" t="s">
        <v>14</v>
      </c>
    </row>
    <row r="42" spans="1:10" x14ac:dyDescent="0.35">
      <c r="A42">
        <v>41</v>
      </c>
      <c r="B42" s="1" t="s">
        <v>29</v>
      </c>
      <c r="C42">
        <v>2000</v>
      </c>
      <c r="D42" s="4">
        <v>3.9</v>
      </c>
      <c r="E42" s="5">
        <v>204120</v>
      </c>
      <c r="F42" s="1" t="s">
        <v>11</v>
      </c>
      <c r="G42" s="10">
        <v>36094.75</v>
      </c>
      <c r="H42" s="1" t="s">
        <v>30</v>
      </c>
      <c r="I42" t="s">
        <v>51</v>
      </c>
      <c r="J42" t="s">
        <v>22</v>
      </c>
    </row>
    <row r="43" spans="1:10" x14ac:dyDescent="0.35">
      <c r="A43">
        <v>42</v>
      </c>
      <c r="B43" s="1" t="s">
        <v>29</v>
      </c>
      <c r="C43">
        <v>2022</v>
      </c>
      <c r="D43" s="4">
        <v>4.0999999999999996</v>
      </c>
      <c r="E43" s="5">
        <v>224839</v>
      </c>
      <c r="F43" s="1" t="s">
        <v>11</v>
      </c>
      <c r="G43" s="10">
        <v>17932.96</v>
      </c>
      <c r="H43" s="1" t="s">
        <v>43</v>
      </c>
      <c r="I43" t="s">
        <v>13</v>
      </c>
      <c r="J43" t="s">
        <v>22</v>
      </c>
    </row>
    <row r="44" spans="1:10" x14ac:dyDescent="0.35">
      <c r="A44">
        <v>43</v>
      </c>
      <c r="B44" s="1" t="s">
        <v>10</v>
      </c>
      <c r="C44">
        <v>2022</v>
      </c>
      <c r="D44" s="4">
        <v>4.2</v>
      </c>
      <c r="E44" s="5">
        <v>219882</v>
      </c>
      <c r="F44" s="1" t="s">
        <v>15</v>
      </c>
      <c r="G44" s="10">
        <v>19855.490000000002</v>
      </c>
      <c r="H44" s="1" t="s">
        <v>17</v>
      </c>
      <c r="I44" t="s">
        <v>13</v>
      </c>
      <c r="J44" t="s">
        <v>14</v>
      </c>
    </row>
    <row r="45" spans="1:10" x14ac:dyDescent="0.35">
      <c r="A45">
        <v>44</v>
      </c>
      <c r="B45" s="1" t="s">
        <v>29</v>
      </c>
      <c r="C45">
        <v>2010</v>
      </c>
      <c r="D45" s="4">
        <v>2.2000000000000002</v>
      </c>
      <c r="E45" s="5">
        <v>103235</v>
      </c>
      <c r="F45" s="1" t="s">
        <v>16</v>
      </c>
      <c r="G45" s="10">
        <v>69968.98</v>
      </c>
      <c r="H45" s="1" t="s">
        <v>31</v>
      </c>
      <c r="I45" t="s">
        <v>53</v>
      </c>
      <c r="J45" t="s">
        <v>14</v>
      </c>
    </row>
    <row r="46" spans="1:10" x14ac:dyDescent="0.35">
      <c r="A46">
        <v>45</v>
      </c>
      <c r="B46" s="1" t="s">
        <v>23</v>
      </c>
      <c r="C46">
        <v>2009</v>
      </c>
      <c r="D46" s="4">
        <v>4.5999999999999996</v>
      </c>
      <c r="E46" s="5">
        <v>45510</v>
      </c>
      <c r="F46" s="1" t="s">
        <v>15</v>
      </c>
      <c r="G46" s="10">
        <v>6874.55</v>
      </c>
      <c r="H46" s="1" t="s">
        <v>24</v>
      </c>
      <c r="I46" t="s">
        <v>52</v>
      </c>
      <c r="J46" t="s">
        <v>22</v>
      </c>
    </row>
    <row r="47" spans="1:10" x14ac:dyDescent="0.35">
      <c r="A47">
        <v>46</v>
      </c>
      <c r="B47" s="1" t="s">
        <v>27</v>
      </c>
      <c r="C47">
        <v>2017</v>
      </c>
      <c r="D47" s="4">
        <v>1.5</v>
      </c>
      <c r="E47" s="5">
        <v>87945</v>
      </c>
      <c r="F47" s="1" t="s">
        <v>15</v>
      </c>
      <c r="G47" s="10">
        <v>16167.56</v>
      </c>
      <c r="H47" s="1" t="s">
        <v>28</v>
      </c>
      <c r="I47" t="s">
        <v>52</v>
      </c>
      <c r="J47" t="s">
        <v>14</v>
      </c>
    </row>
    <row r="48" spans="1:10" x14ac:dyDescent="0.35">
      <c r="A48">
        <v>47</v>
      </c>
      <c r="B48" s="1" t="s">
        <v>10</v>
      </c>
      <c r="C48">
        <v>2017</v>
      </c>
      <c r="D48" s="4">
        <v>2</v>
      </c>
      <c r="E48" s="5">
        <v>242802</v>
      </c>
      <c r="F48" s="1" t="s">
        <v>11</v>
      </c>
      <c r="G48" s="10">
        <v>85214.720000000001</v>
      </c>
      <c r="H48" s="1" t="s">
        <v>19</v>
      </c>
      <c r="I48" t="s">
        <v>13</v>
      </c>
      <c r="J48" t="s">
        <v>14</v>
      </c>
    </row>
    <row r="49" spans="1:10" x14ac:dyDescent="0.35">
      <c r="A49">
        <v>48</v>
      </c>
      <c r="B49" s="1" t="s">
        <v>27</v>
      </c>
      <c r="C49">
        <v>2016</v>
      </c>
      <c r="D49" s="4">
        <v>5.4</v>
      </c>
      <c r="E49" s="5">
        <v>250168</v>
      </c>
      <c r="F49" s="1" t="s">
        <v>11</v>
      </c>
      <c r="G49" s="10">
        <v>85266.84</v>
      </c>
      <c r="H49" s="1" t="s">
        <v>40</v>
      </c>
      <c r="I49" t="s">
        <v>51</v>
      </c>
      <c r="J49" t="s">
        <v>14</v>
      </c>
    </row>
    <row r="50" spans="1:10" x14ac:dyDescent="0.35">
      <c r="A50">
        <v>49</v>
      </c>
      <c r="B50" s="1" t="s">
        <v>35</v>
      </c>
      <c r="C50">
        <v>2007</v>
      </c>
      <c r="D50" s="4">
        <v>4.7</v>
      </c>
      <c r="E50" s="5">
        <v>2881</v>
      </c>
      <c r="F50" s="1" t="s">
        <v>16</v>
      </c>
      <c r="G50" s="10">
        <v>36278.129999999997</v>
      </c>
      <c r="H50" s="1" t="s">
        <v>36</v>
      </c>
      <c r="I50" t="s">
        <v>51</v>
      </c>
      <c r="J50" t="s">
        <v>14</v>
      </c>
    </row>
    <row r="51" spans="1:10" x14ac:dyDescent="0.35">
      <c r="A51">
        <v>50</v>
      </c>
      <c r="B51" s="1" t="s">
        <v>23</v>
      </c>
      <c r="C51">
        <v>2014</v>
      </c>
      <c r="D51" s="4">
        <v>1.1000000000000001</v>
      </c>
      <c r="E51" s="5">
        <v>111860</v>
      </c>
      <c r="F51" s="1" t="s">
        <v>16</v>
      </c>
      <c r="G51" s="10">
        <v>13355.54</v>
      </c>
      <c r="H51" s="1" t="s">
        <v>24</v>
      </c>
      <c r="I51" t="s">
        <v>13</v>
      </c>
      <c r="J51" t="s">
        <v>14</v>
      </c>
    </row>
    <row r="52" spans="1:10" x14ac:dyDescent="0.35">
      <c r="A52">
        <v>51</v>
      </c>
      <c r="B52" s="1" t="s">
        <v>25</v>
      </c>
      <c r="C52">
        <v>2007</v>
      </c>
      <c r="D52" s="4">
        <v>2.2000000000000002</v>
      </c>
      <c r="E52" s="5">
        <v>166415</v>
      </c>
      <c r="F52" s="1" t="s">
        <v>16</v>
      </c>
      <c r="G52" s="10">
        <v>71972.179999999993</v>
      </c>
      <c r="H52" s="1" t="s">
        <v>44</v>
      </c>
      <c r="I52" t="s">
        <v>53</v>
      </c>
      <c r="J52" t="s">
        <v>14</v>
      </c>
    </row>
    <row r="53" spans="1:10" x14ac:dyDescent="0.35">
      <c r="A53">
        <v>52</v>
      </c>
      <c r="B53" s="1" t="s">
        <v>23</v>
      </c>
      <c r="C53">
        <v>2016</v>
      </c>
      <c r="D53" s="4">
        <v>2.1</v>
      </c>
      <c r="E53" s="5">
        <v>139728</v>
      </c>
      <c r="F53" s="1" t="s">
        <v>16</v>
      </c>
      <c r="G53" s="10">
        <v>39212.51</v>
      </c>
      <c r="H53" s="1" t="s">
        <v>32</v>
      </c>
      <c r="I53" t="s">
        <v>52</v>
      </c>
      <c r="J53" t="s">
        <v>14</v>
      </c>
    </row>
    <row r="54" spans="1:10" x14ac:dyDescent="0.35">
      <c r="A54">
        <v>53</v>
      </c>
      <c r="B54" s="1" t="s">
        <v>10</v>
      </c>
      <c r="C54">
        <v>2011</v>
      </c>
      <c r="D54" s="4">
        <v>2.4</v>
      </c>
      <c r="E54" s="5">
        <v>267885</v>
      </c>
      <c r="F54" s="1" t="s">
        <v>15</v>
      </c>
      <c r="G54" s="10">
        <v>9319.14</v>
      </c>
      <c r="H54" s="1" t="s">
        <v>19</v>
      </c>
      <c r="I54" t="s">
        <v>13</v>
      </c>
      <c r="J54" t="s">
        <v>14</v>
      </c>
    </row>
    <row r="55" spans="1:10" x14ac:dyDescent="0.35">
      <c r="A55">
        <v>54</v>
      </c>
      <c r="B55" s="1" t="s">
        <v>25</v>
      </c>
      <c r="C55">
        <v>2007</v>
      </c>
      <c r="D55" s="4">
        <v>2.2000000000000002</v>
      </c>
      <c r="E55" s="5">
        <v>147733</v>
      </c>
      <c r="F55" s="1" t="s">
        <v>16</v>
      </c>
      <c r="G55" s="10">
        <v>19993.560000000001</v>
      </c>
      <c r="H55" s="1" t="s">
        <v>41</v>
      </c>
      <c r="I55" t="s">
        <v>13</v>
      </c>
      <c r="J55" t="s">
        <v>14</v>
      </c>
    </row>
    <row r="56" spans="1:10" x14ac:dyDescent="0.35">
      <c r="A56">
        <v>55</v>
      </c>
      <c r="B56" s="1" t="s">
        <v>35</v>
      </c>
      <c r="C56">
        <v>2013</v>
      </c>
      <c r="D56" s="4">
        <v>1.3</v>
      </c>
      <c r="E56" s="5">
        <v>290834</v>
      </c>
      <c r="F56" s="1" t="s">
        <v>15</v>
      </c>
      <c r="G56" s="10">
        <v>18035.41</v>
      </c>
      <c r="H56" s="1" t="s">
        <v>47</v>
      </c>
      <c r="I56" t="s">
        <v>53</v>
      </c>
      <c r="J56" t="s">
        <v>22</v>
      </c>
    </row>
    <row r="57" spans="1:10" x14ac:dyDescent="0.35">
      <c r="A57">
        <v>56</v>
      </c>
      <c r="B57" s="1" t="s">
        <v>10</v>
      </c>
      <c r="C57">
        <v>2003</v>
      </c>
      <c r="D57" s="4">
        <v>3.3</v>
      </c>
      <c r="E57" s="5">
        <v>294977</v>
      </c>
      <c r="F57" s="1" t="s">
        <v>11</v>
      </c>
      <c r="G57" s="10">
        <v>60966.05</v>
      </c>
      <c r="H57" s="1" t="s">
        <v>19</v>
      </c>
      <c r="I57" t="s">
        <v>13</v>
      </c>
      <c r="J57" t="s">
        <v>14</v>
      </c>
    </row>
    <row r="58" spans="1:10" x14ac:dyDescent="0.35">
      <c r="A58">
        <v>57</v>
      </c>
      <c r="B58" s="1" t="s">
        <v>20</v>
      </c>
      <c r="C58">
        <v>2000</v>
      </c>
      <c r="D58" s="4">
        <v>4.7</v>
      </c>
      <c r="E58" s="5">
        <v>102566</v>
      </c>
      <c r="F58" s="1" t="s">
        <v>16</v>
      </c>
      <c r="G58" s="10">
        <v>90321.17</v>
      </c>
      <c r="H58" s="1" t="s">
        <v>33</v>
      </c>
      <c r="I58" t="s">
        <v>53</v>
      </c>
      <c r="J58" t="s">
        <v>14</v>
      </c>
    </row>
    <row r="59" spans="1:10" x14ac:dyDescent="0.35">
      <c r="A59">
        <v>58</v>
      </c>
      <c r="B59" s="1" t="s">
        <v>27</v>
      </c>
      <c r="C59">
        <v>2000</v>
      </c>
      <c r="D59" s="4">
        <v>4</v>
      </c>
      <c r="E59" s="5">
        <v>71240</v>
      </c>
      <c r="F59" s="1" t="s">
        <v>11</v>
      </c>
      <c r="G59" s="10">
        <v>80341.84</v>
      </c>
      <c r="H59" s="1" t="s">
        <v>28</v>
      </c>
      <c r="I59" t="s">
        <v>53</v>
      </c>
      <c r="J59" t="s">
        <v>22</v>
      </c>
    </row>
    <row r="60" spans="1:10" x14ac:dyDescent="0.35">
      <c r="A60">
        <v>59</v>
      </c>
      <c r="B60" s="1" t="s">
        <v>35</v>
      </c>
      <c r="C60">
        <v>2018</v>
      </c>
      <c r="D60" s="4">
        <v>4.4000000000000004</v>
      </c>
      <c r="E60" s="5">
        <v>106898</v>
      </c>
      <c r="F60" s="1" t="s">
        <v>11</v>
      </c>
      <c r="G60" s="10">
        <v>56919.02</v>
      </c>
      <c r="H60" s="1" t="s">
        <v>36</v>
      </c>
      <c r="I60" t="s">
        <v>51</v>
      </c>
      <c r="J60" t="s">
        <v>14</v>
      </c>
    </row>
    <row r="61" spans="1:10" x14ac:dyDescent="0.35">
      <c r="A61">
        <v>60</v>
      </c>
      <c r="B61" s="1" t="s">
        <v>27</v>
      </c>
      <c r="C61">
        <v>2015</v>
      </c>
      <c r="D61" s="4">
        <v>1.4</v>
      </c>
      <c r="E61" s="5">
        <v>209304</v>
      </c>
      <c r="F61" s="1" t="s">
        <v>15</v>
      </c>
      <c r="G61" s="10">
        <v>45104.74</v>
      </c>
      <c r="H61" s="1" t="s">
        <v>37</v>
      </c>
      <c r="I61" t="s">
        <v>51</v>
      </c>
      <c r="J61" t="s">
        <v>22</v>
      </c>
    </row>
    <row r="62" spans="1:10" x14ac:dyDescent="0.35">
      <c r="A62">
        <v>61</v>
      </c>
      <c r="B62" s="1" t="s">
        <v>29</v>
      </c>
      <c r="C62">
        <v>2013</v>
      </c>
      <c r="D62" s="4">
        <v>5.8</v>
      </c>
      <c r="E62" s="5">
        <v>80522</v>
      </c>
      <c r="F62" s="1" t="s">
        <v>16</v>
      </c>
      <c r="G62" s="10">
        <v>63774.29</v>
      </c>
      <c r="H62" s="1" t="s">
        <v>38</v>
      </c>
      <c r="I62" t="s">
        <v>51</v>
      </c>
      <c r="J62" t="s">
        <v>22</v>
      </c>
    </row>
    <row r="63" spans="1:10" x14ac:dyDescent="0.35">
      <c r="A63">
        <v>62</v>
      </c>
      <c r="B63" s="1" t="s">
        <v>20</v>
      </c>
      <c r="C63">
        <v>2020</v>
      </c>
      <c r="D63" s="4">
        <v>5.2</v>
      </c>
      <c r="E63" s="5">
        <v>145512</v>
      </c>
      <c r="F63" s="1" t="s">
        <v>15</v>
      </c>
      <c r="G63" s="10">
        <v>47162.21</v>
      </c>
      <c r="H63" s="1" t="s">
        <v>39</v>
      </c>
      <c r="I63" t="s">
        <v>53</v>
      </c>
      <c r="J63" t="s">
        <v>14</v>
      </c>
    </row>
    <row r="64" spans="1:10" x14ac:dyDescent="0.35">
      <c r="A64">
        <v>63</v>
      </c>
      <c r="B64" s="1" t="s">
        <v>20</v>
      </c>
      <c r="C64">
        <v>2015</v>
      </c>
      <c r="D64" s="4">
        <v>5</v>
      </c>
      <c r="E64" s="5">
        <v>119107</v>
      </c>
      <c r="F64" s="1" t="s">
        <v>11</v>
      </c>
      <c r="G64" s="10">
        <v>28379.42</v>
      </c>
      <c r="H64" s="1" t="s">
        <v>33</v>
      </c>
      <c r="I64" t="s">
        <v>53</v>
      </c>
      <c r="J64" t="s">
        <v>14</v>
      </c>
    </row>
    <row r="65" spans="1:10" x14ac:dyDescent="0.35">
      <c r="A65">
        <v>64</v>
      </c>
      <c r="B65" s="1" t="s">
        <v>35</v>
      </c>
      <c r="C65">
        <v>2004</v>
      </c>
      <c r="D65" s="4">
        <v>5.0999999999999996</v>
      </c>
      <c r="E65" s="5">
        <v>22462</v>
      </c>
      <c r="F65" s="1" t="s">
        <v>16</v>
      </c>
      <c r="G65" s="10">
        <v>69523.759999999995</v>
      </c>
      <c r="H65" s="1" t="s">
        <v>47</v>
      </c>
      <c r="I65" t="s">
        <v>13</v>
      </c>
      <c r="J65" t="s">
        <v>14</v>
      </c>
    </row>
    <row r="66" spans="1:10" x14ac:dyDescent="0.35">
      <c r="A66">
        <v>65</v>
      </c>
      <c r="B66" s="1" t="s">
        <v>20</v>
      </c>
      <c r="C66">
        <v>2008</v>
      </c>
      <c r="D66" s="4">
        <v>5.7</v>
      </c>
      <c r="E66" s="5">
        <v>279965</v>
      </c>
      <c r="F66" s="1" t="s">
        <v>11</v>
      </c>
      <c r="G66" s="10">
        <v>87958.17</v>
      </c>
      <c r="H66" s="1" t="s">
        <v>46</v>
      </c>
      <c r="I66" t="s">
        <v>52</v>
      </c>
      <c r="J66" t="s">
        <v>14</v>
      </c>
    </row>
    <row r="67" spans="1:10" x14ac:dyDescent="0.35">
      <c r="A67">
        <v>66</v>
      </c>
      <c r="B67" s="1" t="s">
        <v>25</v>
      </c>
      <c r="C67">
        <v>2001</v>
      </c>
      <c r="D67" s="4">
        <v>3.7</v>
      </c>
      <c r="E67" s="5">
        <v>92889</v>
      </c>
      <c r="F67" s="1" t="s">
        <v>11</v>
      </c>
      <c r="G67" s="10">
        <v>40422.68</v>
      </c>
      <c r="H67" s="1" t="s">
        <v>41</v>
      </c>
      <c r="I67" t="s">
        <v>53</v>
      </c>
      <c r="J67" t="s">
        <v>22</v>
      </c>
    </row>
    <row r="68" spans="1:10" x14ac:dyDescent="0.35">
      <c r="A68">
        <v>67</v>
      </c>
      <c r="B68" s="1" t="s">
        <v>20</v>
      </c>
      <c r="C68">
        <v>2017</v>
      </c>
      <c r="D68" s="4">
        <v>2</v>
      </c>
      <c r="E68" s="5">
        <v>88952</v>
      </c>
      <c r="F68" s="1" t="s">
        <v>16</v>
      </c>
      <c r="G68" s="10">
        <v>84946.15</v>
      </c>
      <c r="H68" s="1" t="s">
        <v>33</v>
      </c>
      <c r="I68" t="s">
        <v>52</v>
      </c>
      <c r="J68" t="s">
        <v>14</v>
      </c>
    </row>
    <row r="69" spans="1:10" x14ac:dyDescent="0.35">
      <c r="A69">
        <v>68</v>
      </c>
      <c r="B69" s="1" t="s">
        <v>27</v>
      </c>
      <c r="C69">
        <v>2005</v>
      </c>
      <c r="D69" s="4">
        <v>4.0999999999999996</v>
      </c>
      <c r="E69" s="5">
        <v>193596</v>
      </c>
      <c r="F69" s="1" t="s">
        <v>16</v>
      </c>
      <c r="G69" s="10">
        <v>45952.79</v>
      </c>
      <c r="H69" s="1" t="s">
        <v>48</v>
      </c>
      <c r="I69" t="s">
        <v>51</v>
      </c>
      <c r="J69" t="s">
        <v>22</v>
      </c>
    </row>
    <row r="70" spans="1:10" x14ac:dyDescent="0.35">
      <c r="A70">
        <v>69</v>
      </c>
      <c r="B70" s="1" t="s">
        <v>27</v>
      </c>
      <c r="C70">
        <v>2008</v>
      </c>
      <c r="D70" s="4">
        <v>4.7</v>
      </c>
      <c r="E70" s="5">
        <v>177505</v>
      </c>
      <c r="F70" s="1" t="s">
        <v>16</v>
      </c>
      <c r="G70" s="10">
        <v>43126.91</v>
      </c>
      <c r="H70" s="1" t="s">
        <v>28</v>
      </c>
      <c r="I70" t="s">
        <v>53</v>
      </c>
      <c r="J70" t="s">
        <v>22</v>
      </c>
    </row>
    <row r="71" spans="1:10" x14ac:dyDescent="0.35">
      <c r="A71">
        <v>70</v>
      </c>
      <c r="B71" s="1" t="s">
        <v>10</v>
      </c>
      <c r="C71">
        <v>2000</v>
      </c>
      <c r="D71" s="4">
        <v>4.7</v>
      </c>
      <c r="E71" s="5">
        <v>221576</v>
      </c>
      <c r="F71" s="1" t="s">
        <v>15</v>
      </c>
      <c r="G71" s="10">
        <v>7690.81</v>
      </c>
      <c r="H71" s="1" t="s">
        <v>12</v>
      </c>
      <c r="I71" t="s">
        <v>13</v>
      </c>
      <c r="J71" t="s">
        <v>14</v>
      </c>
    </row>
    <row r="72" spans="1:10" x14ac:dyDescent="0.35">
      <c r="A72">
        <v>71</v>
      </c>
      <c r="B72" s="1" t="s">
        <v>27</v>
      </c>
      <c r="C72">
        <v>2008</v>
      </c>
      <c r="D72" s="4">
        <v>3.6</v>
      </c>
      <c r="E72" s="5">
        <v>219393</v>
      </c>
      <c r="F72" s="1" t="s">
        <v>15</v>
      </c>
      <c r="G72" s="10">
        <v>71051.5</v>
      </c>
      <c r="H72" s="1" t="s">
        <v>28</v>
      </c>
      <c r="I72" t="s">
        <v>13</v>
      </c>
      <c r="J72" t="s">
        <v>14</v>
      </c>
    </row>
    <row r="73" spans="1:10" x14ac:dyDescent="0.35">
      <c r="A73">
        <v>72</v>
      </c>
      <c r="B73" s="1" t="s">
        <v>10</v>
      </c>
      <c r="C73">
        <v>2015</v>
      </c>
      <c r="D73" s="4">
        <v>1.3</v>
      </c>
      <c r="E73" s="5">
        <v>275455</v>
      </c>
      <c r="F73" s="1" t="s">
        <v>11</v>
      </c>
      <c r="G73" s="10">
        <v>81712.740000000005</v>
      </c>
      <c r="H73" s="1" t="s">
        <v>19</v>
      </c>
      <c r="I73" t="s">
        <v>13</v>
      </c>
      <c r="J73" t="s">
        <v>14</v>
      </c>
    </row>
    <row r="74" spans="1:10" x14ac:dyDescent="0.35">
      <c r="A74">
        <v>73</v>
      </c>
      <c r="B74" s="1" t="s">
        <v>27</v>
      </c>
      <c r="C74">
        <v>2012</v>
      </c>
      <c r="D74" s="4">
        <v>2.9</v>
      </c>
      <c r="E74" s="5">
        <v>254084</v>
      </c>
      <c r="F74" s="1" t="s">
        <v>16</v>
      </c>
      <c r="G74" s="10">
        <v>68037.91</v>
      </c>
      <c r="H74" s="1" t="s">
        <v>40</v>
      </c>
      <c r="I74" t="s">
        <v>51</v>
      </c>
      <c r="J74" t="s">
        <v>22</v>
      </c>
    </row>
    <row r="75" spans="1:10" x14ac:dyDescent="0.35">
      <c r="A75">
        <v>74</v>
      </c>
      <c r="B75" s="1" t="s">
        <v>25</v>
      </c>
      <c r="C75">
        <v>2008</v>
      </c>
      <c r="D75" s="4">
        <v>5.6</v>
      </c>
      <c r="E75" s="5">
        <v>129466</v>
      </c>
      <c r="F75" s="1" t="s">
        <v>11</v>
      </c>
      <c r="G75" s="10">
        <v>19379.29</v>
      </c>
      <c r="H75" s="1" t="s">
        <v>49</v>
      </c>
      <c r="I75" t="s">
        <v>52</v>
      </c>
      <c r="J75" t="s">
        <v>14</v>
      </c>
    </row>
    <row r="76" spans="1:10" x14ac:dyDescent="0.35">
      <c r="A76">
        <v>75</v>
      </c>
      <c r="B76" s="1" t="s">
        <v>10</v>
      </c>
      <c r="C76">
        <v>2020</v>
      </c>
      <c r="D76" s="4">
        <v>3.9</v>
      </c>
      <c r="E76" s="5">
        <v>30531</v>
      </c>
      <c r="F76" s="1" t="s">
        <v>11</v>
      </c>
      <c r="G76" s="10">
        <v>14812.88</v>
      </c>
      <c r="H76" s="1" t="s">
        <v>19</v>
      </c>
      <c r="I76" t="s">
        <v>13</v>
      </c>
      <c r="J76" t="s">
        <v>14</v>
      </c>
    </row>
    <row r="77" spans="1:10" x14ac:dyDescent="0.35">
      <c r="A77">
        <v>76</v>
      </c>
      <c r="B77" s="1" t="s">
        <v>23</v>
      </c>
      <c r="C77">
        <v>2012</v>
      </c>
      <c r="D77" s="4">
        <v>3.7</v>
      </c>
      <c r="E77" s="5">
        <v>14588</v>
      </c>
      <c r="F77" s="1" t="s">
        <v>11</v>
      </c>
      <c r="G77" s="10">
        <v>59421.58</v>
      </c>
      <c r="H77" s="1" t="s">
        <v>42</v>
      </c>
      <c r="I77" t="s">
        <v>13</v>
      </c>
      <c r="J77" t="s">
        <v>22</v>
      </c>
    </row>
    <row r="78" spans="1:10" x14ac:dyDescent="0.35">
      <c r="A78">
        <v>77</v>
      </c>
      <c r="B78" s="1" t="s">
        <v>29</v>
      </c>
      <c r="C78">
        <v>2008</v>
      </c>
      <c r="D78" s="4">
        <v>2.2999999999999998</v>
      </c>
      <c r="E78" s="5">
        <v>143452</v>
      </c>
      <c r="F78" s="1" t="s">
        <v>11</v>
      </c>
      <c r="G78" s="10">
        <v>43144.04</v>
      </c>
      <c r="H78" s="1" t="s">
        <v>38</v>
      </c>
      <c r="I78" t="s">
        <v>52</v>
      </c>
      <c r="J78" t="s">
        <v>22</v>
      </c>
    </row>
    <row r="79" spans="1:10" x14ac:dyDescent="0.35">
      <c r="A79">
        <v>78</v>
      </c>
      <c r="B79" s="1" t="s">
        <v>35</v>
      </c>
      <c r="C79">
        <v>2010</v>
      </c>
      <c r="D79" s="4">
        <v>2.8</v>
      </c>
      <c r="E79" s="5">
        <v>173717</v>
      </c>
      <c r="F79" s="1" t="s">
        <v>11</v>
      </c>
      <c r="G79" s="10">
        <v>45764.29</v>
      </c>
      <c r="H79" s="1" t="s">
        <v>50</v>
      </c>
      <c r="I79" t="s">
        <v>13</v>
      </c>
      <c r="J79" t="s">
        <v>14</v>
      </c>
    </row>
    <row r="80" spans="1:10" x14ac:dyDescent="0.35">
      <c r="A80">
        <v>79</v>
      </c>
      <c r="B80" s="1" t="s">
        <v>27</v>
      </c>
      <c r="C80">
        <v>2003</v>
      </c>
      <c r="D80" s="4">
        <v>5.5</v>
      </c>
      <c r="E80" s="5">
        <v>161929</v>
      </c>
      <c r="F80" s="1" t="s">
        <v>16</v>
      </c>
      <c r="G80" s="10">
        <v>96941.02</v>
      </c>
      <c r="H80" s="1" t="s">
        <v>40</v>
      </c>
      <c r="I80" t="s">
        <v>13</v>
      </c>
      <c r="J80" t="s">
        <v>14</v>
      </c>
    </row>
    <row r="81" spans="1:10" x14ac:dyDescent="0.35">
      <c r="A81">
        <v>80</v>
      </c>
      <c r="B81" s="1" t="s">
        <v>20</v>
      </c>
      <c r="C81">
        <v>2001</v>
      </c>
      <c r="D81" s="4">
        <v>4.3</v>
      </c>
      <c r="E81" s="5">
        <v>21711</v>
      </c>
      <c r="F81" s="1" t="s">
        <v>15</v>
      </c>
      <c r="G81" s="10">
        <v>73772.649999999994</v>
      </c>
      <c r="H81" s="1" t="s">
        <v>46</v>
      </c>
      <c r="I81" t="s">
        <v>51</v>
      </c>
      <c r="J81" t="s">
        <v>22</v>
      </c>
    </row>
    <row r="82" spans="1:10" x14ac:dyDescent="0.35">
      <c r="A82">
        <v>81</v>
      </c>
      <c r="B82" s="1" t="s">
        <v>27</v>
      </c>
      <c r="C82">
        <v>2005</v>
      </c>
      <c r="D82" s="4">
        <v>4.9000000000000004</v>
      </c>
      <c r="E82" s="5">
        <v>136169</v>
      </c>
      <c r="F82" s="1" t="s">
        <v>16</v>
      </c>
      <c r="G82" s="10">
        <v>44119.839999999997</v>
      </c>
      <c r="H82" s="1" t="s">
        <v>28</v>
      </c>
      <c r="I82" t="s">
        <v>52</v>
      </c>
      <c r="J82" t="s">
        <v>14</v>
      </c>
    </row>
    <row r="83" spans="1:10" x14ac:dyDescent="0.35">
      <c r="A83">
        <v>82</v>
      </c>
      <c r="B83" s="1" t="s">
        <v>20</v>
      </c>
      <c r="C83">
        <v>2013</v>
      </c>
      <c r="D83" s="4">
        <v>3.3</v>
      </c>
      <c r="E83" s="5">
        <v>159465</v>
      </c>
      <c r="F83" s="1" t="s">
        <v>16</v>
      </c>
      <c r="G83" s="10">
        <v>6814.43</v>
      </c>
      <c r="H83" s="1" t="s">
        <v>33</v>
      </c>
      <c r="I83" t="s">
        <v>52</v>
      </c>
      <c r="J83" t="s">
        <v>22</v>
      </c>
    </row>
    <row r="84" spans="1:10" x14ac:dyDescent="0.35">
      <c r="A84">
        <v>83</v>
      </c>
      <c r="B84" s="1" t="s">
        <v>29</v>
      </c>
      <c r="C84">
        <v>2003</v>
      </c>
      <c r="D84" s="4">
        <v>4.2</v>
      </c>
      <c r="E84" s="5">
        <v>284220</v>
      </c>
      <c r="F84" s="1" t="s">
        <v>16</v>
      </c>
      <c r="G84" s="10">
        <v>8239.09</v>
      </c>
      <c r="H84" s="1" t="s">
        <v>38</v>
      </c>
      <c r="I84" t="s">
        <v>13</v>
      </c>
      <c r="J84" t="s">
        <v>14</v>
      </c>
    </row>
    <row r="85" spans="1:10" x14ac:dyDescent="0.35">
      <c r="A85">
        <v>84</v>
      </c>
      <c r="B85" s="1" t="s">
        <v>29</v>
      </c>
      <c r="C85">
        <v>2005</v>
      </c>
      <c r="D85" s="4">
        <v>2.2000000000000002</v>
      </c>
      <c r="E85" s="5">
        <v>160389</v>
      </c>
      <c r="F85" s="1" t="s">
        <v>15</v>
      </c>
      <c r="G85" s="10">
        <v>70056.350000000006</v>
      </c>
      <c r="H85" s="1" t="s">
        <v>30</v>
      </c>
      <c r="I85" t="s">
        <v>13</v>
      </c>
      <c r="J85" t="s">
        <v>22</v>
      </c>
    </row>
    <row r="86" spans="1:10" x14ac:dyDescent="0.35">
      <c r="A86">
        <v>85</v>
      </c>
      <c r="B86" s="1" t="s">
        <v>29</v>
      </c>
      <c r="C86">
        <v>2018</v>
      </c>
      <c r="D86" s="4">
        <v>4.5</v>
      </c>
      <c r="E86" s="5">
        <v>58480</v>
      </c>
      <c r="F86" s="1" t="s">
        <v>15</v>
      </c>
      <c r="G86" s="10">
        <v>84585.18</v>
      </c>
      <c r="H86" s="1" t="s">
        <v>38</v>
      </c>
      <c r="I86" t="s">
        <v>51</v>
      </c>
      <c r="J86" t="s">
        <v>14</v>
      </c>
    </row>
    <row r="87" spans="1:10" x14ac:dyDescent="0.35">
      <c r="A87">
        <v>86</v>
      </c>
      <c r="B87" s="1" t="s">
        <v>20</v>
      </c>
      <c r="C87">
        <v>2005</v>
      </c>
      <c r="D87" s="4">
        <v>3.1</v>
      </c>
      <c r="E87" s="5">
        <v>269188</v>
      </c>
      <c r="F87" s="1" t="s">
        <v>15</v>
      </c>
      <c r="G87" s="10">
        <v>72231.75</v>
      </c>
      <c r="H87" s="1" t="s">
        <v>46</v>
      </c>
      <c r="I87" t="s">
        <v>53</v>
      </c>
      <c r="J87" t="s">
        <v>14</v>
      </c>
    </row>
    <row r="88" spans="1:10" x14ac:dyDescent="0.35">
      <c r="A88">
        <v>87</v>
      </c>
      <c r="B88" s="1" t="s">
        <v>27</v>
      </c>
      <c r="C88">
        <v>2001</v>
      </c>
      <c r="D88" s="4">
        <v>3.2</v>
      </c>
      <c r="E88" s="5">
        <v>250309</v>
      </c>
      <c r="F88" s="1" t="s">
        <v>16</v>
      </c>
      <c r="G88" s="10">
        <v>43559.34</v>
      </c>
      <c r="H88" s="1" t="s">
        <v>48</v>
      </c>
      <c r="I88" t="s">
        <v>53</v>
      </c>
      <c r="J88" t="s">
        <v>14</v>
      </c>
    </row>
    <row r="89" spans="1:10" x14ac:dyDescent="0.35">
      <c r="A89">
        <v>88</v>
      </c>
      <c r="B89" s="1" t="s">
        <v>29</v>
      </c>
      <c r="C89">
        <v>2017</v>
      </c>
      <c r="D89" s="4">
        <v>4.2</v>
      </c>
      <c r="E89" s="5">
        <v>55486</v>
      </c>
      <c r="F89" s="1" t="s">
        <v>15</v>
      </c>
      <c r="G89" s="10">
        <v>7957.9</v>
      </c>
      <c r="H89" s="1" t="s">
        <v>31</v>
      </c>
      <c r="I89" t="s">
        <v>13</v>
      </c>
      <c r="J89" t="s">
        <v>22</v>
      </c>
    </row>
    <row r="90" spans="1:10" x14ac:dyDescent="0.35">
      <c r="A90">
        <v>89</v>
      </c>
      <c r="B90" s="1" t="s">
        <v>25</v>
      </c>
      <c r="C90">
        <v>2012</v>
      </c>
      <c r="D90" s="4">
        <v>5.7</v>
      </c>
      <c r="E90" s="5">
        <v>55162</v>
      </c>
      <c r="F90" s="1" t="s">
        <v>11</v>
      </c>
      <c r="G90" s="10">
        <v>96903.15</v>
      </c>
      <c r="H90" s="1" t="s">
        <v>49</v>
      </c>
      <c r="I90" t="s">
        <v>53</v>
      </c>
      <c r="J90" t="s">
        <v>22</v>
      </c>
    </row>
    <row r="91" spans="1:10" x14ac:dyDescent="0.35">
      <c r="A91">
        <v>90</v>
      </c>
      <c r="B91" s="1" t="s">
        <v>10</v>
      </c>
      <c r="C91">
        <v>2008</v>
      </c>
      <c r="D91" s="4">
        <v>1.3</v>
      </c>
      <c r="E91" s="5">
        <v>210359</v>
      </c>
      <c r="F91" s="1" t="s">
        <v>15</v>
      </c>
      <c r="G91" s="10">
        <v>98701.93</v>
      </c>
      <c r="H91" s="1" t="s">
        <v>19</v>
      </c>
      <c r="I91" t="s">
        <v>13</v>
      </c>
      <c r="J91" t="s">
        <v>14</v>
      </c>
    </row>
    <row r="92" spans="1:10" x14ac:dyDescent="0.35">
      <c r="A92">
        <v>91</v>
      </c>
      <c r="B92" s="1" t="s">
        <v>20</v>
      </c>
      <c r="C92">
        <v>2022</v>
      </c>
      <c r="D92" s="4">
        <v>5.0999999999999996</v>
      </c>
      <c r="E92" s="5">
        <v>29882</v>
      </c>
      <c r="F92" s="1" t="s">
        <v>16</v>
      </c>
      <c r="G92" s="10">
        <v>57189.63</v>
      </c>
      <c r="H92" s="1" t="s">
        <v>33</v>
      </c>
      <c r="I92" t="s">
        <v>53</v>
      </c>
      <c r="J92" t="s">
        <v>14</v>
      </c>
    </row>
    <row r="93" spans="1:10" x14ac:dyDescent="0.35">
      <c r="A93">
        <v>92</v>
      </c>
      <c r="B93" s="1" t="s">
        <v>20</v>
      </c>
      <c r="C93">
        <v>2018</v>
      </c>
      <c r="D93" s="4">
        <v>2.5</v>
      </c>
      <c r="E93" s="5">
        <v>54078</v>
      </c>
      <c r="F93" s="1" t="s">
        <v>16</v>
      </c>
      <c r="G93" s="10">
        <v>11713.74</v>
      </c>
      <c r="H93" s="1" t="s">
        <v>33</v>
      </c>
      <c r="I93" t="s">
        <v>53</v>
      </c>
      <c r="J93" t="s">
        <v>14</v>
      </c>
    </row>
    <row r="94" spans="1:10" x14ac:dyDescent="0.35">
      <c r="A94">
        <v>93</v>
      </c>
      <c r="B94" s="1" t="s">
        <v>27</v>
      </c>
      <c r="C94">
        <v>2012</v>
      </c>
      <c r="D94" s="4">
        <v>3.2</v>
      </c>
      <c r="E94" s="5">
        <v>238680</v>
      </c>
      <c r="F94" s="1" t="s">
        <v>11</v>
      </c>
      <c r="G94" s="10">
        <v>56392.39</v>
      </c>
      <c r="H94" s="1" t="s">
        <v>37</v>
      </c>
      <c r="I94" t="s">
        <v>13</v>
      </c>
      <c r="J94" t="s">
        <v>22</v>
      </c>
    </row>
    <row r="95" spans="1:10" x14ac:dyDescent="0.35">
      <c r="A95">
        <v>94</v>
      </c>
      <c r="B95" s="1" t="s">
        <v>20</v>
      </c>
      <c r="C95">
        <v>2010</v>
      </c>
      <c r="D95" s="4">
        <v>1.1000000000000001</v>
      </c>
      <c r="E95" s="5">
        <v>108730</v>
      </c>
      <c r="F95" s="1" t="s">
        <v>15</v>
      </c>
      <c r="G95" s="10">
        <v>89772.15</v>
      </c>
      <c r="H95" s="1" t="s">
        <v>33</v>
      </c>
      <c r="I95" t="s">
        <v>53</v>
      </c>
      <c r="J95" t="s">
        <v>14</v>
      </c>
    </row>
    <row r="96" spans="1:10" x14ac:dyDescent="0.35">
      <c r="A96">
        <v>95</v>
      </c>
      <c r="B96" s="1" t="s">
        <v>20</v>
      </c>
      <c r="C96">
        <v>2000</v>
      </c>
      <c r="D96" s="4">
        <v>2.5</v>
      </c>
      <c r="E96" s="5">
        <v>174898</v>
      </c>
      <c r="F96" s="1" t="s">
        <v>15</v>
      </c>
      <c r="G96" s="10">
        <v>69598.62</v>
      </c>
      <c r="H96" s="1" t="s">
        <v>46</v>
      </c>
      <c r="I96" t="s">
        <v>53</v>
      </c>
      <c r="J96" t="s">
        <v>22</v>
      </c>
    </row>
    <row r="97" spans="1:10" x14ac:dyDescent="0.35">
      <c r="A97">
        <v>96</v>
      </c>
      <c r="B97" s="1" t="s">
        <v>29</v>
      </c>
      <c r="C97">
        <v>2023</v>
      </c>
      <c r="D97" s="4">
        <v>3.5</v>
      </c>
      <c r="E97" s="5">
        <v>98938</v>
      </c>
      <c r="F97" s="1" t="s">
        <v>11</v>
      </c>
      <c r="G97" s="10">
        <v>73398.98</v>
      </c>
      <c r="H97" s="1" t="s">
        <v>31</v>
      </c>
      <c r="I97" t="s">
        <v>51</v>
      </c>
      <c r="J97" t="s">
        <v>22</v>
      </c>
    </row>
    <row r="98" spans="1:10" x14ac:dyDescent="0.35">
      <c r="A98">
        <v>97</v>
      </c>
      <c r="B98" s="1" t="s">
        <v>27</v>
      </c>
      <c r="C98">
        <v>2021</v>
      </c>
      <c r="D98" s="4">
        <v>1.3</v>
      </c>
      <c r="E98" s="5">
        <v>118319</v>
      </c>
      <c r="F98" s="1" t="s">
        <v>16</v>
      </c>
      <c r="G98" s="10">
        <v>13072.13</v>
      </c>
      <c r="H98" s="1" t="s">
        <v>28</v>
      </c>
      <c r="I98" t="s">
        <v>13</v>
      </c>
      <c r="J98" t="s">
        <v>14</v>
      </c>
    </row>
    <row r="99" spans="1:10" x14ac:dyDescent="0.35">
      <c r="A99">
        <v>98</v>
      </c>
      <c r="B99" s="1" t="s">
        <v>29</v>
      </c>
      <c r="C99">
        <v>2006</v>
      </c>
      <c r="D99" s="4">
        <v>3.5</v>
      </c>
      <c r="E99" s="5">
        <v>32543</v>
      </c>
      <c r="F99" s="1" t="s">
        <v>16</v>
      </c>
      <c r="G99" s="10">
        <v>15118.61</v>
      </c>
      <c r="H99" s="1" t="s">
        <v>30</v>
      </c>
      <c r="I99" t="s">
        <v>52</v>
      </c>
      <c r="J99" t="s">
        <v>22</v>
      </c>
    </row>
    <row r="100" spans="1:10" x14ac:dyDescent="0.35">
      <c r="A100">
        <v>99</v>
      </c>
      <c r="B100" s="1" t="s">
        <v>10</v>
      </c>
      <c r="C100">
        <v>2020</v>
      </c>
      <c r="D100" s="4">
        <v>5.6</v>
      </c>
      <c r="E100" s="5">
        <v>124279</v>
      </c>
      <c r="F100" s="1" t="s">
        <v>15</v>
      </c>
      <c r="G100" s="10">
        <v>17098.13</v>
      </c>
      <c r="H100" s="1" t="s">
        <v>18</v>
      </c>
      <c r="I100" t="s">
        <v>13</v>
      </c>
      <c r="J100" t="s">
        <v>14</v>
      </c>
    </row>
    <row r="101" spans="1:10" x14ac:dyDescent="0.35">
      <c r="A101">
        <v>100</v>
      </c>
      <c r="B101" s="1" t="s">
        <v>10</v>
      </c>
      <c r="C101">
        <v>2014</v>
      </c>
      <c r="D101" s="4">
        <v>1.5</v>
      </c>
      <c r="E101" s="5">
        <v>29362</v>
      </c>
      <c r="F101" s="1" t="s">
        <v>15</v>
      </c>
      <c r="G101" s="10">
        <v>90915.8</v>
      </c>
      <c r="H101" s="1" t="s">
        <v>18</v>
      </c>
      <c r="I101" t="s">
        <v>13</v>
      </c>
      <c r="J101" t="s">
        <v>14</v>
      </c>
    </row>
    <row r="102" spans="1:10" x14ac:dyDescent="0.35">
      <c r="A102">
        <v>101</v>
      </c>
      <c r="B102" s="1" t="s">
        <v>29</v>
      </c>
      <c r="C102">
        <v>2000</v>
      </c>
      <c r="D102" s="4">
        <v>4.8</v>
      </c>
      <c r="E102" s="5">
        <v>158818</v>
      </c>
      <c r="F102" s="1" t="s">
        <v>15</v>
      </c>
      <c r="G102" s="10">
        <v>54955.72</v>
      </c>
      <c r="H102" s="1" t="s">
        <v>43</v>
      </c>
      <c r="I102" t="s">
        <v>51</v>
      </c>
      <c r="J102" t="s">
        <v>14</v>
      </c>
    </row>
    <row r="103" spans="1:10" x14ac:dyDescent="0.35">
      <c r="A103">
        <v>102</v>
      </c>
      <c r="B103" s="1" t="s">
        <v>10</v>
      </c>
      <c r="C103">
        <v>2011</v>
      </c>
      <c r="D103" s="4">
        <v>3</v>
      </c>
      <c r="E103" s="5">
        <v>242721</v>
      </c>
      <c r="F103" s="1" t="s">
        <v>15</v>
      </c>
      <c r="G103" s="10">
        <v>80199.63</v>
      </c>
      <c r="H103" s="1" t="s">
        <v>19</v>
      </c>
      <c r="I103" t="s">
        <v>13</v>
      </c>
      <c r="J103" t="s">
        <v>14</v>
      </c>
    </row>
    <row r="104" spans="1:10" x14ac:dyDescent="0.35">
      <c r="A104">
        <v>103</v>
      </c>
      <c r="B104" s="1" t="s">
        <v>27</v>
      </c>
      <c r="C104">
        <v>2006</v>
      </c>
      <c r="D104" s="4">
        <v>4.3</v>
      </c>
      <c r="E104" s="5">
        <v>165229</v>
      </c>
      <c r="F104" s="1" t="s">
        <v>15</v>
      </c>
      <c r="G104" s="10">
        <v>15952.67</v>
      </c>
      <c r="H104" s="1" t="s">
        <v>40</v>
      </c>
      <c r="I104" t="s">
        <v>52</v>
      </c>
      <c r="J104" t="s">
        <v>14</v>
      </c>
    </row>
    <row r="105" spans="1:10" x14ac:dyDescent="0.35">
      <c r="A105">
        <v>104</v>
      </c>
      <c r="B105" s="1" t="s">
        <v>35</v>
      </c>
      <c r="C105">
        <v>2014</v>
      </c>
      <c r="D105" s="4">
        <v>2.2999999999999998</v>
      </c>
      <c r="E105" s="5">
        <v>142394</v>
      </c>
      <c r="F105" s="1" t="s">
        <v>16</v>
      </c>
      <c r="G105" s="10">
        <v>93126.06</v>
      </c>
      <c r="H105" s="1" t="s">
        <v>47</v>
      </c>
      <c r="I105" t="s">
        <v>53</v>
      </c>
      <c r="J105" t="s">
        <v>22</v>
      </c>
    </row>
    <row r="106" spans="1:10" x14ac:dyDescent="0.35">
      <c r="A106">
        <v>105</v>
      </c>
      <c r="B106" s="1" t="s">
        <v>29</v>
      </c>
      <c r="C106">
        <v>2020</v>
      </c>
      <c r="D106" s="4">
        <v>1.8</v>
      </c>
      <c r="E106" s="5">
        <v>69812</v>
      </c>
      <c r="F106" s="1" t="s">
        <v>16</v>
      </c>
      <c r="G106" s="10">
        <v>83008.5</v>
      </c>
      <c r="H106" s="1" t="s">
        <v>38</v>
      </c>
      <c r="I106" t="s">
        <v>51</v>
      </c>
      <c r="J106" t="s">
        <v>22</v>
      </c>
    </row>
    <row r="107" spans="1:10" x14ac:dyDescent="0.35">
      <c r="A107">
        <v>106</v>
      </c>
      <c r="B107" s="1" t="s">
        <v>25</v>
      </c>
      <c r="C107">
        <v>2018</v>
      </c>
      <c r="D107" s="4">
        <v>1.8</v>
      </c>
      <c r="E107" s="5">
        <v>296161</v>
      </c>
      <c r="F107" s="1" t="s">
        <v>16</v>
      </c>
      <c r="G107" s="10">
        <v>26352.59</v>
      </c>
      <c r="H107" s="1" t="s">
        <v>41</v>
      </c>
      <c r="I107" t="s">
        <v>52</v>
      </c>
      <c r="J107" t="s">
        <v>22</v>
      </c>
    </row>
    <row r="108" spans="1:10" x14ac:dyDescent="0.35">
      <c r="A108">
        <v>107</v>
      </c>
      <c r="B108" s="1" t="s">
        <v>25</v>
      </c>
      <c r="C108">
        <v>2000</v>
      </c>
      <c r="D108" s="4">
        <v>1.4</v>
      </c>
      <c r="E108" s="5">
        <v>228208</v>
      </c>
      <c r="F108" s="1" t="s">
        <v>16</v>
      </c>
      <c r="G108" s="10">
        <v>88047.31</v>
      </c>
      <c r="H108" s="1" t="s">
        <v>26</v>
      </c>
      <c r="I108" t="s">
        <v>13</v>
      </c>
      <c r="J108" t="s">
        <v>22</v>
      </c>
    </row>
    <row r="109" spans="1:10" x14ac:dyDescent="0.35">
      <c r="A109">
        <v>108</v>
      </c>
      <c r="B109" s="1" t="s">
        <v>20</v>
      </c>
      <c r="C109">
        <v>2016</v>
      </c>
      <c r="D109" s="4">
        <v>1.9</v>
      </c>
      <c r="E109" s="5">
        <v>279773</v>
      </c>
      <c r="F109" s="1" t="s">
        <v>11</v>
      </c>
      <c r="G109" s="10">
        <v>30027.06</v>
      </c>
      <c r="H109" s="1" t="s">
        <v>39</v>
      </c>
      <c r="I109" t="s">
        <v>53</v>
      </c>
      <c r="J109" t="s">
        <v>22</v>
      </c>
    </row>
    <row r="110" spans="1:10" x14ac:dyDescent="0.35">
      <c r="A110">
        <v>109</v>
      </c>
      <c r="B110" s="1" t="s">
        <v>10</v>
      </c>
      <c r="C110">
        <v>2016</v>
      </c>
      <c r="D110" s="4">
        <v>4.3</v>
      </c>
      <c r="E110" s="5">
        <v>128614</v>
      </c>
      <c r="F110" s="1" t="s">
        <v>16</v>
      </c>
      <c r="G110" s="10">
        <v>24507.29</v>
      </c>
      <c r="H110" s="1" t="s">
        <v>18</v>
      </c>
      <c r="I110" t="s">
        <v>13</v>
      </c>
      <c r="J110" t="s">
        <v>14</v>
      </c>
    </row>
    <row r="111" spans="1:10" x14ac:dyDescent="0.35">
      <c r="A111">
        <v>110</v>
      </c>
      <c r="B111" s="1" t="s">
        <v>25</v>
      </c>
      <c r="C111">
        <v>2002</v>
      </c>
      <c r="D111" s="4">
        <v>5.4</v>
      </c>
      <c r="E111" s="5">
        <v>96950</v>
      </c>
      <c r="F111" s="1" t="s">
        <v>11</v>
      </c>
      <c r="G111" s="10">
        <v>30103.17</v>
      </c>
      <c r="H111" s="1" t="s">
        <v>44</v>
      </c>
      <c r="I111" t="s">
        <v>51</v>
      </c>
      <c r="J111" t="s">
        <v>14</v>
      </c>
    </row>
    <row r="112" spans="1:10" x14ac:dyDescent="0.35">
      <c r="A112">
        <v>111</v>
      </c>
      <c r="B112" s="1" t="s">
        <v>20</v>
      </c>
      <c r="C112">
        <v>2011</v>
      </c>
      <c r="D112" s="4">
        <v>5.0999999999999996</v>
      </c>
      <c r="E112" s="5">
        <v>174942</v>
      </c>
      <c r="F112" s="1" t="s">
        <v>16</v>
      </c>
      <c r="G112" s="10">
        <v>91445.73</v>
      </c>
      <c r="H112" s="1" t="s">
        <v>39</v>
      </c>
      <c r="I112" t="s">
        <v>52</v>
      </c>
      <c r="J112" t="s">
        <v>14</v>
      </c>
    </row>
    <row r="113" spans="1:10" x14ac:dyDescent="0.35">
      <c r="A113">
        <v>112</v>
      </c>
      <c r="B113" s="1" t="s">
        <v>35</v>
      </c>
      <c r="C113">
        <v>2005</v>
      </c>
      <c r="D113" s="4">
        <v>4.4000000000000004</v>
      </c>
      <c r="E113" s="5">
        <v>64829</v>
      </c>
      <c r="F113" s="1" t="s">
        <v>15</v>
      </c>
      <c r="G113" s="10">
        <v>91981.24</v>
      </c>
      <c r="H113" s="1" t="s">
        <v>47</v>
      </c>
      <c r="I113" t="s">
        <v>52</v>
      </c>
      <c r="J113" t="s">
        <v>14</v>
      </c>
    </row>
    <row r="114" spans="1:10" x14ac:dyDescent="0.35">
      <c r="A114">
        <v>113</v>
      </c>
      <c r="B114" s="1" t="s">
        <v>27</v>
      </c>
      <c r="C114">
        <v>2010</v>
      </c>
      <c r="D114" s="4">
        <v>1.6</v>
      </c>
      <c r="E114" s="5">
        <v>245602</v>
      </c>
      <c r="F114" s="1" t="s">
        <v>15</v>
      </c>
      <c r="G114" s="10">
        <v>36254.6</v>
      </c>
      <c r="H114" s="1" t="s">
        <v>40</v>
      </c>
      <c r="I114" t="s">
        <v>52</v>
      </c>
      <c r="J114" t="s">
        <v>14</v>
      </c>
    </row>
    <row r="115" spans="1:10" x14ac:dyDescent="0.35">
      <c r="A115">
        <v>114</v>
      </c>
      <c r="B115" s="1" t="s">
        <v>27</v>
      </c>
      <c r="C115">
        <v>2002</v>
      </c>
      <c r="D115" s="4">
        <v>2.4</v>
      </c>
      <c r="E115" s="5">
        <v>10588</v>
      </c>
      <c r="F115" s="1" t="s">
        <v>15</v>
      </c>
      <c r="G115" s="10">
        <v>72016.25</v>
      </c>
      <c r="H115" s="1" t="s">
        <v>37</v>
      </c>
      <c r="I115" t="s">
        <v>52</v>
      </c>
      <c r="J115" t="s">
        <v>22</v>
      </c>
    </row>
    <row r="116" spans="1:10" x14ac:dyDescent="0.35">
      <c r="A116">
        <v>115</v>
      </c>
      <c r="B116" s="1" t="s">
        <v>27</v>
      </c>
      <c r="C116">
        <v>2007</v>
      </c>
      <c r="D116" s="4">
        <v>2.5</v>
      </c>
      <c r="E116" s="5">
        <v>168217</v>
      </c>
      <c r="F116" s="1" t="s">
        <v>11</v>
      </c>
      <c r="G116" s="10">
        <v>69195.8</v>
      </c>
      <c r="H116" s="1" t="s">
        <v>28</v>
      </c>
      <c r="I116" t="s">
        <v>53</v>
      </c>
      <c r="J116" t="s">
        <v>22</v>
      </c>
    </row>
    <row r="117" spans="1:10" x14ac:dyDescent="0.35">
      <c r="A117">
        <v>116</v>
      </c>
      <c r="B117" s="1" t="s">
        <v>25</v>
      </c>
      <c r="C117">
        <v>2013</v>
      </c>
      <c r="D117" s="4">
        <v>2.2000000000000002</v>
      </c>
      <c r="E117" s="5">
        <v>272743</v>
      </c>
      <c r="F117" s="1" t="s">
        <v>16</v>
      </c>
      <c r="G117" s="10">
        <v>81623.45</v>
      </c>
      <c r="H117" s="1" t="s">
        <v>49</v>
      </c>
      <c r="I117" t="s">
        <v>53</v>
      </c>
      <c r="J117" t="s">
        <v>14</v>
      </c>
    </row>
    <row r="118" spans="1:10" x14ac:dyDescent="0.35">
      <c r="A118">
        <v>117</v>
      </c>
      <c r="B118" s="1" t="s">
        <v>35</v>
      </c>
      <c r="C118">
        <v>2013</v>
      </c>
      <c r="D118" s="4">
        <v>3.6</v>
      </c>
      <c r="E118" s="5">
        <v>208502</v>
      </c>
      <c r="F118" s="1" t="s">
        <v>16</v>
      </c>
      <c r="G118" s="10">
        <v>33168.400000000001</v>
      </c>
      <c r="H118" s="1" t="s">
        <v>47</v>
      </c>
      <c r="I118" t="s">
        <v>13</v>
      </c>
      <c r="J118" t="s">
        <v>14</v>
      </c>
    </row>
    <row r="119" spans="1:10" x14ac:dyDescent="0.35">
      <c r="A119">
        <v>118</v>
      </c>
      <c r="B119" s="1" t="s">
        <v>25</v>
      </c>
      <c r="C119">
        <v>2009</v>
      </c>
      <c r="D119" s="4">
        <v>3.7</v>
      </c>
      <c r="E119" s="5">
        <v>134011</v>
      </c>
      <c r="F119" s="1" t="s">
        <v>11</v>
      </c>
      <c r="G119" s="10">
        <v>53463.16</v>
      </c>
      <c r="H119" s="1" t="s">
        <v>44</v>
      </c>
      <c r="I119" t="s">
        <v>53</v>
      </c>
      <c r="J119" t="s">
        <v>14</v>
      </c>
    </row>
    <row r="120" spans="1:10" x14ac:dyDescent="0.35">
      <c r="A120">
        <v>119</v>
      </c>
      <c r="B120" s="1" t="s">
        <v>10</v>
      </c>
      <c r="C120">
        <v>2001</v>
      </c>
      <c r="D120" s="4">
        <v>2.8</v>
      </c>
      <c r="E120" s="5">
        <v>252856</v>
      </c>
      <c r="F120" s="1" t="s">
        <v>11</v>
      </c>
      <c r="G120" s="10">
        <v>68429.03</v>
      </c>
      <c r="H120" s="1" t="s">
        <v>18</v>
      </c>
      <c r="I120" t="s">
        <v>13</v>
      </c>
      <c r="J120" t="s">
        <v>14</v>
      </c>
    </row>
    <row r="121" spans="1:10" x14ac:dyDescent="0.35">
      <c r="A121">
        <v>120</v>
      </c>
      <c r="B121" s="1" t="s">
        <v>25</v>
      </c>
      <c r="C121">
        <v>2013</v>
      </c>
      <c r="D121" s="4">
        <v>2.8</v>
      </c>
      <c r="E121" s="5">
        <v>284293</v>
      </c>
      <c r="F121" s="1" t="s">
        <v>11</v>
      </c>
      <c r="G121" s="10">
        <v>7494.4</v>
      </c>
      <c r="H121" s="1" t="s">
        <v>44</v>
      </c>
      <c r="I121" t="s">
        <v>51</v>
      </c>
      <c r="J121" t="s">
        <v>14</v>
      </c>
    </row>
    <row r="122" spans="1:10" x14ac:dyDescent="0.35">
      <c r="A122">
        <v>121</v>
      </c>
      <c r="B122" s="1" t="s">
        <v>35</v>
      </c>
      <c r="C122">
        <v>2008</v>
      </c>
      <c r="D122" s="4">
        <v>5.0999999999999996</v>
      </c>
      <c r="E122" s="5">
        <v>197639</v>
      </c>
      <c r="F122" s="1" t="s">
        <v>11</v>
      </c>
      <c r="G122" s="10">
        <v>40790.18</v>
      </c>
      <c r="H122" s="1" t="s">
        <v>47</v>
      </c>
      <c r="I122" t="s">
        <v>52</v>
      </c>
      <c r="J122" t="s">
        <v>14</v>
      </c>
    </row>
    <row r="123" spans="1:10" x14ac:dyDescent="0.35">
      <c r="A123">
        <v>122</v>
      </c>
      <c r="B123" s="1" t="s">
        <v>35</v>
      </c>
      <c r="C123">
        <v>2002</v>
      </c>
      <c r="D123" s="4">
        <v>4.9000000000000004</v>
      </c>
      <c r="E123" s="5">
        <v>141280</v>
      </c>
      <c r="F123" s="1" t="s">
        <v>11</v>
      </c>
      <c r="G123" s="10">
        <v>71109.39</v>
      </c>
      <c r="H123" s="1" t="s">
        <v>36</v>
      </c>
      <c r="I123" t="s">
        <v>51</v>
      </c>
      <c r="J123" t="s">
        <v>14</v>
      </c>
    </row>
    <row r="124" spans="1:10" x14ac:dyDescent="0.35">
      <c r="A124">
        <v>123</v>
      </c>
      <c r="B124" s="1" t="s">
        <v>10</v>
      </c>
      <c r="C124">
        <v>2020</v>
      </c>
      <c r="D124" s="4">
        <v>2.5</v>
      </c>
      <c r="E124" s="5">
        <v>197170</v>
      </c>
      <c r="F124" s="1" t="s">
        <v>15</v>
      </c>
      <c r="G124" s="10">
        <v>28996.53</v>
      </c>
      <c r="H124" s="1" t="s">
        <v>19</v>
      </c>
      <c r="I124" t="s">
        <v>13</v>
      </c>
      <c r="J124" t="s">
        <v>14</v>
      </c>
    </row>
    <row r="125" spans="1:10" x14ac:dyDescent="0.35">
      <c r="A125">
        <v>124</v>
      </c>
      <c r="B125" s="1" t="s">
        <v>35</v>
      </c>
      <c r="C125">
        <v>2007</v>
      </c>
      <c r="D125" s="4">
        <v>5.6</v>
      </c>
      <c r="E125" s="5">
        <v>180564</v>
      </c>
      <c r="F125" s="1" t="s">
        <v>16</v>
      </c>
      <c r="G125" s="10">
        <v>95981.89</v>
      </c>
      <c r="H125" s="1" t="s">
        <v>45</v>
      </c>
      <c r="I125" t="s">
        <v>53</v>
      </c>
      <c r="J125" t="s">
        <v>22</v>
      </c>
    </row>
    <row r="126" spans="1:10" x14ac:dyDescent="0.35">
      <c r="A126">
        <v>125</v>
      </c>
      <c r="B126" s="1" t="s">
        <v>35</v>
      </c>
      <c r="C126">
        <v>2015</v>
      </c>
      <c r="D126" s="4">
        <v>5.8</v>
      </c>
      <c r="E126" s="5">
        <v>20951</v>
      </c>
      <c r="F126" s="1" t="s">
        <v>11</v>
      </c>
      <c r="G126" s="10">
        <v>7865.33</v>
      </c>
      <c r="H126" s="1" t="s">
        <v>45</v>
      </c>
      <c r="I126" t="s">
        <v>53</v>
      </c>
      <c r="J126" t="s">
        <v>22</v>
      </c>
    </row>
    <row r="127" spans="1:10" x14ac:dyDescent="0.35">
      <c r="A127">
        <v>126</v>
      </c>
      <c r="B127" s="1" t="s">
        <v>27</v>
      </c>
      <c r="C127">
        <v>2001</v>
      </c>
      <c r="D127" s="4">
        <v>2.6</v>
      </c>
      <c r="E127" s="5">
        <v>179992</v>
      </c>
      <c r="F127" s="1" t="s">
        <v>15</v>
      </c>
      <c r="G127" s="10">
        <v>96018.28</v>
      </c>
      <c r="H127" s="1" t="s">
        <v>48</v>
      </c>
      <c r="I127" t="s">
        <v>53</v>
      </c>
      <c r="J127" t="s">
        <v>22</v>
      </c>
    </row>
    <row r="128" spans="1:10" x14ac:dyDescent="0.35">
      <c r="A128">
        <v>127</v>
      </c>
      <c r="B128" s="1" t="s">
        <v>10</v>
      </c>
      <c r="C128">
        <v>2005</v>
      </c>
      <c r="D128" s="4">
        <v>2.8</v>
      </c>
      <c r="E128" s="5">
        <v>46766</v>
      </c>
      <c r="F128" s="1" t="s">
        <v>11</v>
      </c>
      <c r="G128" s="10">
        <v>25592.57</v>
      </c>
      <c r="H128" s="1" t="s">
        <v>12</v>
      </c>
      <c r="I128" t="s">
        <v>13</v>
      </c>
      <c r="J128" t="s">
        <v>14</v>
      </c>
    </row>
    <row r="129" spans="1:10" x14ac:dyDescent="0.35">
      <c r="A129">
        <v>128</v>
      </c>
      <c r="B129" s="1" t="s">
        <v>23</v>
      </c>
      <c r="C129">
        <v>2020</v>
      </c>
      <c r="D129" s="4">
        <v>3.5</v>
      </c>
      <c r="E129" s="5">
        <v>159423</v>
      </c>
      <c r="F129" s="1" t="s">
        <v>15</v>
      </c>
      <c r="G129" s="10">
        <v>9638.09</v>
      </c>
      <c r="H129" s="1" t="s">
        <v>32</v>
      </c>
      <c r="I129" t="s">
        <v>53</v>
      </c>
      <c r="J129" t="s">
        <v>14</v>
      </c>
    </row>
    <row r="130" spans="1:10" x14ac:dyDescent="0.35">
      <c r="A130">
        <v>129</v>
      </c>
      <c r="B130" s="1" t="s">
        <v>23</v>
      </c>
      <c r="C130">
        <v>2011</v>
      </c>
      <c r="D130" s="4">
        <v>5.7</v>
      </c>
      <c r="E130" s="5">
        <v>87122</v>
      </c>
      <c r="F130" s="1" t="s">
        <v>11</v>
      </c>
      <c r="G130" s="10">
        <v>32785.03</v>
      </c>
      <c r="H130" s="1" t="s">
        <v>24</v>
      </c>
      <c r="I130" t="s">
        <v>52</v>
      </c>
      <c r="J130" t="s">
        <v>22</v>
      </c>
    </row>
    <row r="131" spans="1:10" x14ac:dyDescent="0.35">
      <c r="A131">
        <v>130</v>
      </c>
      <c r="B131" s="1" t="s">
        <v>35</v>
      </c>
      <c r="C131">
        <v>2004</v>
      </c>
      <c r="D131" s="4">
        <v>5.4</v>
      </c>
      <c r="E131" s="5">
        <v>271452</v>
      </c>
      <c r="F131" s="1" t="s">
        <v>16</v>
      </c>
      <c r="G131" s="10">
        <v>79696.820000000007</v>
      </c>
      <c r="H131" s="1" t="s">
        <v>45</v>
      </c>
      <c r="I131" t="s">
        <v>52</v>
      </c>
      <c r="J131" t="s">
        <v>14</v>
      </c>
    </row>
    <row r="132" spans="1:10" x14ac:dyDescent="0.35">
      <c r="A132">
        <v>131</v>
      </c>
      <c r="B132" s="1" t="s">
        <v>23</v>
      </c>
      <c r="C132">
        <v>2001</v>
      </c>
      <c r="D132" s="4">
        <v>1.5</v>
      </c>
      <c r="E132" s="5">
        <v>83211</v>
      </c>
      <c r="F132" s="1" t="s">
        <v>11</v>
      </c>
      <c r="G132" s="10">
        <v>76481.990000000005</v>
      </c>
      <c r="H132" s="1" t="s">
        <v>24</v>
      </c>
      <c r="I132" t="s">
        <v>52</v>
      </c>
      <c r="J132" t="s">
        <v>22</v>
      </c>
    </row>
    <row r="133" spans="1:10" x14ac:dyDescent="0.35">
      <c r="A133">
        <v>132</v>
      </c>
      <c r="B133" s="1" t="s">
        <v>23</v>
      </c>
      <c r="C133">
        <v>2015</v>
      </c>
      <c r="D133" s="4">
        <v>3</v>
      </c>
      <c r="E133" s="5">
        <v>126534</v>
      </c>
      <c r="F133" s="1" t="s">
        <v>11</v>
      </c>
      <c r="G133" s="10">
        <v>24839.84</v>
      </c>
      <c r="H133" s="1" t="s">
        <v>34</v>
      </c>
      <c r="I133" t="s">
        <v>51</v>
      </c>
      <c r="J133" t="s">
        <v>14</v>
      </c>
    </row>
    <row r="134" spans="1:10" x14ac:dyDescent="0.35">
      <c r="A134">
        <v>133</v>
      </c>
      <c r="B134" s="1" t="s">
        <v>35</v>
      </c>
      <c r="C134">
        <v>2004</v>
      </c>
      <c r="D134" s="4">
        <v>3.8</v>
      </c>
      <c r="E134" s="5">
        <v>8720</v>
      </c>
      <c r="F134" s="1" t="s">
        <v>16</v>
      </c>
      <c r="G134" s="10">
        <v>23695.06</v>
      </c>
      <c r="H134" s="1" t="s">
        <v>50</v>
      </c>
      <c r="I134" t="s">
        <v>53</v>
      </c>
      <c r="J134" t="s">
        <v>14</v>
      </c>
    </row>
    <row r="135" spans="1:10" x14ac:dyDescent="0.35">
      <c r="A135">
        <v>134</v>
      </c>
      <c r="B135" s="1" t="s">
        <v>23</v>
      </c>
      <c r="C135">
        <v>2014</v>
      </c>
      <c r="D135" s="4">
        <v>3.5</v>
      </c>
      <c r="E135" s="5">
        <v>79993</v>
      </c>
      <c r="F135" s="1" t="s">
        <v>16</v>
      </c>
      <c r="G135" s="10">
        <v>66045.09</v>
      </c>
      <c r="H135" s="1" t="s">
        <v>34</v>
      </c>
      <c r="I135" t="s">
        <v>51</v>
      </c>
      <c r="J135" t="s">
        <v>22</v>
      </c>
    </row>
    <row r="136" spans="1:10" x14ac:dyDescent="0.35">
      <c r="A136">
        <v>135</v>
      </c>
      <c r="B136" s="1" t="s">
        <v>25</v>
      </c>
      <c r="C136">
        <v>2011</v>
      </c>
      <c r="D136" s="4">
        <v>2</v>
      </c>
      <c r="E136" s="5">
        <v>219973</v>
      </c>
      <c r="F136" s="1" t="s">
        <v>11</v>
      </c>
      <c r="G136" s="10">
        <v>48517.86</v>
      </c>
      <c r="H136" s="1" t="s">
        <v>44</v>
      </c>
      <c r="I136" t="s">
        <v>53</v>
      </c>
      <c r="J136" t="s">
        <v>22</v>
      </c>
    </row>
    <row r="137" spans="1:10" x14ac:dyDescent="0.35">
      <c r="A137">
        <v>136</v>
      </c>
      <c r="B137" s="1" t="s">
        <v>20</v>
      </c>
      <c r="C137">
        <v>2003</v>
      </c>
      <c r="D137" s="4">
        <v>5.3</v>
      </c>
      <c r="E137" s="5">
        <v>25905</v>
      </c>
      <c r="F137" s="1" t="s">
        <v>16</v>
      </c>
      <c r="G137" s="10">
        <v>80267.55</v>
      </c>
      <c r="H137" s="1" t="s">
        <v>39</v>
      </c>
      <c r="I137" t="s">
        <v>13</v>
      </c>
      <c r="J137" t="s">
        <v>14</v>
      </c>
    </row>
    <row r="138" spans="1:10" x14ac:dyDescent="0.35">
      <c r="A138">
        <v>137</v>
      </c>
      <c r="B138" s="1" t="s">
        <v>10</v>
      </c>
      <c r="C138">
        <v>2014</v>
      </c>
      <c r="D138" s="4">
        <v>4.4000000000000004</v>
      </c>
      <c r="E138" s="5">
        <v>204580</v>
      </c>
      <c r="F138" s="1" t="s">
        <v>16</v>
      </c>
      <c r="G138" s="10">
        <v>7292.61</v>
      </c>
      <c r="H138" s="1" t="s">
        <v>18</v>
      </c>
      <c r="I138" t="s">
        <v>13</v>
      </c>
      <c r="J138" t="s">
        <v>14</v>
      </c>
    </row>
    <row r="139" spans="1:10" x14ac:dyDescent="0.35">
      <c r="A139">
        <v>138</v>
      </c>
      <c r="B139" s="1" t="s">
        <v>20</v>
      </c>
      <c r="C139">
        <v>2010</v>
      </c>
      <c r="D139" s="4">
        <v>5.2</v>
      </c>
      <c r="E139" s="5">
        <v>50385</v>
      </c>
      <c r="F139" s="1" t="s">
        <v>15</v>
      </c>
      <c r="G139" s="10">
        <v>62989.13</v>
      </c>
      <c r="H139" s="1" t="s">
        <v>39</v>
      </c>
      <c r="I139" t="s">
        <v>51</v>
      </c>
      <c r="J139" t="s">
        <v>14</v>
      </c>
    </row>
    <row r="140" spans="1:10" x14ac:dyDescent="0.35">
      <c r="A140">
        <v>139</v>
      </c>
      <c r="B140" s="1" t="s">
        <v>35</v>
      </c>
      <c r="C140">
        <v>2015</v>
      </c>
      <c r="D140" s="4">
        <v>5.3</v>
      </c>
      <c r="E140" s="5">
        <v>30653</v>
      </c>
      <c r="F140" s="1" t="s">
        <v>16</v>
      </c>
      <c r="G140" s="10">
        <v>74413.84</v>
      </c>
      <c r="H140" s="1" t="s">
        <v>45</v>
      </c>
      <c r="I140" t="s">
        <v>52</v>
      </c>
      <c r="J140" t="s">
        <v>22</v>
      </c>
    </row>
    <row r="141" spans="1:10" x14ac:dyDescent="0.35">
      <c r="A141">
        <v>140</v>
      </c>
      <c r="B141" s="1" t="s">
        <v>27</v>
      </c>
      <c r="C141">
        <v>2022</v>
      </c>
      <c r="D141" s="4">
        <v>4.7</v>
      </c>
      <c r="E141" s="5">
        <v>91865</v>
      </c>
      <c r="F141" s="1" t="s">
        <v>16</v>
      </c>
      <c r="G141" s="10">
        <v>99371.68</v>
      </c>
      <c r="H141" s="1" t="s">
        <v>37</v>
      </c>
      <c r="I141" t="s">
        <v>51</v>
      </c>
      <c r="J141" t="s">
        <v>22</v>
      </c>
    </row>
    <row r="142" spans="1:10" x14ac:dyDescent="0.35">
      <c r="A142">
        <v>141</v>
      </c>
      <c r="B142" s="1" t="s">
        <v>10</v>
      </c>
      <c r="C142">
        <v>2005</v>
      </c>
      <c r="D142" s="4">
        <v>3.2</v>
      </c>
      <c r="E142" s="5">
        <v>125813</v>
      </c>
      <c r="F142" s="1" t="s">
        <v>11</v>
      </c>
      <c r="G142" s="10">
        <v>69484.259999999995</v>
      </c>
      <c r="H142" s="1" t="s">
        <v>18</v>
      </c>
      <c r="I142" t="s">
        <v>13</v>
      </c>
      <c r="J142" t="s">
        <v>14</v>
      </c>
    </row>
    <row r="143" spans="1:10" x14ac:dyDescent="0.35">
      <c r="A143">
        <v>142</v>
      </c>
      <c r="B143" s="1" t="s">
        <v>35</v>
      </c>
      <c r="C143">
        <v>2013</v>
      </c>
      <c r="D143" s="4">
        <v>4.0999999999999996</v>
      </c>
      <c r="E143" s="5">
        <v>145871</v>
      </c>
      <c r="F143" s="1" t="s">
        <v>11</v>
      </c>
      <c r="G143" s="10">
        <v>27025.29</v>
      </c>
      <c r="H143" s="1" t="s">
        <v>36</v>
      </c>
      <c r="I143" t="s">
        <v>53</v>
      </c>
      <c r="J143" t="s">
        <v>22</v>
      </c>
    </row>
    <row r="144" spans="1:10" x14ac:dyDescent="0.35">
      <c r="A144">
        <v>143</v>
      </c>
      <c r="B144" s="1" t="s">
        <v>27</v>
      </c>
      <c r="C144">
        <v>2017</v>
      </c>
      <c r="D144" s="4">
        <v>1.8</v>
      </c>
      <c r="E144" s="5">
        <v>191175</v>
      </c>
      <c r="F144" s="1" t="s">
        <v>15</v>
      </c>
      <c r="G144" s="10">
        <v>15277.69</v>
      </c>
      <c r="H144" s="1" t="s">
        <v>28</v>
      </c>
      <c r="I144" t="s">
        <v>52</v>
      </c>
      <c r="J144" t="s">
        <v>14</v>
      </c>
    </row>
    <row r="145" spans="1:10" x14ac:dyDescent="0.35">
      <c r="A145">
        <v>144</v>
      </c>
      <c r="B145" s="1" t="s">
        <v>20</v>
      </c>
      <c r="C145">
        <v>2011</v>
      </c>
      <c r="D145" s="4">
        <v>4.4000000000000004</v>
      </c>
      <c r="E145" s="5">
        <v>248535</v>
      </c>
      <c r="F145" s="1" t="s">
        <v>11</v>
      </c>
      <c r="G145" s="10">
        <v>65887.09</v>
      </c>
      <c r="H145" s="1" t="s">
        <v>46</v>
      </c>
      <c r="I145" t="s">
        <v>52</v>
      </c>
      <c r="J145" t="s">
        <v>22</v>
      </c>
    </row>
    <row r="146" spans="1:10" x14ac:dyDescent="0.35">
      <c r="A146">
        <v>145</v>
      </c>
      <c r="B146" s="1" t="s">
        <v>35</v>
      </c>
      <c r="C146">
        <v>2010</v>
      </c>
      <c r="D146" s="4">
        <v>1.9</v>
      </c>
      <c r="E146" s="5">
        <v>15052</v>
      </c>
      <c r="F146" s="1" t="s">
        <v>16</v>
      </c>
      <c r="G146" s="10">
        <v>54702.39</v>
      </c>
      <c r="H146" s="1" t="s">
        <v>47</v>
      </c>
      <c r="I146" t="s">
        <v>53</v>
      </c>
      <c r="J146" t="s">
        <v>22</v>
      </c>
    </row>
    <row r="147" spans="1:10" x14ac:dyDescent="0.35">
      <c r="A147">
        <v>146</v>
      </c>
      <c r="B147" s="1" t="s">
        <v>10</v>
      </c>
      <c r="C147">
        <v>2012</v>
      </c>
      <c r="D147" s="4">
        <v>4.5</v>
      </c>
      <c r="E147" s="5">
        <v>137116</v>
      </c>
      <c r="F147" s="1" t="s">
        <v>16</v>
      </c>
      <c r="G147" s="10">
        <v>90418.8</v>
      </c>
      <c r="H147" s="1" t="s">
        <v>17</v>
      </c>
      <c r="I147" t="s">
        <v>13</v>
      </c>
      <c r="J147" t="s">
        <v>14</v>
      </c>
    </row>
    <row r="148" spans="1:10" x14ac:dyDescent="0.35">
      <c r="A148">
        <v>147</v>
      </c>
      <c r="B148" s="1" t="s">
        <v>10</v>
      </c>
      <c r="C148">
        <v>2020</v>
      </c>
      <c r="D148" s="4">
        <v>2.1</v>
      </c>
      <c r="E148" s="5">
        <v>150943</v>
      </c>
      <c r="F148" s="1" t="s">
        <v>16</v>
      </c>
      <c r="G148" s="10">
        <v>74027.759999999995</v>
      </c>
      <c r="H148" s="1" t="s">
        <v>18</v>
      </c>
      <c r="I148" t="s">
        <v>13</v>
      </c>
      <c r="J148" t="s">
        <v>14</v>
      </c>
    </row>
    <row r="149" spans="1:10" x14ac:dyDescent="0.35">
      <c r="A149">
        <v>148</v>
      </c>
      <c r="B149" s="1" t="s">
        <v>29</v>
      </c>
      <c r="C149">
        <v>2022</v>
      </c>
      <c r="D149" s="4">
        <v>1.6</v>
      </c>
      <c r="E149" s="5">
        <v>220375</v>
      </c>
      <c r="F149" s="1" t="s">
        <v>11</v>
      </c>
      <c r="G149" s="10">
        <v>53425.53</v>
      </c>
      <c r="H149" s="1" t="s">
        <v>30</v>
      </c>
      <c r="I149" t="s">
        <v>51</v>
      </c>
      <c r="J149" t="s">
        <v>22</v>
      </c>
    </row>
    <row r="150" spans="1:10" x14ac:dyDescent="0.35">
      <c r="A150">
        <v>149</v>
      </c>
      <c r="B150" s="1" t="s">
        <v>25</v>
      </c>
      <c r="C150">
        <v>2010</v>
      </c>
      <c r="D150" s="4">
        <v>1.8</v>
      </c>
      <c r="E150" s="5">
        <v>21381</v>
      </c>
      <c r="F150" s="1" t="s">
        <v>16</v>
      </c>
      <c r="G150" s="10">
        <v>43341</v>
      </c>
      <c r="H150" s="1" t="s">
        <v>26</v>
      </c>
      <c r="I150" t="s">
        <v>51</v>
      </c>
      <c r="J150" t="s">
        <v>14</v>
      </c>
    </row>
    <row r="151" spans="1:10" x14ac:dyDescent="0.35">
      <c r="A151">
        <v>150</v>
      </c>
      <c r="B151" s="1" t="s">
        <v>23</v>
      </c>
      <c r="C151">
        <v>2022</v>
      </c>
      <c r="D151" s="4">
        <v>1</v>
      </c>
      <c r="E151" s="5">
        <v>148346</v>
      </c>
      <c r="F151" s="1" t="s">
        <v>16</v>
      </c>
      <c r="G151" s="10">
        <v>43415.6</v>
      </c>
      <c r="H151" s="1" t="s">
        <v>34</v>
      </c>
      <c r="I151" t="s">
        <v>51</v>
      </c>
      <c r="J151" t="s">
        <v>14</v>
      </c>
    </row>
    <row r="152" spans="1:10" x14ac:dyDescent="0.35">
      <c r="A152">
        <v>151</v>
      </c>
      <c r="B152" s="1" t="s">
        <v>27</v>
      </c>
      <c r="C152">
        <v>2015</v>
      </c>
      <c r="D152" s="4">
        <v>4.5999999999999996</v>
      </c>
      <c r="E152" s="5">
        <v>243234</v>
      </c>
      <c r="F152" s="1" t="s">
        <v>15</v>
      </c>
      <c r="G152" s="10">
        <v>26498.91</v>
      </c>
      <c r="H152" s="1" t="s">
        <v>37</v>
      </c>
      <c r="I152" t="s">
        <v>51</v>
      </c>
      <c r="J152" t="s">
        <v>22</v>
      </c>
    </row>
    <row r="153" spans="1:10" x14ac:dyDescent="0.35">
      <c r="A153">
        <v>152</v>
      </c>
      <c r="B153" s="1" t="s">
        <v>29</v>
      </c>
      <c r="C153">
        <v>2014</v>
      </c>
      <c r="D153" s="4">
        <v>4.7</v>
      </c>
      <c r="E153" s="5">
        <v>256017</v>
      </c>
      <c r="F153" s="1" t="s">
        <v>15</v>
      </c>
      <c r="G153" s="10">
        <v>6645.97</v>
      </c>
      <c r="H153" s="1" t="s">
        <v>43</v>
      </c>
      <c r="I153" t="s">
        <v>51</v>
      </c>
      <c r="J153" t="s">
        <v>14</v>
      </c>
    </row>
    <row r="154" spans="1:10" x14ac:dyDescent="0.35">
      <c r="A154">
        <v>153</v>
      </c>
      <c r="B154" s="1" t="s">
        <v>23</v>
      </c>
      <c r="C154">
        <v>2020</v>
      </c>
      <c r="D154" s="4">
        <v>3.6</v>
      </c>
      <c r="E154" s="5">
        <v>235020</v>
      </c>
      <c r="F154" s="1" t="s">
        <v>15</v>
      </c>
      <c r="G154" s="10">
        <v>59616.51</v>
      </c>
      <c r="H154" s="1" t="s">
        <v>32</v>
      </c>
      <c r="I154" t="s">
        <v>13</v>
      </c>
      <c r="J154" t="s">
        <v>14</v>
      </c>
    </row>
    <row r="155" spans="1:10" x14ac:dyDescent="0.35">
      <c r="A155">
        <v>154</v>
      </c>
      <c r="B155" s="1" t="s">
        <v>23</v>
      </c>
      <c r="C155">
        <v>2014</v>
      </c>
      <c r="D155" s="4">
        <v>1.8</v>
      </c>
      <c r="E155" s="5">
        <v>49892</v>
      </c>
      <c r="F155" s="1" t="s">
        <v>11</v>
      </c>
      <c r="G155" s="10">
        <v>25179.4</v>
      </c>
      <c r="H155" s="1" t="s">
        <v>32</v>
      </c>
      <c r="I155" t="s">
        <v>13</v>
      </c>
      <c r="J155" t="s">
        <v>22</v>
      </c>
    </row>
    <row r="156" spans="1:10" x14ac:dyDescent="0.35">
      <c r="A156">
        <v>155</v>
      </c>
      <c r="B156" s="1" t="s">
        <v>35</v>
      </c>
      <c r="C156">
        <v>2003</v>
      </c>
      <c r="D156" s="4">
        <v>1.4</v>
      </c>
      <c r="E156" s="5">
        <v>181593</v>
      </c>
      <c r="F156" s="1" t="s">
        <v>16</v>
      </c>
      <c r="G156" s="10">
        <v>24791.06</v>
      </c>
      <c r="H156" s="1" t="s">
        <v>47</v>
      </c>
      <c r="I156" t="s">
        <v>52</v>
      </c>
      <c r="J156" t="s">
        <v>14</v>
      </c>
    </row>
    <row r="157" spans="1:10" x14ac:dyDescent="0.35">
      <c r="A157">
        <v>156</v>
      </c>
      <c r="B157" s="1" t="s">
        <v>23</v>
      </c>
      <c r="C157">
        <v>2010</v>
      </c>
      <c r="D157" s="4">
        <v>1.1000000000000001</v>
      </c>
      <c r="E157" s="5">
        <v>214992</v>
      </c>
      <c r="F157" s="1" t="s">
        <v>16</v>
      </c>
      <c r="G157" s="10">
        <v>16911.22</v>
      </c>
      <c r="H157" s="1" t="s">
        <v>32</v>
      </c>
      <c r="I157" t="s">
        <v>51</v>
      </c>
      <c r="J157" t="s">
        <v>22</v>
      </c>
    </row>
    <row r="158" spans="1:10" x14ac:dyDescent="0.35">
      <c r="A158">
        <v>157</v>
      </c>
      <c r="B158" s="1" t="s">
        <v>25</v>
      </c>
      <c r="C158">
        <v>2018</v>
      </c>
      <c r="D158" s="4">
        <v>1.8</v>
      </c>
      <c r="E158" s="5">
        <v>280064</v>
      </c>
      <c r="F158" s="1" t="s">
        <v>16</v>
      </c>
      <c r="G158" s="10">
        <v>23011.57</v>
      </c>
      <c r="H158" s="1" t="s">
        <v>49</v>
      </c>
      <c r="I158" t="s">
        <v>53</v>
      </c>
      <c r="J158" t="s">
        <v>14</v>
      </c>
    </row>
    <row r="159" spans="1:10" x14ac:dyDescent="0.35">
      <c r="A159">
        <v>158</v>
      </c>
      <c r="B159" s="1" t="s">
        <v>10</v>
      </c>
      <c r="C159">
        <v>2014</v>
      </c>
      <c r="D159" s="4">
        <v>5.5</v>
      </c>
      <c r="E159" s="5">
        <v>278846</v>
      </c>
      <c r="F159" s="1" t="s">
        <v>15</v>
      </c>
      <c r="G159" s="10">
        <v>8019.97</v>
      </c>
      <c r="H159" s="1" t="s">
        <v>18</v>
      </c>
      <c r="I159" t="s">
        <v>13</v>
      </c>
      <c r="J159" t="s">
        <v>14</v>
      </c>
    </row>
    <row r="160" spans="1:10" x14ac:dyDescent="0.35">
      <c r="A160">
        <v>159</v>
      </c>
      <c r="B160" s="1" t="s">
        <v>29</v>
      </c>
      <c r="C160">
        <v>2003</v>
      </c>
      <c r="D160" s="4">
        <v>2.2000000000000002</v>
      </c>
      <c r="E160" s="5">
        <v>256216</v>
      </c>
      <c r="F160" s="1" t="s">
        <v>16</v>
      </c>
      <c r="G160" s="10">
        <v>69051.990000000005</v>
      </c>
      <c r="H160" s="1" t="s">
        <v>31</v>
      </c>
      <c r="I160" t="s">
        <v>13</v>
      </c>
      <c r="J160" t="s">
        <v>14</v>
      </c>
    </row>
    <row r="161" spans="1:10" x14ac:dyDescent="0.35">
      <c r="A161">
        <v>160</v>
      </c>
      <c r="B161" s="1" t="s">
        <v>23</v>
      </c>
      <c r="C161">
        <v>2020</v>
      </c>
      <c r="D161" s="4">
        <v>2.8</v>
      </c>
      <c r="E161" s="5">
        <v>264038</v>
      </c>
      <c r="F161" s="1" t="s">
        <v>16</v>
      </c>
      <c r="G161" s="10">
        <v>43132.73</v>
      </c>
      <c r="H161" s="1" t="s">
        <v>42</v>
      </c>
      <c r="I161" t="s">
        <v>51</v>
      </c>
      <c r="J161" t="s">
        <v>14</v>
      </c>
    </row>
    <row r="162" spans="1:10" x14ac:dyDescent="0.35">
      <c r="A162">
        <v>161</v>
      </c>
      <c r="B162" s="1" t="s">
        <v>35</v>
      </c>
      <c r="C162">
        <v>2012</v>
      </c>
      <c r="D162" s="4">
        <v>1.5</v>
      </c>
      <c r="E162" s="5">
        <v>293129</v>
      </c>
      <c r="F162" s="1" t="s">
        <v>16</v>
      </c>
      <c r="G162" s="10">
        <v>58344.84</v>
      </c>
      <c r="H162" s="1" t="s">
        <v>47</v>
      </c>
      <c r="I162" t="s">
        <v>13</v>
      </c>
      <c r="J162" t="s">
        <v>14</v>
      </c>
    </row>
    <row r="163" spans="1:10" x14ac:dyDescent="0.35">
      <c r="A163">
        <v>162</v>
      </c>
      <c r="B163" s="1" t="s">
        <v>25</v>
      </c>
      <c r="C163">
        <v>2021</v>
      </c>
      <c r="D163" s="4">
        <v>2.1</v>
      </c>
      <c r="E163" s="5">
        <v>159359</v>
      </c>
      <c r="F163" s="1" t="s">
        <v>16</v>
      </c>
      <c r="G163" s="10">
        <v>65510.97</v>
      </c>
      <c r="H163" s="1" t="s">
        <v>41</v>
      </c>
      <c r="I163" t="s">
        <v>52</v>
      </c>
      <c r="J163" t="s">
        <v>14</v>
      </c>
    </row>
    <row r="164" spans="1:10" x14ac:dyDescent="0.35">
      <c r="A164">
        <v>163</v>
      </c>
      <c r="B164" s="1" t="s">
        <v>20</v>
      </c>
      <c r="C164">
        <v>2018</v>
      </c>
      <c r="D164" s="4">
        <v>3.6</v>
      </c>
      <c r="E164" s="5">
        <v>258771</v>
      </c>
      <c r="F164" s="1" t="s">
        <v>16</v>
      </c>
      <c r="G164" s="10">
        <v>97386.03</v>
      </c>
      <c r="H164" s="1" t="s">
        <v>21</v>
      </c>
      <c r="I164" t="s">
        <v>52</v>
      </c>
      <c r="J164" t="s">
        <v>14</v>
      </c>
    </row>
    <row r="165" spans="1:10" x14ac:dyDescent="0.35">
      <c r="A165">
        <v>164</v>
      </c>
      <c r="B165" s="1" t="s">
        <v>10</v>
      </c>
      <c r="C165">
        <v>2001</v>
      </c>
      <c r="D165" s="4">
        <v>4</v>
      </c>
      <c r="E165" s="5">
        <v>125702</v>
      </c>
      <c r="F165" s="1" t="s">
        <v>11</v>
      </c>
      <c r="G165" s="10">
        <v>11485.26</v>
      </c>
      <c r="H165" s="1" t="s">
        <v>17</v>
      </c>
      <c r="I165" t="s">
        <v>13</v>
      </c>
      <c r="J165" t="s">
        <v>14</v>
      </c>
    </row>
    <row r="166" spans="1:10" x14ac:dyDescent="0.35">
      <c r="A166">
        <v>165</v>
      </c>
      <c r="B166" s="1" t="s">
        <v>10</v>
      </c>
      <c r="C166">
        <v>2013</v>
      </c>
      <c r="D166" s="4">
        <v>2.2000000000000002</v>
      </c>
      <c r="E166" s="5">
        <v>73527</v>
      </c>
      <c r="F166" s="1" t="s">
        <v>16</v>
      </c>
      <c r="G166" s="10">
        <v>44702.18</v>
      </c>
      <c r="H166" s="1" t="s">
        <v>18</v>
      </c>
      <c r="I166" t="s">
        <v>13</v>
      </c>
      <c r="J166" t="s">
        <v>14</v>
      </c>
    </row>
    <row r="167" spans="1:10" x14ac:dyDescent="0.35">
      <c r="A167">
        <v>166</v>
      </c>
      <c r="B167" s="1" t="s">
        <v>29</v>
      </c>
      <c r="C167">
        <v>2003</v>
      </c>
      <c r="D167" s="4">
        <v>1.3</v>
      </c>
      <c r="E167" s="5">
        <v>146511</v>
      </c>
      <c r="F167" s="1" t="s">
        <v>11</v>
      </c>
      <c r="G167" s="10">
        <v>28360.3</v>
      </c>
      <c r="H167" s="1" t="s">
        <v>30</v>
      </c>
      <c r="I167" t="s">
        <v>51</v>
      </c>
      <c r="J167" t="s">
        <v>22</v>
      </c>
    </row>
    <row r="168" spans="1:10" x14ac:dyDescent="0.35">
      <c r="A168">
        <v>167</v>
      </c>
      <c r="B168" s="1" t="s">
        <v>10</v>
      </c>
      <c r="C168">
        <v>2015</v>
      </c>
      <c r="D168" s="4">
        <v>3</v>
      </c>
      <c r="E168" s="5">
        <v>225692</v>
      </c>
      <c r="F168" s="1" t="s">
        <v>16</v>
      </c>
      <c r="G168" s="10">
        <v>50287.63</v>
      </c>
      <c r="H168" s="1" t="s">
        <v>17</v>
      </c>
      <c r="I168" t="s">
        <v>13</v>
      </c>
      <c r="J168" t="s">
        <v>14</v>
      </c>
    </row>
    <row r="169" spans="1:10" x14ac:dyDescent="0.35">
      <c r="A169">
        <v>168</v>
      </c>
      <c r="B169" s="1" t="s">
        <v>23</v>
      </c>
      <c r="C169">
        <v>2020</v>
      </c>
      <c r="D169" s="4">
        <v>2.2000000000000002</v>
      </c>
      <c r="E169" s="5">
        <v>158731</v>
      </c>
      <c r="F169" s="1" t="s">
        <v>11</v>
      </c>
      <c r="G169" s="10">
        <v>92444.87</v>
      </c>
      <c r="H169" s="1" t="s">
        <v>24</v>
      </c>
      <c r="I169" t="s">
        <v>53</v>
      </c>
      <c r="J169" t="s">
        <v>14</v>
      </c>
    </row>
    <row r="170" spans="1:10" x14ac:dyDescent="0.35">
      <c r="A170">
        <v>169</v>
      </c>
      <c r="B170" s="1" t="s">
        <v>35</v>
      </c>
      <c r="C170">
        <v>2019</v>
      </c>
      <c r="D170" s="4">
        <v>2.1</v>
      </c>
      <c r="E170" s="5">
        <v>287120</v>
      </c>
      <c r="F170" s="1" t="s">
        <v>16</v>
      </c>
      <c r="G170" s="10">
        <v>73778.509999999995</v>
      </c>
      <c r="H170" s="1" t="s">
        <v>45</v>
      </c>
      <c r="I170" t="s">
        <v>13</v>
      </c>
      <c r="J170" t="s">
        <v>14</v>
      </c>
    </row>
    <row r="171" spans="1:10" x14ac:dyDescent="0.35">
      <c r="A171">
        <v>170</v>
      </c>
      <c r="B171" s="1" t="s">
        <v>10</v>
      </c>
      <c r="C171">
        <v>2013</v>
      </c>
      <c r="D171" s="4">
        <v>5.8</v>
      </c>
      <c r="E171" s="5">
        <v>235311</v>
      </c>
      <c r="F171" s="1" t="s">
        <v>16</v>
      </c>
      <c r="G171" s="10">
        <v>67885.210000000006</v>
      </c>
      <c r="H171" s="1" t="s">
        <v>17</v>
      </c>
      <c r="I171" t="s">
        <v>13</v>
      </c>
      <c r="J171" t="s">
        <v>14</v>
      </c>
    </row>
    <row r="172" spans="1:10" x14ac:dyDescent="0.35">
      <c r="A172">
        <v>171</v>
      </c>
      <c r="B172" s="1" t="s">
        <v>10</v>
      </c>
      <c r="C172">
        <v>2014</v>
      </c>
      <c r="D172" s="4">
        <v>4.0999999999999996</v>
      </c>
      <c r="E172" s="5">
        <v>198937</v>
      </c>
      <c r="F172" s="1" t="s">
        <v>16</v>
      </c>
      <c r="G172" s="10">
        <v>46918.36</v>
      </c>
      <c r="H172" s="1" t="s">
        <v>19</v>
      </c>
      <c r="I172" t="s">
        <v>13</v>
      </c>
      <c r="J172" t="s">
        <v>14</v>
      </c>
    </row>
    <row r="173" spans="1:10" x14ac:dyDescent="0.35">
      <c r="A173">
        <v>172</v>
      </c>
      <c r="B173" s="1" t="s">
        <v>20</v>
      </c>
      <c r="C173">
        <v>2002</v>
      </c>
      <c r="D173" s="4">
        <v>3.8</v>
      </c>
      <c r="E173" s="5">
        <v>199378</v>
      </c>
      <c r="F173" s="1" t="s">
        <v>16</v>
      </c>
      <c r="G173" s="10">
        <v>68755.69</v>
      </c>
      <c r="H173" s="1" t="s">
        <v>33</v>
      </c>
      <c r="I173" t="s">
        <v>51</v>
      </c>
      <c r="J173" t="s">
        <v>22</v>
      </c>
    </row>
    <row r="174" spans="1:10" x14ac:dyDescent="0.35">
      <c r="A174">
        <v>173</v>
      </c>
      <c r="B174" s="1" t="s">
        <v>20</v>
      </c>
      <c r="C174">
        <v>2007</v>
      </c>
      <c r="D174" s="4">
        <v>3.1</v>
      </c>
      <c r="E174" s="5">
        <v>56697</v>
      </c>
      <c r="F174" s="1" t="s">
        <v>15</v>
      </c>
      <c r="G174" s="10">
        <v>8075.66</v>
      </c>
      <c r="H174" s="1" t="s">
        <v>33</v>
      </c>
      <c r="I174" t="s">
        <v>13</v>
      </c>
      <c r="J174" t="s">
        <v>22</v>
      </c>
    </row>
    <row r="175" spans="1:10" x14ac:dyDescent="0.35">
      <c r="A175">
        <v>174</v>
      </c>
      <c r="B175" s="1" t="s">
        <v>27</v>
      </c>
      <c r="C175">
        <v>2015</v>
      </c>
      <c r="D175" s="4">
        <v>3.1</v>
      </c>
      <c r="E175" s="5">
        <v>70382</v>
      </c>
      <c r="F175" s="1" t="s">
        <v>16</v>
      </c>
      <c r="G175" s="10">
        <v>60692.67</v>
      </c>
      <c r="H175" s="1" t="s">
        <v>48</v>
      </c>
      <c r="I175" t="s">
        <v>53</v>
      </c>
      <c r="J175" t="s">
        <v>14</v>
      </c>
    </row>
    <row r="176" spans="1:10" x14ac:dyDescent="0.35">
      <c r="A176">
        <v>175</v>
      </c>
      <c r="B176" s="1" t="s">
        <v>25</v>
      </c>
      <c r="C176">
        <v>2009</v>
      </c>
      <c r="D176" s="4">
        <v>3.7</v>
      </c>
      <c r="E176" s="5">
        <v>278795</v>
      </c>
      <c r="F176" s="1" t="s">
        <v>11</v>
      </c>
      <c r="G176" s="10">
        <v>57608.77</v>
      </c>
      <c r="H176" s="1" t="s">
        <v>49</v>
      </c>
      <c r="I176" t="s">
        <v>53</v>
      </c>
      <c r="J176" t="s">
        <v>22</v>
      </c>
    </row>
    <row r="177" spans="1:10" x14ac:dyDescent="0.35">
      <c r="A177">
        <v>176</v>
      </c>
      <c r="B177" s="1" t="s">
        <v>23</v>
      </c>
      <c r="C177">
        <v>2003</v>
      </c>
      <c r="D177" s="4">
        <v>4.5</v>
      </c>
      <c r="E177" s="5">
        <v>180116</v>
      </c>
      <c r="F177" s="1" t="s">
        <v>15</v>
      </c>
      <c r="G177" s="10">
        <v>37930.839999999997</v>
      </c>
      <c r="H177" s="1" t="s">
        <v>42</v>
      </c>
      <c r="I177" t="s">
        <v>53</v>
      </c>
      <c r="J177" t="s">
        <v>14</v>
      </c>
    </row>
    <row r="178" spans="1:10" x14ac:dyDescent="0.35">
      <c r="A178">
        <v>177</v>
      </c>
      <c r="B178" s="1" t="s">
        <v>10</v>
      </c>
      <c r="C178">
        <v>2017</v>
      </c>
      <c r="D178" s="4">
        <v>4.5</v>
      </c>
      <c r="E178" s="5">
        <v>14633</v>
      </c>
      <c r="F178" s="1" t="s">
        <v>15</v>
      </c>
      <c r="G178" s="10">
        <v>24143.84</v>
      </c>
      <c r="H178" s="1" t="s">
        <v>18</v>
      </c>
      <c r="I178" t="s">
        <v>13</v>
      </c>
      <c r="J178" t="s">
        <v>14</v>
      </c>
    </row>
    <row r="179" spans="1:10" x14ac:dyDescent="0.35">
      <c r="A179">
        <v>178</v>
      </c>
      <c r="B179" s="1" t="s">
        <v>10</v>
      </c>
      <c r="C179">
        <v>2001</v>
      </c>
      <c r="D179" s="4">
        <v>1.9</v>
      </c>
      <c r="E179" s="5">
        <v>79164</v>
      </c>
      <c r="F179" s="1" t="s">
        <v>16</v>
      </c>
      <c r="G179" s="10">
        <v>81717.78</v>
      </c>
      <c r="H179" s="1" t="s">
        <v>19</v>
      </c>
      <c r="I179" t="s">
        <v>13</v>
      </c>
      <c r="J179" t="s">
        <v>14</v>
      </c>
    </row>
    <row r="180" spans="1:10" x14ac:dyDescent="0.35">
      <c r="A180">
        <v>179</v>
      </c>
      <c r="B180" s="1" t="s">
        <v>35</v>
      </c>
      <c r="C180">
        <v>2016</v>
      </c>
      <c r="D180" s="4">
        <v>3.5</v>
      </c>
      <c r="E180" s="5">
        <v>262713</v>
      </c>
      <c r="F180" s="1" t="s">
        <v>11</v>
      </c>
      <c r="G180" s="10">
        <v>10116.9</v>
      </c>
      <c r="H180" s="1" t="s">
        <v>36</v>
      </c>
      <c r="I180" t="s">
        <v>51</v>
      </c>
      <c r="J180" t="s">
        <v>22</v>
      </c>
    </row>
    <row r="181" spans="1:10" x14ac:dyDescent="0.35">
      <c r="A181">
        <v>180</v>
      </c>
      <c r="B181" s="1" t="s">
        <v>27</v>
      </c>
      <c r="C181">
        <v>2012</v>
      </c>
      <c r="D181" s="4">
        <v>3.1</v>
      </c>
      <c r="E181" s="5">
        <v>123425</v>
      </c>
      <c r="F181" s="1" t="s">
        <v>11</v>
      </c>
      <c r="G181" s="10">
        <v>11618.92</v>
      </c>
      <c r="H181" s="1" t="s">
        <v>40</v>
      </c>
      <c r="I181" t="s">
        <v>13</v>
      </c>
      <c r="J181" t="s">
        <v>14</v>
      </c>
    </row>
    <row r="182" spans="1:10" x14ac:dyDescent="0.35">
      <c r="A182">
        <v>181</v>
      </c>
      <c r="B182" s="1" t="s">
        <v>25</v>
      </c>
      <c r="C182">
        <v>2003</v>
      </c>
      <c r="D182" s="4">
        <v>5.4</v>
      </c>
      <c r="E182" s="5">
        <v>250220</v>
      </c>
      <c r="F182" s="1" t="s">
        <v>15</v>
      </c>
      <c r="G182" s="10">
        <v>46849.57</v>
      </c>
      <c r="H182" s="1" t="s">
        <v>26</v>
      </c>
      <c r="I182" t="s">
        <v>51</v>
      </c>
      <c r="J182" t="s">
        <v>22</v>
      </c>
    </row>
    <row r="183" spans="1:10" x14ac:dyDescent="0.35">
      <c r="A183">
        <v>182</v>
      </c>
      <c r="B183" s="1" t="s">
        <v>27</v>
      </c>
      <c r="C183">
        <v>2010</v>
      </c>
      <c r="D183" s="4">
        <v>4.2</v>
      </c>
      <c r="E183" s="5">
        <v>295182</v>
      </c>
      <c r="F183" s="1" t="s">
        <v>11</v>
      </c>
      <c r="G183" s="10">
        <v>28992.68</v>
      </c>
      <c r="H183" s="1" t="s">
        <v>28</v>
      </c>
      <c r="I183" t="s">
        <v>13</v>
      </c>
      <c r="J183" t="s">
        <v>14</v>
      </c>
    </row>
    <row r="184" spans="1:10" x14ac:dyDescent="0.35">
      <c r="A184">
        <v>183</v>
      </c>
      <c r="B184" s="1" t="s">
        <v>29</v>
      </c>
      <c r="C184">
        <v>2006</v>
      </c>
      <c r="D184" s="4">
        <v>3.7</v>
      </c>
      <c r="E184" s="5">
        <v>180160</v>
      </c>
      <c r="F184" s="1" t="s">
        <v>16</v>
      </c>
      <c r="G184" s="10">
        <v>75817.98</v>
      </c>
      <c r="H184" s="1" t="s">
        <v>43</v>
      </c>
      <c r="I184" t="s">
        <v>53</v>
      </c>
      <c r="J184" t="s">
        <v>14</v>
      </c>
    </row>
    <row r="185" spans="1:10" x14ac:dyDescent="0.35">
      <c r="A185">
        <v>184</v>
      </c>
      <c r="B185" s="1" t="s">
        <v>25</v>
      </c>
      <c r="C185">
        <v>2011</v>
      </c>
      <c r="D185" s="4">
        <v>1.6</v>
      </c>
      <c r="E185" s="5">
        <v>204249</v>
      </c>
      <c r="F185" s="1" t="s">
        <v>16</v>
      </c>
      <c r="G185" s="10">
        <v>65248.06</v>
      </c>
      <c r="H185" s="1" t="s">
        <v>26</v>
      </c>
      <c r="I185" t="s">
        <v>53</v>
      </c>
      <c r="J185" t="s">
        <v>14</v>
      </c>
    </row>
    <row r="186" spans="1:10" x14ac:dyDescent="0.35">
      <c r="A186">
        <v>185</v>
      </c>
      <c r="B186" s="1" t="s">
        <v>10</v>
      </c>
      <c r="C186">
        <v>2009</v>
      </c>
      <c r="D186" s="4">
        <v>4</v>
      </c>
      <c r="E186" s="5">
        <v>205538</v>
      </c>
      <c r="F186" s="1" t="s">
        <v>16</v>
      </c>
      <c r="G186" s="10">
        <v>78390.81</v>
      </c>
      <c r="H186" s="1" t="s">
        <v>17</v>
      </c>
      <c r="I186" t="s">
        <v>13</v>
      </c>
      <c r="J186" t="s">
        <v>14</v>
      </c>
    </row>
    <row r="187" spans="1:10" x14ac:dyDescent="0.35">
      <c r="A187">
        <v>186</v>
      </c>
      <c r="B187" s="1" t="s">
        <v>10</v>
      </c>
      <c r="C187">
        <v>2006</v>
      </c>
      <c r="D187" s="4">
        <v>1.6</v>
      </c>
      <c r="E187" s="5">
        <v>197865</v>
      </c>
      <c r="F187" s="1" t="s">
        <v>16</v>
      </c>
      <c r="G187" s="10">
        <v>35844.5</v>
      </c>
      <c r="H187" s="1" t="s">
        <v>12</v>
      </c>
      <c r="I187" t="s">
        <v>13</v>
      </c>
      <c r="J187" t="s">
        <v>14</v>
      </c>
    </row>
    <row r="188" spans="1:10" x14ac:dyDescent="0.35">
      <c r="A188">
        <v>187</v>
      </c>
      <c r="B188" s="1" t="s">
        <v>25</v>
      </c>
      <c r="C188">
        <v>2012</v>
      </c>
      <c r="D188" s="4">
        <v>2.7</v>
      </c>
      <c r="E188" s="5">
        <v>201466</v>
      </c>
      <c r="F188" s="1" t="s">
        <v>16</v>
      </c>
      <c r="G188" s="10">
        <v>75349.3</v>
      </c>
      <c r="H188" s="1" t="s">
        <v>41</v>
      </c>
      <c r="I188" t="s">
        <v>53</v>
      </c>
      <c r="J188" t="s">
        <v>22</v>
      </c>
    </row>
    <row r="189" spans="1:10" x14ac:dyDescent="0.35">
      <c r="A189">
        <v>188</v>
      </c>
      <c r="B189" s="1" t="s">
        <v>10</v>
      </c>
      <c r="C189">
        <v>2006</v>
      </c>
      <c r="D189" s="4">
        <v>1.7</v>
      </c>
      <c r="E189" s="5">
        <v>187223</v>
      </c>
      <c r="F189" s="1" t="s">
        <v>15</v>
      </c>
      <c r="G189" s="10">
        <v>86918.81</v>
      </c>
      <c r="H189" s="1" t="s">
        <v>17</v>
      </c>
      <c r="I189" t="s">
        <v>13</v>
      </c>
      <c r="J189" t="s">
        <v>14</v>
      </c>
    </row>
    <row r="190" spans="1:10" x14ac:dyDescent="0.35">
      <c r="A190">
        <v>189</v>
      </c>
      <c r="B190" s="1" t="s">
        <v>23</v>
      </c>
      <c r="C190">
        <v>2023</v>
      </c>
      <c r="D190" s="4">
        <v>4.5</v>
      </c>
      <c r="E190" s="5">
        <v>111174</v>
      </c>
      <c r="F190" s="1" t="s">
        <v>16</v>
      </c>
      <c r="G190" s="10">
        <v>37801.08</v>
      </c>
      <c r="H190" s="1" t="s">
        <v>42</v>
      </c>
      <c r="I190" t="s">
        <v>13</v>
      </c>
      <c r="J190" t="s">
        <v>22</v>
      </c>
    </row>
    <row r="191" spans="1:10" x14ac:dyDescent="0.35">
      <c r="A191">
        <v>190</v>
      </c>
      <c r="B191" s="1" t="s">
        <v>25</v>
      </c>
      <c r="C191">
        <v>2016</v>
      </c>
      <c r="D191" s="4">
        <v>2</v>
      </c>
      <c r="E191" s="5">
        <v>137980</v>
      </c>
      <c r="F191" s="1" t="s">
        <v>16</v>
      </c>
      <c r="G191" s="10">
        <v>37290.1</v>
      </c>
      <c r="H191" s="1" t="s">
        <v>44</v>
      </c>
      <c r="I191" t="s">
        <v>53</v>
      </c>
      <c r="J191" t="s">
        <v>14</v>
      </c>
    </row>
    <row r="192" spans="1:10" x14ac:dyDescent="0.35">
      <c r="A192">
        <v>191</v>
      </c>
      <c r="B192" s="1" t="s">
        <v>27</v>
      </c>
      <c r="C192">
        <v>2009</v>
      </c>
      <c r="D192" s="4">
        <v>3</v>
      </c>
      <c r="E192" s="5">
        <v>68447</v>
      </c>
      <c r="F192" s="1" t="s">
        <v>15</v>
      </c>
      <c r="G192" s="10">
        <v>90495.38</v>
      </c>
      <c r="H192" s="1" t="s">
        <v>48</v>
      </c>
      <c r="I192" t="s">
        <v>51</v>
      </c>
      <c r="J192" t="s">
        <v>22</v>
      </c>
    </row>
    <row r="193" spans="1:10" x14ac:dyDescent="0.35">
      <c r="A193">
        <v>192</v>
      </c>
      <c r="B193" s="1" t="s">
        <v>25</v>
      </c>
      <c r="C193">
        <v>2009</v>
      </c>
      <c r="D193" s="4">
        <v>5.5</v>
      </c>
      <c r="E193" s="5">
        <v>205599</v>
      </c>
      <c r="F193" s="1" t="s">
        <v>15</v>
      </c>
      <c r="G193" s="10">
        <v>9730.07</v>
      </c>
      <c r="H193" s="1" t="s">
        <v>44</v>
      </c>
      <c r="I193" t="s">
        <v>53</v>
      </c>
      <c r="J193" t="s">
        <v>22</v>
      </c>
    </row>
    <row r="194" spans="1:10" x14ac:dyDescent="0.35">
      <c r="A194">
        <v>193</v>
      </c>
      <c r="B194" s="1" t="s">
        <v>10</v>
      </c>
      <c r="C194">
        <v>2023</v>
      </c>
      <c r="D194" s="4">
        <v>2</v>
      </c>
      <c r="E194" s="5">
        <v>226301</v>
      </c>
      <c r="F194" s="1" t="s">
        <v>15</v>
      </c>
      <c r="G194" s="10">
        <v>38267.99</v>
      </c>
      <c r="H194" s="1" t="s">
        <v>12</v>
      </c>
      <c r="I194" t="s">
        <v>13</v>
      </c>
      <c r="J194" t="s">
        <v>14</v>
      </c>
    </row>
    <row r="195" spans="1:10" x14ac:dyDescent="0.35">
      <c r="A195">
        <v>194</v>
      </c>
      <c r="B195" s="1" t="s">
        <v>23</v>
      </c>
      <c r="C195">
        <v>2003</v>
      </c>
      <c r="D195" s="4">
        <v>3.5</v>
      </c>
      <c r="E195" s="5">
        <v>279778</v>
      </c>
      <c r="F195" s="1" t="s">
        <v>11</v>
      </c>
      <c r="G195" s="10">
        <v>16273.89</v>
      </c>
      <c r="H195" s="1" t="s">
        <v>42</v>
      </c>
      <c r="I195" t="s">
        <v>51</v>
      </c>
      <c r="J195" t="s">
        <v>14</v>
      </c>
    </row>
    <row r="196" spans="1:10" x14ac:dyDescent="0.35">
      <c r="A196">
        <v>195</v>
      </c>
      <c r="B196" s="1" t="s">
        <v>23</v>
      </c>
      <c r="C196">
        <v>2019</v>
      </c>
      <c r="D196" s="4">
        <v>3.1</v>
      </c>
      <c r="E196" s="5">
        <v>286705</v>
      </c>
      <c r="F196" s="1" t="s">
        <v>11</v>
      </c>
      <c r="G196" s="10">
        <v>7753.16</v>
      </c>
      <c r="H196" s="1" t="s">
        <v>42</v>
      </c>
      <c r="I196" t="s">
        <v>53</v>
      </c>
      <c r="J196" t="s">
        <v>22</v>
      </c>
    </row>
    <row r="197" spans="1:10" x14ac:dyDescent="0.35">
      <c r="A197">
        <v>196</v>
      </c>
      <c r="B197" s="1" t="s">
        <v>29</v>
      </c>
      <c r="C197">
        <v>2003</v>
      </c>
      <c r="D197" s="4">
        <v>1.1000000000000001</v>
      </c>
      <c r="E197" s="5">
        <v>55063</v>
      </c>
      <c r="F197" s="1" t="s">
        <v>16</v>
      </c>
      <c r="G197" s="10">
        <v>15722.59</v>
      </c>
      <c r="H197" s="1" t="s">
        <v>43</v>
      </c>
      <c r="I197" t="s">
        <v>53</v>
      </c>
      <c r="J197" t="s">
        <v>14</v>
      </c>
    </row>
    <row r="198" spans="1:10" x14ac:dyDescent="0.35">
      <c r="A198">
        <v>197</v>
      </c>
      <c r="B198" s="1" t="s">
        <v>27</v>
      </c>
      <c r="C198">
        <v>2021</v>
      </c>
      <c r="D198" s="4">
        <v>5</v>
      </c>
      <c r="E198" s="5">
        <v>288065</v>
      </c>
      <c r="F198" s="1" t="s">
        <v>16</v>
      </c>
      <c r="G198" s="10">
        <v>45968.35</v>
      </c>
      <c r="H198" s="1" t="s">
        <v>48</v>
      </c>
      <c r="I198" t="s">
        <v>53</v>
      </c>
      <c r="J198" t="s">
        <v>14</v>
      </c>
    </row>
    <row r="199" spans="1:10" x14ac:dyDescent="0.35">
      <c r="A199">
        <v>198</v>
      </c>
      <c r="B199" s="1" t="s">
        <v>20</v>
      </c>
      <c r="C199">
        <v>2006</v>
      </c>
      <c r="D199" s="4">
        <v>1.3</v>
      </c>
      <c r="E199" s="5">
        <v>19340</v>
      </c>
      <c r="F199" s="1" t="s">
        <v>16</v>
      </c>
      <c r="G199" s="10">
        <v>70260.83</v>
      </c>
      <c r="H199" s="1" t="s">
        <v>39</v>
      </c>
      <c r="I199" t="s">
        <v>53</v>
      </c>
      <c r="J199" t="s">
        <v>14</v>
      </c>
    </row>
    <row r="200" spans="1:10" x14ac:dyDescent="0.35">
      <c r="A200">
        <v>199</v>
      </c>
      <c r="B200" s="1" t="s">
        <v>20</v>
      </c>
      <c r="C200">
        <v>2021</v>
      </c>
      <c r="D200" s="4">
        <v>3.4</v>
      </c>
      <c r="E200" s="5">
        <v>62781</v>
      </c>
      <c r="F200" s="1" t="s">
        <v>11</v>
      </c>
      <c r="G200" s="10">
        <v>32481.83</v>
      </c>
      <c r="H200" s="1" t="s">
        <v>33</v>
      </c>
      <c r="I200" t="s">
        <v>13</v>
      </c>
      <c r="J200" t="s">
        <v>22</v>
      </c>
    </row>
    <row r="201" spans="1:10" x14ac:dyDescent="0.35">
      <c r="A201">
        <v>200</v>
      </c>
      <c r="B201" s="1" t="s">
        <v>25</v>
      </c>
      <c r="C201">
        <v>2000</v>
      </c>
      <c r="D201" s="4">
        <v>3.8</v>
      </c>
      <c r="E201" s="5">
        <v>277045</v>
      </c>
      <c r="F201" s="1" t="s">
        <v>16</v>
      </c>
      <c r="G201" s="10">
        <v>85719.15</v>
      </c>
      <c r="H201" s="1" t="s">
        <v>44</v>
      </c>
      <c r="I201" t="s">
        <v>53</v>
      </c>
      <c r="J201" t="s">
        <v>14</v>
      </c>
    </row>
    <row r="202" spans="1:10" x14ac:dyDescent="0.35">
      <c r="A202">
        <v>201</v>
      </c>
      <c r="B202" s="1" t="s">
        <v>29</v>
      </c>
      <c r="C202">
        <v>2011</v>
      </c>
      <c r="D202" s="4">
        <v>4.0999999999999996</v>
      </c>
      <c r="E202" s="5">
        <v>10638</v>
      </c>
      <c r="F202" s="1" t="s">
        <v>16</v>
      </c>
      <c r="G202" s="10">
        <v>46573.48</v>
      </c>
      <c r="H202" s="1" t="s">
        <v>43</v>
      </c>
      <c r="I202" t="s">
        <v>52</v>
      </c>
      <c r="J202" t="s">
        <v>14</v>
      </c>
    </row>
    <row r="203" spans="1:10" x14ac:dyDescent="0.35">
      <c r="A203">
        <v>202</v>
      </c>
      <c r="B203" s="1" t="s">
        <v>35</v>
      </c>
      <c r="C203">
        <v>2023</v>
      </c>
      <c r="D203" s="4">
        <v>4.4000000000000004</v>
      </c>
      <c r="E203" s="5">
        <v>217986</v>
      </c>
      <c r="F203" s="1" t="s">
        <v>11</v>
      </c>
      <c r="G203" s="10">
        <v>96981.66</v>
      </c>
      <c r="H203" s="1" t="s">
        <v>36</v>
      </c>
      <c r="I203" t="s">
        <v>53</v>
      </c>
      <c r="J203" t="s">
        <v>14</v>
      </c>
    </row>
    <row r="204" spans="1:10" x14ac:dyDescent="0.35">
      <c r="A204">
        <v>203</v>
      </c>
      <c r="B204" s="1" t="s">
        <v>25</v>
      </c>
      <c r="C204">
        <v>2012</v>
      </c>
      <c r="D204" s="4">
        <v>2.2999999999999998</v>
      </c>
      <c r="E204" s="5">
        <v>221668</v>
      </c>
      <c r="F204" s="1" t="s">
        <v>15</v>
      </c>
      <c r="G204" s="10">
        <v>95644.79</v>
      </c>
      <c r="H204" s="1" t="s">
        <v>49</v>
      </c>
      <c r="I204" t="s">
        <v>51</v>
      </c>
      <c r="J204" t="s">
        <v>22</v>
      </c>
    </row>
    <row r="205" spans="1:10" x14ac:dyDescent="0.35">
      <c r="A205">
        <v>204</v>
      </c>
      <c r="B205" s="1" t="s">
        <v>29</v>
      </c>
      <c r="C205">
        <v>2009</v>
      </c>
      <c r="D205" s="4">
        <v>1</v>
      </c>
      <c r="E205" s="5">
        <v>294786</v>
      </c>
      <c r="F205" s="1" t="s">
        <v>11</v>
      </c>
      <c r="G205" s="10">
        <v>78461.240000000005</v>
      </c>
      <c r="H205" s="1" t="s">
        <v>38</v>
      </c>
      <c r="I205" t="s">
        <v>52</v>
      </c>
      <c r="J205" t="s">
        <v>14</v>
      </c>
    </row>
    <row r="206" spans="1:10" x14ac:dyDescent="0.35">
      <c r="A206">
        <v>205</v>
      </c>
      <c r="B206" s="1" t="s">
        <v>27</v>
      </c>
      <c r="C206">
        <v>2014</v>
      </c>
      <c r="D206" s="4">
        <v>4.5999999999999996</v>
      </c>
      <c r="E206" s="5">
        <v>25378</v>
      </c>
      <c r="F206" s="1" t="s">
        <v>16</v>
      </c>
      <c r="G206" s="10">
        <v>93578.52</v>
      </c>
      <c r="H206" s="1" t="s">
        <v>37</v>
      </c>
      <c r="I206" t="s">
        <v>13</v>
      </c>
      <c r="J206" t="s">
        <v>14</v>
      </c>
    </row>
    <row r="207" spans="1:10" x14ac:dyDescent="0.35">
      <c r="A207">
        <v>206</v>
      </c>
      <c r="B207" s="1" t="s">
        <v>27</v>
      </c>
      <c r="C207">
        <v>2012</v>
      </c>
      <c r="D207" s="4">
        <v>3.7</v>
      </c>
      <c r="E207" s="5">
        <v>118171</v>
      </c>
      <c r="F207" s="1" t="s">
        <v>11</v>
      </c>
      <c r="G207" s="10">
        <v>72174.13</v>
      </c>
      <c r="H207" s="1" t="s">
        <v>48</v>
      </c>
      <c r="I207" t="s">
        <v>52</v>
      </c>
      <c r="J207" t="s">
        <v>14</v>
      </c>
    </row>
    <row r="208" spans="1:10" x14ac:dyDescent="0.35">
      <c r="A208">
        <v>207</v>
      </c>
      <c r="B208" s="1" t="s">
        <v>27</v>
      </c>
      <c r="C208">
        <v>2022</v>
      </c>
      <c r="D208" s="4">
        <v>5.2</v>
      </c>
      <c r="E208" s="5">
        <v>214801</v>
      </c>
      <c r="F208" s="1" t="s">
        <v>15</v>
      </c>
      <c r="G208" s="10">
        <v>90080.4</v>
      </c>
      <c r="H208" s="1" t="s">
        <v>48</v>
      </c>
      <c r="I208" t="s">
        <v>52</v>
      </c>
      <c r="J208" t="s">
        <v>14</v>
      </c>
    </row>
    <row r="209" spans="1:10" x14ac:dyDescent="0.35">
      <c r="A209">
        <v>208</v>
      </c>
      <c r="B209" s="1" t="s">
        <v>27</v>
      </c>
      <c r="C209">
        <v>2021</v>
      </c>
      <c r="D209" s="4">
        <v>5.0999999999999996</v>
      </c>
      <c r="E209" s="5">
        <v>64377</v>
      </c>
      <c r="F209" s="1" t="s">
        <v>15</v>
      </c>
      <c r="G209" s="10">
        <v>27465</v>
      </c>
      <c r="H209" s="1" t="s">
        <v>37</v>
      </c>
      <c r="I209" t="s">
        <v>52</v>
      </c>
      <c r="J209" t="s">
        <v>22</v>
      </c>
    </row>
    <row r="210" spans="1:10" x14ac:dyDescent="0.35">
      <c r="A210">
        <v>209</v>
      </c>
      <c r="B210" s="1" t="s">
        <v>27</v>
      </c>
      <c r="C210">
        <v>2021</v>
      </c>
      <c r="D210" s="4">
        <v>5.2</v>
      </c>
      <c r="E210" s="5">
        <v>260339</v>
      </c>
      <c r="F210" s="1" t="s">
        <v>15</v>
      </c>
      <c r="G210" s="10">
        <v>37814.92</v>
      </c>
      <c r="H210" s="1" t="s">
        <v>40</v>
      </c>
      <c r="I210" t="s">
        <v>51</v>
      </c>
      <c r="J210" t="s">
        <v>22</v>
      </c>
    </row>
    <row r="211" spans="1:10" x14ac:dyDescent="0.35">
      <c r="A211">
        <v>210</v>
      </c>
      <c r="B211" s="1" t="s">
        <v>29</v>
      </c>
      <c r="C211">
        <v>2020</v>
      </c>
      <c r="D211" s="4">
        <v>3.4</v>
      </c>
      <c r="E211" s="5">
        <v>54691</v>
      </c>
      <c r="F211" s="1" t="s">
        <v>15</v>
      </c>
      <c r="G211" s="10">
        <v>76528.36</v>
      </c>
      <c r="H211" s="1" t="s">
        <v>31</v>
      </c>
      <c r="I211" t="s">
        <v>51</v>
      </c>
      <c r="J211" t="s">
        <v>14</v>
      </c>
    </row>
    <row r="212" spans="1:10" x14ac:dyDescent="0.35">
      <c r="A212">
        <v>211</v>
      </c>
      <c r="B212" s="1" t="s">
        <v>29</v>
      </c>
      <c r="C212">
        <v>2021</v>
      </c>
      <c r="D212" s="4">
        <v>2.7</v>
      </c>
      <c r="E212" s="5">
        <v>91782</v>
      </c>
      <c r="F212" s="1" t="s">
        <v>15</v>
      </c>
      <c r="G212" s="10">
        <v>45333.32</v>
      </c>
      <c r="H212" s="1" t="s">
        <v>30</v>
      </c>
      <c r="I212" t="s">
        <v>51</v>
      </c>
      <c r="J212" t="s">
        <v>14</v>
      </c>
    </row>
    <row r="213" spans="1:10" x14ac:dyDescent="0.35">
      <c r="A213">
        <v>212</v>
      </c>
      <c r="B213" s="1" t="s">
        <v>23</v>
      </c>
      <c r="C213">
        <v>2008</v>
      </c>
      <c r="D213" s="4">
        <v>5</v>
      </c>
      <c r="E213" s="5">
        <v>259896</v>
      </c>
      <c r="F213" s="1" t="s">
        <v>15</v>
      </c>
      <c r="G213" s="10">
        <v>84546.11</v>
      </c>
      <c r="H213" s="1" t="s">
        <v>34</v>
      </c>
      <c r="I213" t="s">
        <v>13</v>
      </c>
      <c r="J213" t="s">
        <v>14</v>
      </c>
    </row>
    <row r="214" spans="1:10" x14ac:dyDescent="0.35">
      <c r="A214">
        <v>213</v>
      </c>
      <c r="B214" s="1" t="s">
        <v>20</v>
      </c>
      <c r="C214">
        <v>2008</v>
      </c>
      <c r="D214" s="4">
        <v>3.3</v>
      </c>
      <c r="E214" s="5">
        <v>78343</v>
      </c>
      <c r="F214" s="1" t="s">
        <v>16</v>
      </c>
      <c r="G214" s="10">
        <v>88375.69</v>
      </c>
      <c r="H214" s="1" t="s">
        <v>46</v>
      </c>
      <c r="I214" t="s">
        <v>51</v>
      </c>
      <c r="J214" t="s">
        <v>14</v>
      </c>
    </row>
    <row r="215" spans="1:10" x14ac:dyDescent="0.35">
      <c r="A215">
        <v>214</v>
      </c>
      <c r="B215" s="1" t="s">
        <v>10</v>
      </c>
      <c r="C215">
        <v>2014</v>
      </c>
      <c r="D215" s="4">
        <v>1.9</v>
      </c>
      <c r="E215" s="5">
        <v>121399</v>
      </c>
      <c r="F215" s="1" t="s">
        <v>16</v>
      </c>
      <c r="G215" s="10">
        <v>33474.300000000003</v>
      </c>
      <c r="H215" s="1" t="s">
        <v>19</v>
      </c>
      <c r="I215" t="s">
        <v>13</v>
      </c>
      <c r="J215" t="s">
        <v>14</v>
      </c>
    </row>
    <row r="216" spans="1:10" x14ac:dyDescent="0.35">
      <c r="A216">
        <v>215</v>
      </c>
      <c r="B216" s="1" t="s">
        <v>27</v>
      </c>
      <c r="C216">
        <v>2009</v>
      </c>
      <c r="D216" s="4">
        <v>5.3</v>
      </c>
      <c r="E216" s="5">
        <v>31357</v>
      </c>
      <c r="F216" s="1" t="s">
        <v>11</v>
      </c>
      <c r="G216" s="10">
        <v>83227.83</v>
      </c>
      <c r="H216" s="1" t="s">
        <v>28</v>
      </c>
      <c r="I216" t="s">
        <v>52</v>
      </c>
      <c r="J216" t="s">
        <v>22</v>
      </c>
    </row>
    <row r="217" spans="1:10" x14ac:dyDescent="0.35">
      <c r="A217">
        <v>216</v>
      </c>
      <c r="B217" s="1" t="s">
        <v>35</v>
      </c>
      <c r="C217">
        <v>2023</v>
      </c>
      <c r="D217" s="4">
        <v>5.4</v>
      </c>
      <c r="E217" s="5">
        <v>294458</v>
      </c>
      <c r="F217" s="1" t="s">
        <v>16</v>
      </c>
      <c r="G217" s="10">
        <v>19655.11</v>
      </c>
      <c r="H217" s="1" t="s">
        <v>45</v>
      </c>
      <c r="I217" t="s">
        <v>51</v>
      </c>
      <c r="J217" t="s">
        <v>22</v>
      </c>
    </row>
    <row r="218" spans="1:10" x14ac:dyDescent="0.35">
      <c r="A218">
        <v>217</v>
      </c>
      <c r="B218" s="1" t="s">
        <v>10</v>
      </c>
      <c r="C218">
        <v>2009</v>
      </c>
      <c r="D218" s="4">
        <v>3.3</v>
      </c>
      <c r="E218" s="5">
        <v>70283</v>
      </c>
      <c r="F218" s="1" t="s">
        <v>15</v>
      </c>
      <c r="G218" s="10">
        <v>36748.69</v>
      </c>
      <c r="H218" s="1" t="s">
        <v>17</v>
      </c>
      <c r="I218" t="s">
        <v>13</v>
      </c>
      <c r="J218" t="s">
        <v>14</v>
      </c>
    </row>
    <row r="219" spans="1:10" x14ac:dyDescent="0.35">
      <c r="A219">
        <v>218</v>
      </c>
      <c r="B219" s="1" t="s">
        <v>29</v>
      </c>
      <c r="C219">
        <v>2007</v>
      </c>
      <c r="D219" s="4">
        <v>1.4</v>
      </c>
      <c r="E219" s="5">
        <v>59567</v>
      </c>
      <c r="F219" s="1" t="s">
        <v>16</v>
      </c>
      <c r="G219" s="10">
        <v>54206.67</v>
      </c>
      <c r="H219" s="1" t="s">
        <v>31</v>
      </c>
      <c r="I219" t="s">
        <v>51</v>
      </c>
      <c r="J219" t="s">
        <v>14</v>
      </c>
    </row>
    <row r="220" spans="1:10" x14ac:dyDescent="0.35">
      <c r="A220">
        <v>219</v>
      </c>
      <c r="B220" s="1" t="s">
        <v>35</v>
      </c>
      <c r="C220">
        <v>2023</v>
      </c>
      <c r="D220" s="4">
        <v>2.9</v>
      </c>
      <c r="E220" s="5">
        <v>237778</v>
      </c>
      <c r="F220" s="1" t="s">
        <v>11</v>
      </c>
      <c r="G220" s="10">
        <v>26512.16</v>
      </c>
      <c r="H220" s="1" t="s">
        <v>36</v>
      </c>
      <c r="I220" t="s">
        <v>13</v>
      </c>
      <c r="J220" t="s">
        <v>14</v>
      </c>
    </row>
    <row r="221" spans="1:10" x14ac:dyDescent="0.35">
      <c r="A221">
        <v>220</v>
      </c>
      <c r="B221" s="1" t="s">
        <v>35</v>
      </c>
      <c r="C221">
        <v>2015</v>
      </c>
      <c r="D221" s="4">
        <v>5</v>
      </c>
      <c r="E221" s="5">
        <v>141758</v>
      </c>
      <c r="F221" s="1" t="s">
        <v>15</v>
      </c>
      <c r="G221" s="10">
        <v>60030.44</v>
      </c>
      <c r="H221" s="1" t="s">
        <v>36</v>
      </c>
      <c r="I221" t="s">
        <v>13</v>
      </c>
      <c r="J221" t="s">
        <v>22</v>
      </c>
    </row>
    <row r="222" spans="1:10" x14ac:dyDescent="0.35">
      <c r="A222">
        <v>221</v>
      </c>
      <c r="B222" s="1" t="s">
        <v>35</v>
      </c>
      <c r="C222">
        <v>2016</v>
      </c>
      <c r="D222" s="4">
        <v>5.5</v>
      </c>
      <c r="E222" s="5">
        <v>61606</v>
      </c>
      <c r="F222" s="1" t="s">
        <v>16</v>
      </c>
      <c r="G222" s="10">
        <v>59976.03</v>
      </c>
      <c r="H222" s="1" t="s">
        <v>50</v>
      </c>
      <c r="I222" t="s">
        <v>53</v>
      </c>
      <c r="J222" t="s">
        <v>22</v>
      </c>
    </row>
    <row r="223" spans="1:10" x14ac:dyDescent="0.35">
      <c r="A223">
        <v>222</v>
      </c>
      <c r="B223" s="1" t="s">
        <v>23</v>
      </c>
      <c r="C223">
        <v>2004</v>
      </c>
      <c r="D223" s="4">
        <v>2</v>
      </c>
      <c r="E223" s="5">
        <v>281035</v>
      </c>
      <c r="F223" s="1" t="s">
        <v>16</v>
      </c>
      <c r="G223" s="10">
        <v>24655.78</v>
      </c>
      <c r="H223" s="1" t="s">
        <v>42</v>
      </c>
      <c r="I223" t="s">
        <v>13</v>
      </c>
      <c r="J223" t="s">
        <v>14</v>
      </c>
    </row>
    <row r="224" spans="1:10" x14ac:dyDescent="0.35">
      <c r="A224">
        <v>223</v>
      </c>
      <c r="B224" s="1" t="s">
        <v>29</v>
      </c>
      <c r="C224">
        <v>2003</v>
      </c>
      <c r="D224" s="4">
        <v>1.3</v>
      </c>
      <c r="E224" s="5">
        <v>101732</v>
      </c>
      <c r="F224" s="1" t="s">
        <v>11</v>
      </c>
      <c r="G224" s="10">
        <v>80585.929999999993</v>
      </c>
      <c r="H224" s="1" t="s">
        <v>43</v>
      </c>
      <c r="I224" t="s">
        <v>13</v>
      </c>
      <c r="J224" t="s">
        <v>14</v>
      </c>
    </row>
    <row r="225" spans="1:10" x14ac:dyDescent="0.35">
      <c r="A225">
        <v>224</v>
      </c>
      <c r="B225" s="1" t="s">
        <v>35</v>
      </c>
      <c r="C225">
        <v>2017</v>
      </c>
      <c r="D225" s="4">
        <v>5.4</v>
      </c>
      <c r="E225" s="5">
        <v>191791</v>
      </c>
      <c r="F225" s="1" t="s">
        <v>15</v>
      </c>
      <c r="G225" s="10">
        <v>65006.23</v>
      </c>
      <c r="H225" s="1" t="s">
        <v>50</v>
      </c>
      <c r="I225" t="s">
        <v>52</v>
      </c>
      <c r="J225" t="s">
        <v>14</v>
      </c>
    </row>
    <row r="226" spans="1:10" x14ac:dyDescent="0.35">
      <c r="A226">
        <v>225</v>
      </c>
      <c r="B226" s="1" t="s">
        <v>27</v>
      </c>
      <c r="C226">
        <v>2023</v>
      </c>
      <c r="D226" s="4">
        <v>2.9</v>
      </c>
      <c r="E226" s="5">
        <v>292021</v>
      </c>
      <c r="F226" s="1" t="s">
        <v>11</v>
      </c>
      <c r="G226" s="10">
        <v>35187.25</v>
      </c>
      <c r="H226" s="1" t="s">
        <v>48</v>
      </c>
      <c r="I226" t="s">
        <v>53</v>
      </c>
      <c r="J226" t="s">
        <v>14</v>
      </c>
    </row>
    <row r="227" spans="1:10" x14ac:dyDescent="0.35">
      <c r="A227">
        <v>226</v>
      </c>
      <c r="B227" s="1" t="s">
        <v>25</v>
      </c>
      <c r="C227">
        <v>2018</v>
      </c>
      <c r="D227" s="4">
        <v>3.7</v>
      </c>
      <c r="E227" s="5">
        <v>249465</v>
      </c>
      <c r="F227" s="1" t="s">
        <v>15</v>
      </c>
      <c r="G227" s="10">
        <v>27057.55</v>
      </c>
      <c r="H227" s="1" t="s">
        <v>41</v>
      </c>
      <c r="I227" t="s">
        <v>52</v>
      </c>
      <c r="J227" t="s">
        <v>14</v>
      </c>
    </row>
    <row r="228" spans="1:10" x14ac:dyDescent="0.35">
      <c r="A228">
        <v>227</v>
      </c>
      <c r="B228" s="1" t="s">
        <v>35</v>
      </c>
      <c r="C228">
        <v>2003</v>
      </c>
      <c r="D228" s="4">
        <v>5.8</v>
      </c>
      <c r="E228" s="5">
        <v>224589</v>
      </c>
      <c r="F228" s="1" t="s">
        <v>15</v>
      </c>
      <c r="G228" s="10">
        <v>88481.26</v>
      </c>
      <c r="H228" s="1" t="s">
        <v>45</v>
      </c>
      <c r="I228" t="s">
        <v>52</v>
      </c>
      <c r="J228" t="s">
        <v>22</v>
      </c>
    </row>
    <row r="229" spans="1:10" x14ac:dyDescent="0.35">
      <c r="A229">
        <v>228</v>
      </c>
      <c r="B229" s="1" t="s">
        <v>23</v>
      </c>
      <c r="C229">
        <v>2006</v>
      </c>
      <c r="D229" s="4">
        <v>1.3</v>
      </c>
      <c r="E229" s="5">
        <v>14026</v>
      </c>
      <c r="F229" s="1" t="s">
        <v>16</v>
      </c>
      <c r="G229" s="10">
        <v>84395.51</v>
      </c>
      <c r="H229" s="1" t="s">
        <v>42</v>
      </c>
      <c r="I229" t="s">
        <v>51</v>
      </c>
      <c r="J229" t="s">
        <v>22</v>
      </c>
    </row>
    <row r="230" spans="1:10" x14ac:dyDescent="0.35">
      <c r="A230">
        <v>229</v>
      </c>
      <c r="B230" s="1" t="s">
        <v>10</v>
      </c>
      <c r="C230">
        <v>2009</v>
      </c>
      <c r="D230" s="4">
        <v>4.2</v>
      </c>
      <c r="E230" s="5">
        <v>282566</v>
      </c>
      <c r="F230" s="1" t="s">
        <v>11</v>
      </c>
      <c r="G230" s="10">
        <v>26827.26</v>
      </c>
      <c r="H230" s="1" t="s">
        <v>17</v>
      </c>
      <c r="I230" t="s">
        <v>13</v>
      </c>
      <c r="J230" t="s">
        <v>14</v>
      </c>
    </row>
    <row r="231" spans="1:10" x14ac:dyDescent="0.35">
      <c r="A231">
        <v>230</v>
      </c>
      <c r="B231" s="1" t="s">
        <v>29</v>
      </c>
      <c r="C231">
        <v>2017</v>
      </c>
      <c r="D231" s="4">
        <v>1.4</v>
      </c>
      <c r="E231" s="5">
        <v>295625</v>
      </c>
      <c r="F231" s="1" t="s">
        <v>11</v>
      </c>
      <c r="G231" s="10">
        <v>8382.5</v>
      </c>
      <c r="H231" s="1" t="s">
        <v>38</v>
      </c>
      <c r="I231" t="s">
        <v>51</v>
      </c>
      <c r="J231" t="s">
        <v>14</v>
      </c>
    </row>
    <row r="232" spans="1:10" x14ac:dyDescent="0.35">
      <c r="A232">
        <v>231</v>
      </c>
      <c r="B232" s="1" t="s">
        <v>23</v>
      </c>
      <c r="C232">
        <v>2018</v>
      </c>
      <c r="D232" s="4">
        <v>2.9</v>
      </c>
      <c r="E232" s="5">
        <v>109384</v>
      </c>
      <c r="F232" s="1" t="s">
        <v>11</v>
      </c>
      <c r="G232" s="10">
        <v>81430.600000000006</v>
      </c>
      <c r="H232" s="1" t="s">
        <v>24</v>
      </c>
      <c r="I232" t="s">
        <v>51</v>
      </c>
      <c r="J232" t="s">
        <v>22</v>
      </c>
    </row>
    <row r="233" spans="1:10" x14ac:dyDescent="0.35">
      <c r="A233">
        <v>232</v>
      </c>
      <c r="B233" s="1" t="s">
        <v>35</v>
      </c>
      <c r="C233">
        <v>2003</v>
      </c>
      <c r="D233" s="4">
        <v>5</v>
      </c>
      <c r="E233" s="5">
        <v>252771</v>
      </c>
      <c r="F233" s="1" t="s">
        <v>15</v>
      </c>
      <c r="G233" s="10">
        <v>63473.31</v>
      </c>
      <c r="H233" s="1" t="s">
        <v>45</v>
      </c>
      <c r="I233" t="s">
        <v>52</v>
      </c>
      <c r="J233" t="s">
        <v>14</v>
      </c>
    </row>
    <row r="234" spans="1:10" x14ac:dyDescent="0.35">
      <c r="A234">
        <v>233</v>
      </c>
      <c r="B234" s="1" t="s">
        <v>29</v>
      </c>
      <c r="C234">
        <v>2009</v>
      </c>
      <c r="D234" s="4">
        <v>3.2</v>
      </c>
      <c r="E234" s="5">
        <v>58031</v>
      </c>
      <c r="F234" s="1" t="s">
        <v>11</v>
      </c>
      <c r="G234" s="10">
        <v>14583.79</v>
      </c>
      <c r="H234" s="1" t="s">
        <v>31</v>
      </c>
      <c r="I234" t="s">
        <v>13</v>
      </c>
      <c r="J234" t="s">
        <v>22</v>
      </c>
    </row>
    <row r="235" spans="1:10" x14ac:dyDescent="0.35">
      <c r="A235">
        <v>234</v>
      </c>
      <c r="B235" s="1" t="s">
        <v>25</v>
      </c>
      <c r="C235">
        <v>2000</v>
      </c>
      <c r="D235" s="4">
        <v>6</v>
      </c>
      <c r="E235" s="5">
        <v>68232</v>
      </c>
      <c r="F235" s="1" t="s">
        <v>15</v>
      </c>
      <c r="G235" s="10">
        <v>60799.03</v>
      </c>
      <c r="H235" s="1" t="s">
        <v>49</v>
      </c>
      <c r="I235" t="s">
        <v>53</v>
      </c>
      <c r="J235" t="s">
        <v>22</v>
      </c>
    </row>
    <row r="236" spans="1:10" x14ac:dyDescent="0.35">
      <c r="A236">
        <v>235</v>
      </c>
      <c r="B236" s="1" t="s">
        <v>35</v>
      </c>
      <c r="C236">
        <v>2022</v>
      </c>
      <c r="D236" s="4">
        <v>3.8</v>
      </c>
      <c r="E236" s="5">
        <v>143084</v>
      </c>
      <c r="F236" s="1" t="s">
        <v>11</v>
      </c>
      <c r="G236" s="10">
        <v>47957.36</v>
      </c>
      <c r="H236" s="1" t="s">
        <v>47</v>
      </c>
      <c r="I236" t="s">
        <v>13</v>
      </c>
      <c r="J236" t="s">
        <v>22</v>
      </c>
    </row>
    <row r="237" spans="1:10" x14ac:dyDescent="0.35">
      <c r="A237">
        <v>236</v>
      </c>
      <c r="B237" s="1" t="s">
        <v>23</v>
      </c>
      <c r="C237">
        <v>2017</v>
      </c>
      <c r="D237" s="4">
        <v>2.6</v>
      </c>
      <c r="E237" s="5">
        <v>236503</v>
      </c>
      <c r="F237" s="1" t="s">
        <v>11</v>
      </c>
      <c r="G237" s="10">
        <v>78582.28</v>
      </c>
      <c r="H237" s="1" t="s">
        <v>34</v>
      </c>
      <c r="I237" t="s">
        <v>52</v>
      </c>
      <c r="J237" t="s">
        <v>22</v>
      </c>
    </row>
    <row r="238" spans="1:10" x14ac:dyDescent="0.35">
      <c r="A238">
        <v>237</v>
      </c>
      <c r="B238" s="1" t="s">
        <v>20</v>
      </c>
      <c r="C238">
        <v>2004</v>
      </c>
      <c r="D238" s="4">
        <v>2.1</v>
      </c>
      <c r="E238" s="5">
        <v>292104</v>
      </c>
      <c r="F238" s="1" t="s">
        <v>16</v>
      </c>
      <c r="G238" s="10">
        <v>24863.06</v>
      </c>
      <c r="H238" s="1" t="s">
        <v>46</v>
      </c>
      <c r="I238" t="s">
        <v>52</v>
      </c>
      <c r="J238" t="s">
        <v>14</v>
      </c>
    </row>
    <row r="239" spans="1:10" x14ac:dyDescent="0.35">
      <c r="A239">
        <v>238</v>
      </c>
      <c r="B239" s="1" t="s">
        <v>27</v>
      </c>
      <c r="C239">
        <v>2014</v>
      </c>
      <c r="D239" s="4">
        <v>2.8</v>
      </c>
      <c r="E239" s="5">
        <v>87695</v>
      </c>
      <c r="F239" s="1" t="s">
        <v>11</v>
      </c>
      <c r="G239" s="10">
        <v>48049.89</v>
      </c>
      <c r="H239" s="1" t="s">
        <v>48</v>
      </c>
      <c r="I239" t="s">
        <v>52</v>
      </c>
      <c r="J239" t="s">
        <v>14</v>
      </c>
    </row>
    <row r="240" spans="1:10" x14ac:dyDescent="0.35">
      <c r="A240">
        <v>239</v>
      </c>
      <c r="B240" s="1" t="s">
        <v>10</v>
      </c>
      <c r="C240">
        <v>2016</v>
      </c>
      <c r="D240" s="4">
        <v>2.9</v>
      </c>
      <c r="E240" s="5">
        <v>130066</v>
      </c>
      <c r="F240" s="1" t="s">
        <v>16</v>
      </c>
      <c r="G240" s="10">
        <v>19843.189999999999</v>
      </c>
      <c r="H240" s="1" t="s">
        <v>12</v>
      </c>
      <c r="I240" t="s">
        <v>13</v>
      </c>
      <c r="J240" t="s">
        <v>14</v>
      </c>
    </row>
    <row r="241" spans="1:10" x14ac:dyDescent="0.35">
      <c r="A241">
        <v>240</v>
      </c>
      <c r="B241" s="1" t="s">
        <v>23</v>
      </c>
      <c r="C241">
        <v>2002</v>
      </c>
      <c r="D241" s="4">
        <v>1.3</v>
      </c>
      <c r="E241" s="5">
        <v>138982</v>
      </c>
      <c r="F241" s="1" t="s">
        <v>16</v>
      </c>
      <c r="G241" s="10">
        <v>95965.09</v>
      </c>
      <c r="H241" s="1" t="s">
        <v>42</v>
      </c>
      <c r="I241" t="s">
        <v>52</v>
      </c>
      <c r="J241" t="s">
        <v>14</v>
      </c>
    </row>
    <row r="242" spans="1:10" x14ac:dyDescent="0.35">
      <c r="A242">
        <v>241</v>
      </c>
      <c r="B242" s="1" t="s">
        <v>29</v>
      </c>
      <c r="C242">
        <v>2011</v>
      </c>
      <c r="D242" s="4">
        <v>2.8</v>
      </c>
      <c r="E242" s="5">
        <v>264837</v>
      </c>
      <c r="F242" s="1" t="s">
        <v>15</v>
      </c>
      <c r="G242" s="10">
        <v>78980.12</v>
      </c>
      <c r="H242" s="1" t="s">
        <v>43</v>
      </c>
      <c r="I242" t="s">
        <v>52</v>
      </c>
      <c r="J242" t="s">
        <v>14</v>
      </c>
    </row>
    <row r="243" spans="1:10" x14ac:dyDescent="0.35">
      <c r="A243">
        <v>242</v>
      </c>
      <c r="B243" s="1" t="s">
        <v>35</v>
      </c>
      <c r="C243">
        <v>2001</v>
      </c>
      <c r="D243" s="4">
        <v>3.3</v>
      </c>
      <c r="E243" s="5">
        <v>115313</v>
      </c>
      <c r="F243" s="1" t="s">
        <v>11</v>
      </c>
      <c r="G243" s="10">
        <v>74988.63</v>
      </c>
      <c r="H243" s="1" t="s">
        <v>45</v>
      </c>
      <c r="I243" t="s">
        <v>13</v>
      </c>
      <c r="J243" t="s">
        <v>14</v>
      </c>
    </row>
    <row r="244" spans="1:10" x14ac:dyDescent="0.35">
      <c r="A244">
        <v>243</v>
      </c>
      <c r="B244" s="1" t="s">
        <v>27</v>
      </c>
      <c r="C244">
        <v>2000</v>
      </c>
      <c r="D244" s="4">
        <v>4.5999999999999996</v>
      </c>
      <c r="E244" s="5">
        <v>28810</v>
      </c>
      <c r="F244" s="1" t="s">
        <v>11</v>
      </c>
      <c r="G244" s="10">
        <v>70569.63</v>
      </c>
      <c r="H244" s="1" t="s">
        <v>37</v>
      </c>
      <c r="I244" t="s">
        <v>51</v>
      </c>
      <c r="J244" t="s">
        <v>14</v>
      </c>
    </row>
    <row r="245" spans="1:10" x14ac:dyDescent="0.35">
      <c r="A245">
        <v>244</v>
      </c>
      <c r="B245" s="1" t="s">
        <v>35</v>
      </c>
      <c r="C245">
        <v>2022</v>
      </c>
      <c r="D245" s="4">
        <v>4.3</v>
      </c>
      <c r="E245" s="5">
        <v>20092</v>
      </c>
      <c r="F245" s="1" t="s">
        <v>11</v>
      </c>
      <c r="G245" s="10">
        <v>45216.959999999999</v>
      </c>
      <c r="H245" s="1" t="s">
        <v>36</v>
      </c>
      <c r="I245" t="s">
        <v>13</v>
      </c>
      <c r="J245" t="s">
        <v>22</v>
      </c>
    </row>
    <row r="246" spans="1:10" x14ac:dyDescent="0.35">
      <c r="A246">
        <v>245</v>
      </c>
      <c r="B246" s="1" t="s">
        <v>29</v>
      </c>
      <c r="C246">
        <v>2020</v>
      </c>
      <c r="D246" s="4">
        <v>4.5</v>
      </c>
      <c r="E246" s="5">
        <v>58105</v>
      </c>
      <c r="F246" s="1" t="s">
        <v>16</v>
      </c>
      <c r="G246" s="10">
        <v>92711.83</v>
      </c>
      <c r="H246" s="1" t="s">
        <v>31</v>
      </c>
      <c r="I246" t="s">
        <v>53</v>
      </c>
      <c r="J246" t="s">
        <v>14</v>
      </c>
    </row>
    <row r="247" spans="1:10" x14ac:dyDescent="0.35">
      <c r="A247">
        <v>246</v>
      </c>
      <c r="B247" s="1" t="s">
        <v>35</v>
      </c>
      <c r="C247">
        <v>2016</v>
      </c>
      <c r="D247" s="4">
        <v>1</v>
      </c>
      <c r="E247" s="5">
        <v>161577</v>
      </c>
      <c r="F247" s="1" t="s">
        <v>11</v>
      </c>
      <c r="G247" s="10">
        <v>11927.12</v>
      </c>
      <c r="H247" s="1" t="s">
        <v>50</v>
      </c>
      <c r="I247" t="s">
        <v>13</v>
      </c>
      <c r="J247" t="s">
        <v>22</v>
      </c>
    </row>
    <row r="248" spans="1:10" x14ac:dyDescent="0.35">
      <c r="A248">
        <v>247</v>
      </c>
      <c r="B248" s="1" t="s">
        <v>20</v>
      </c>
      <c r="C248">
        <v>2021</v>
      </c>
      <c r="D248" s="4">
        <v>2.1</v>
      </c>
      <c r="E248" s="5">
        <v>204300</v>
      </c>
      <c r="F248" s="1" t="s">
        <v>15</v>
      </c>
      <c r="G248" s="10">
        <v>81309.61</v>
      </c>
      <c r="H248" s="1" t="s">
        <v>21</v>
      </c>
      <c r="I248" t="s">
        <v>52</v>
      </c>
      <c r="J248" t="s">
        <v>22</v>
      </c>
    </row>
    <row r="249" spans="1:10" x14ac:dyDescent="0.35">
      <c r="A249">
        <v>248</v>
      </c>
      <c r="B249" s="1" t="s">
        <v>27</v>
      </c>
      <c r="C249">
        <v>2015</v>
      </c>
      <c r="D249" s="4">
        <v>4.3</v>
      </c>
      <c r="E249" s="5">
        <v>290699</v>
      </c>
      <c r="F249" s="1" t="s">
        <v>15</v>
      </c>
      <c r="G249" s="10">
        <v>25447.11</v>
      </c>
      <c r="H249" s="1" t="s">
        <v>37</v>
      </c>
      <c r="I249" t="s">
        <v>13</v>
      </c>
      <c r="J249" t="s">
        <v>14</v>
      </c>
    </row>
    <row r="250" spans="1:10" x14ac:dyDescent="0.35">
      <c r="A250">
        <v>249</v>
      </c>
      <c r="B250" s="1" t="s">
        <v>27</v>
      </c>
      <c r="C250">
        <v>2004</v>
      </c>
      <c r="D250" s="4">
        <v>3.4</v>
      </c>
      <c r="E250" s="5">
        <v>71934</v>
      </c>
      <c r="F250" s="1" t="s">
        <v>11</v>
      </c>
      <c r="G250" s="10">
        <v>35782.660000000003</v>
      </c>
      <c r="H250" s="1" t="s">
        <v>48</v>
      </c>
      <c r="I250" t="s">
        <v>51</v>
      </c>
      <c r="J250" t="s">
        <v>22</v>
      </c>
    </row>
    <row r="251" spans="1:10" x14ac:dyDescent="0.35">
      <c r="A251">
        <v>250</v>
      </c>
      <c r="B251" s="1" t="s">
        <v>29</v>
      </c>
      <c r="C251">
        <v>2014</v>
      </c>
      <c r="D251" s="4">
        <v>1</v>
      </c>
      <c r="E251" s="5">
        <v>72788</v>
      </c>
      <c r="F251" s="1" t="s">
        <v>16</v>
      </c>
      <c r="G251" s="10">
        <v>54345.82</v>
      </c>
      <c r="H251" s="1" t="s">
        <v>43</v>
      </c>
      <c r="I251" t="s">
        <v>53</v>
      </c>
      <c r="J251" t="s">
        <v>14</v>
      </c>
    </row>
    <row r="252" spans="1:10" x14ac:dyDescent="0.35">
      <c r="A252">
        <v>251</v>
      </c>
      <c r="B252" s="1" t="s">
        <v>10</v>
      </c>
      <c r="C252">
        <v>2002</v>
      </c>
      <c r="D252" s="4">
        <v>5</v>
      </c>
      <c r="E252" s="5">
        <v>280083</v>
      </c>
      <c r="F252" s="1" t="s">
        <v>15</v>
      </c>
      <c r="G252" s="10">
        <v>79352.23</v>
      </c>
      <c r="H252" s="1" t="s">
        <v>19</v>
      </c>
      <c r="I252" t="s">
        <v>13</v>
      </c>
      <c r="J252" t="s">
        <v>14</v>
      </c>
    </row>
    <row r="253" spans="1:10" x14ac:dyDescent="0.35">
      <c r="A253">
        <v>252</v>
      </c>
      <c r="B253" s="1" t="s">
        <v>20</v>
      </c>
      <c r="C253">
        <v>2006</v>
      </c>
      <c r="D253" s="4">
        <v>4.9000000000000004</v>
      </c>
      <c r="E253" s="5">
        <v>155223</v>
      </c>
      <c r="F253" s="1" t="s">
        <v>15</v>
      </c>
      <c r="G253" s="10">
        <v>84660.82</v>
      </c>
      <c r="H253" s="1" t="s">
        <v>33</v>
      </c>
      <c r="I253" t="s">
        <v>51</v>
      </c>
      <c r="J253" t="s">
        <v>22</v>
      </c>
    </row>
    <row r="254" spans="1:10" x14ac:dyDescent="0.35">
      <c r="A254">
        <v>253</v>
      </c>
      <c r="B254" s="1" t="s">
        <v>23</v>
      </c>
      <c r="C254">
        <v>2010</v>
      </c>
      <c r="D254" s="4">
        <v>3.7</v>
      </c>
      <c r="E254" s="5">
        <v>128068</v>
      </c>
      <c r="F254" s="1" t="s">
        <v>16</v>
      </c>
      <c r="G254" s="10">
        <v>60454.559999999998</v>
      </c>
      <c r="H254" s="1" t="s">
        <v>24</v>
      </c>
      <c r="I254" t="s">
        <v>13</v>
      </c>
      <c r="J254" t="s">
        <v>14</v>
      </c>
    </row>
    <row r="255" spans="1:10" x14ac:dyDescent="0.35">
      <c r="A255">
        <v>254</v>
      </c>
      <c r="B255" s="1" t="s">
        <v>35</v>
      </c>
      <c r="C255">
        <v>2009</v>
      </c>
      <c r="D255" s="4">
        <v>1.3</v>
      </c>
      <c r="E255" s="5">
        <v>36</v>
      </c>
      <c r="F255" s="1" t="s">
        <v>15</v>
      </c>
      <c r="G255" s="10">
        <v>43288.37</v>
      </c>
      <c r="H255" s="1" t="s">
        <v>47</v>
      </c>
      <c r="I255" t="s">
        <v>53</v>
      </c>
      <c r="J255" t="s">
        <v>22</v>
      </c>
    </row>
    <row r="256" spans="1:10" x14ac:dyDescent="0.35">
      <c r="A256">
        <v>255</v>
      </c>
      <c r="B256" s="1" t="s">
        <v>25</v>
      </c>
      <c r="C256">
        <v>2008</v>
      </c>
      <c r="D256" s="4">
        <v>4.8</v>
      </c>
      <c r="E256" s="5">
        <v>39051</v>
      </c>
      <c r="F256" s="1" t="s">
        <v>16</v>
      </c>
      <c r="G256" s="10">
        <v>94917.73</v>
      </c>
      <c r="H256" s="1" t="s">
        <v>44</v>
      </c>
      <c r="I256" t="s">
        <v>13</v>
      </c>
      <c r="J256" t="s">
        <v>22</v>
      </c>
    </row>
    <row r="257" spans="1:10" x14ac:dyDescent="0.35">
      <c r="A257">
        <v>256</v>
      </c>
      <c r="B257" s="1" t="s">
        <v>35</v>
      </c>
      <c r="C257">
        <v>2013</v>
      </c>
      <c r="D257" s="4">
        <v>3.9</v>
      </c>
      <c r="E257" s="5">
        <v>80738</v>
      </c>
      <c r="F257" s="1" t="s">
        <v>15</v>
      </c>
      <c r="G257" s="10">
        <v>28419.52</v>
      </c>
      <c r="H257" s="1" t="s">
        <v>47</v>
      </c>
      <c r="I257" t="s">
        <v>52</v>
      </c>
      <c r="J257" t="s">
        <v>14</v>
      </c>
    </row>
    <row r="258" spans="1:10" x14ac:dyDescent="0.35">
      <c r="A258">
        <v>257</v>
      </c>
      <c r="B258" s="1" t="s">
        <v>35</v>
      </c>
      <c r="C258">
        <v>2012</v>
      </c>
      <c r="D258" s="4">
        <v>4.9000000000000004</v>
      </c>
      <c r="E258" s="5">
        <v>60071</v>
      </c>
      <c r="F258" s="1" t="s">
        <v>16</v>
      </c>
      <c r="G258" s="10">
        <v>81293.98</v>
      </c>
      <c r="H258" s="1" t="s">
        <v>47</v>
      </c>
      <c r="I258" t="s">
        <v>13</v>
      </c>
      <c r="J258" t="s">
        <v>14</v>
      </c>
    </row>
    <row r="259" spans="1:10" x14ac:dyDescent="0.35">
      <c r="A259">
        <v>258</v>
      </c>
      <c r="B259" s="1" t="s">
        <v>23</v>
      </c>
      <c r="C259">
        <v>2001</v>
      </c>
      <c r="D259" s="4">
        <v>4.8</v>
      </c>
      <c r="E259" s="5">
        <v>130613</v>
      </c>
      <c r="F259" s="1" t="s">
        <v>15</v>
      </c>
      <c r="G259" s="10">
        <v>63144.71</v>
      </c>
      <c r="H259" s="1" t="s">
        <v>34</v>
      </c>
      <c r="I259" t="s">
        <v>51</v>
      </c>
      <c r="J259" t="s">
        <v>14</v>
      </c>
    </row>
    <row r="260" spans="1:10" x14ac:dyDescent="0.35">
      <c r="A260">
        <v>259</v>
      </c>
      <c r="B260" s="1" t="s">
        <v>35</v>
      </c>
      <c r="C260">
        <v>2002</v>
      </c>
      <c r="D260" s="4">
        <v>5</v>
      </c>
      <c r="E260" s="5">
        <v>73601</v>
      </c>
      <c r="F260" s="1" t="s">
        <v>11</v>
      </c>
      <c r="G260" s="10">
        <v>40805.03</v>
      </c>
      <c r="H260" s="1" t="s">
        <v>47</v>
      </c>
      <c r="I260" t="s">
        <v>13</v>
      </c>
      <c r="J260" t="s">
        <v>22</v>
      </c>
    </row>
    <row r="261" spans="1:10" x14ac:dyDescent="0.35">
      <c r="A261">
        <v>260</v>
      </c>
      <c r="B261" s="1" t="s">
        <v>20</v>
      </c>
      <c r="C261">
        <v>2006</v>
      </c>
      <c r="D261" s="4">
        <v>3.6</v>
      </c>
      <c r="E261" s="5">
        <v>29873</v>
      </c>
      <c r="F261" s="1" t="s">
        <v>15</v>
      </c>
      <c r="G261" s="10">
        <v>5129.96</v>
      </c>
      <c r="H261" s="1" t="s">
        <v>21</v>
      </c>
      <c r="I261" t="s">
        <v>51</v>
      </c>
      <c r="J261" t="s">
        <v>14</v>
      </c>
    </row>
    <row r="262" spans="1:10" x14ac:dyDescent="0.35">
      <c r="A262">
        <v>261</v>
      </c>
      <c r="B262" s="1" t="s">
        <v>20</v>
      </c>
      <c r="C262">
        <v>2020</v>
      </c>
      <c r="D262" s="4">
        <v>1.7</v>
      </c>
      <c r="E262" s="5">
        <v>167720</v>
      </c>
      <c r="F262" s="1" t="s">
        <v>15</v>
      </c>
      <c r="G262" s="10">
        <v>47426.93</v>
      </c>
      <c r="H262" s="1" t="s">
        <v>46</v>
      </c>
      <c r="I262" t="s">
        <v>53</v>
      </c>
      <c r="J262" t="s">
        <v>22</v>
      </c>
    </row>
    <row r="263" spans="1:10" x14ac:dyDescent="0.35">
      <c r="A263">
        <v>262</v>
      </c>
      <c r="B263" s="1" t="s">
        <v>27</v>
      </c>
      <c r="C263">
        <v>2017</v>
      </c>
      <c r="D263" s="4">
        <v>4.4000000000000004</v>
      </c>
      <c r="E263" s="5">
        <v>71468</v>
      </c>
      <c r="F263" s="1" t="s">
        <v>11</v>
      </c>
      <c r="G263" s="10">
        <v>31288.400000000001</v>
      </c>
      <c r="H263" s="1" t="s">
        <v>48</v>
      </c>
      <c r="I263" t="s">
        <v>13</v>
      </c>
      <c r="J263" t="s">
        <v>22</v>
      </c>
    </row>
    <row r="264" spans="1:10" x14ac:dyDescent="0.35">
      <c r="A264">
        <v>263</v>
      </c>
      <c r="B264" s="1" t="s">
        <v>29</v>
      </c>
      <c r="C264">
        <v>2002</v>
      </c>
      <c r="D264" s="4">
        <v>4.0999999999999996</v>
      </c>
      <c r="E264" s="5">
        <v>288614</v>
      </c>
      <c r="F264" s="1" t="s">
        <v>11</v>
      </c>
      <c r="G264" s="10">
        <v>14912.93</v>
      </c>
      <c r="H264" s="1" t="s">
        <v>30</v>
      </c>
      <c r="I264" t="s">
        <v>53</v>
      </c>
      <c r="J264" t="s">
        <v>14</v>
      </c>
    </row>
    <row r="265" spans="1:10" x14ac:dyDescent="0.35">
      <c r="A265">
        <v>264</v>
      </c>
      <c r="B265" s="1" t="s">
        <v>10</v>
      </c>
      <c r="C265">
        <v>2009</v>
      </c>
      <c r="D265" s="4">
        <v>4.7</v>
      </c>
      <c r="E265" s="5">
        <v>196201</v>
      </c>
      <c r="F265" s="1" t="s">
        <v>11</v>
      </c>
      <c r="G265" s="10">
        <v>12140.06</v>
      </c>
      <c r="H265" s="1" t="s">
        <v>18</v>
      </c>
      <c r="I265" t="s">
        <v>13</v>
      </c>
      <c r="J265" t="s">
        <v>14</v>
      </c>
    </row>
    <row r="266" spans="1:10" x14ac:dyDescent="0.35">
      <c r="A266">
        <v>265</v>
      </c>
      <c r="B266" s="1" t="s">
        <v>25</v>
      </c>
      <c r="C266">
        <v>2021</v>
      </c>
      <c r="D266" s="4">
        <v>1.8</v>
      </c>
      <c r="E266" s="5">
        <v>8328</v>
      </c>
      <c r="F266" s="1" t="s">
        <v>11</v>
      </c>
      <c r="G266" s="10">
        <v>38018.04</v>
      </c>
      <c r="H266" s="1" t="s">
        <v>49</v>
      </c>
      <c r="I266" t="s">
        <v>13</v>
      </c>
      <c r="J266" t="s">
        <v>14</v>
      </c>
    </row>
    <row r="267" spans="1:10" x14ac:dyDescent="0.35">
      <c r="A267">
        <v>266</v>
      </c>
      <c r="B267" s="1" t="s">
        <v>35</v>
      </c>
      <c r="C267">
        <v>2006</v>
      </c>
      <c r="D267" s="4">
        <v>2</v>
      </c>
      <c r="E267" s="5">
        <v>137405</v>
      </c>
      <c r="F267" s="1" t="s">
        <v>16</v>
      </c>
      <c r="G267" s="10">
        <v>63401.95</v>
      </c>
      <c r="H267" s="1" t="s">
        <v>47</v>
      </c>
      <c r="I267" t="s">
        <v>51</v>
      </c>
      <c r="J267" t="s">
        <v>22</v>
      </c>
    </row>
    <row r="268" spans="1:10" x14ac:dyDescent="0.35">
      <c r="A268">
        <v>267</v>
      </c>
      <c r="B268" s="1" t="s">
        <v>35</v>
      </c>
      <c r="C268">
        <v>2008</v>
      </c>
      <c r="D268" s="4">
        <v>5.5</v>
      </c>
      <c r="E268" s="5">
        <v>251519</v>
      </c>
      <c r="F268" s="1" t="s">
        <v>16</v>
      </c>
      <c r="G268" s="10">
        <v>84564.33</v>
      </c>
      <c r="H268" s="1" t="s">
        <v>36</v>
      </c>
      <c r="I268" t="s">
        <v>53</v>
      </c>
      <c r="J268" t="s">
        <v>14</v>
      </c>
    </row>
    <row r="269" spans="1:10" x14ac:dyDescent="0.35">
      <c r="A269">
        <v>268</v>
      </c>
      <c r="B269" s="1" t="s">
        <v>23</v>
      </c>
      <c r="C269">
        <v>2016</v>
      </c>
      <c r="D269" s="4">
        <v>4.7</v>
      </c>
      <c r="E269" s="5">
        <v>121173</v>
      </c>
      <c r="F269" s="1" t="s">
        <v>15</v>
      </c>
      <c r="G269" s="10">
        <v>22438.51</v>
      </c>
      <c r="H269" s="1" t="s">
        <v>34</v>
      </c>
      <c r="I269" t="s">
        <v>53</v>
      </c>
      <c r="J269" t="s">
        <v>22</v>
      </c>
    </row>
    <row r="270" spans="1:10" x14ac:dyDescent="0.35">
      <c r="A270">
        <v>269</v>
      </c>
      <c r="B270" s="1" t="s">
        <v>29</v>
      </c>
      <c r="C270">
        <v>2010</v>
      </c>
      <c r="D270" s="4">
        <v>5.5</v>
      </c>
      <c r="E270" s="5">
        <v>46638</v>
      </c>
      <c r="F270" s="1" t="s">
        <v>15</v>
      </c>
      <c r="G270" s="10">
        <v>45341.18</v>
      </c>
      <c r="H270" s="1" t="s">
        <v>38</v>
      </c>
      <c r="I270" t="s">
        <v>13</v>
      </c>
      <c r="J270" t="s">
        <v>14</v>
      </c>
    </row>
    <row r="271" spans="1:10" x14ac:dyDescent="0.35">
      <c r="A271">
        <v>270</v>
      </c>
      <c r="B271" s="1" t="s">
        <v>20</v>
      </c>
      <c r="C271">
        <v>2006</v>
      </c>
      <c r="D271" s="4">
        <v>4.8</v>
      </c>
      <c r="E271" s="5">
        <v>273412</v>
      </c>
      <c r="F271" s="1" t="s">
        <v>15</v>
      </c>
      <c r="G271" s="10">
        <v>42235.83</v>
      </c>
      <c r="H271" s="1" t="s">
        <v>39</v>
      </c>
      <c r="I271" t="s">
        <v>13</v>
      </c>
      <c r="J271" t="s">
        <v>14</v>
      </c>
    </row>
    <row r="272" spans="1:10" x14ac:dyDescent="0.35">
      <c r="A272">
        <v>271</v>
      </c>
      <c r="B272" s="1" t="s">
        <v>25</v>
      </c>
      <c r="C272">
        <v>2023</v>
      </c>
      <c r="D272" s="4">
        <v>4</v>
      </c>
      <c r="E272" s="5">
        <v>201675</v>
      </c>
      <c r="F272" s="1" t="s">
        <v>16</v>
      </c>
      <c r="G272" s="10">
        <v>53772.43</v>
      </c>
      <c r="H272" s="1" t="s">
        <v>41</v>
      </c>
      <c r="I272" t="s">
        <v>13</v>
      </c>
      <c r="J272" t="s">
        <v>22</v>
      </c>
    </row>
    <row r="273" spans="1:10" x14ac:dyDescent="0.35">
      <c r="A273">
        <v>272</v>
      </c>
      <c r="B273" s="1" t="s">
        <v>27</v>
      </c>
      <c r="C273">
        <v>2013</v>
      </c>
      <c r="D273" s="4">
        <v>4.3</v>
      </c>
      <c r="E273" s="5">
        <v>113920</v>
      </c>
      <c r="F273" s="1" t="s">
        <v>15</v>
      </c>
      <c r="G273" s="10">
        <v>81910.789999999994</v>
      </c>
      <c r="H273" s="1" t="s">
        <v>28</v>
      </c>
      <c r="I273" t="s">
        <v>13</v>
      </c>
      <c r="J273" t="s">
        <v>14</v>
      </c>
    </row>
    <row r="274" spans="1:10" x14ac:dyDescent="0.35">
      <c r="A274">
        <v>273</v>
      </c>
      <c r="B274" s="1" t="s">
        <v>20</v>
      </c>
      <c r="C274">
        <v>2018</v>
      </c>
      <c r="D274" s="4">
        <v>5.4</v>
      </c>
      <c r="E274" s="5">
        <v>171813</v>
      </c>
      <c r="F274" s="1" t="s">
        <v>15</v>
      </c>
      <c r="G274" s="10">
        <v>57596.3</v>
      </c>
      <c r="H274" s="1" t="s">
        <v>33</v>
      </c>
      <c r="I274" t="s">
        <v>13</v>
      </c>
      <c r="J274" t="s">
        <v>14</v>
      </c>
    </row>
    <row r="275" spans="1:10" x14ac:dyDescent="0.35">
      <c r="A275">
        <v>274</v>
      </c>
      <c r="B275" s="1" t="s">
        <v>29</v>
      </c>
      <c r="C275">
        <v>2003</v>
      </c>
      <c r="D275" s="4">
        <v>3.9</v>
      </c>
      <c r="E275" s="5">
        <v>7887</v>
      </c>
      <c r="F275" s="1" t="s">
        <v>16</v>
      </c>
      <c r="G275" s="10">
        <v>85432.22</v>
      </c>
      <c r="H275" s="1" t="s">
        <v>30</v>
      </c>
      <c r="I275" t="s">
        <v>52</v>
      </c>
      <c r="J275" t="s">
        <v>14</v>
      </c>
    </row>
    <row r="276" spans="1:10" x14ac:dyDescent="0.35">
      <c r="A276">
        <v>275</v>
      </c>
      <c r="B276" s="1" t="s">
        <v>10</v>
      </c>
      <c r="C276">
        <v>2005</v>
      </c>
      <c r="D276" s="4">
        <v>4.2</v>
      </c>
      <c r="E276" s="5">
        <v>228978</v>
      </c>
      <c r="F276" s="1" t="s">
        <v>15</v>
      </c>
      <c r="G276" s="10">
        <v>54262.42</v>
      </c>
      <c r="H276" s="1" t="s">
        <v>19</v>
      </c>
      <c r="I276" t="s">
        <v>13</v>
      </c>
      <c r="J276" t="s">
        <v>14</v>
      </c>
    </row>
    <row r="277" spans="1:10" x14ac:dyDescent="0.35">
      <c r="A277">
        <v>276</v>
      </c>
      <c r="B277" s="1" t="s">
        <v>27</v>
      </c>
      <c r="C277">
        <v>2009</v>
      </c>
      <c r="D277" s="4">
        <v>1.8</v>
      </c>
      <c r="E277" s="5">
        <v>24918</v>
      </c>
      <c r="F277" s="1" t="s">
        <v>16</v>
      </c>
      <c r="G277" s="10">
        <v>62365.5</v>
      </c>
      <c r="H277" s="1" t="s">
        <v>28</v>
      </c>
      <c r="I277" t="s">
        <v>51</v>
      </c>
      <c r="J277" t="s">
        <v>14</v>
      </c>
    </row>
    <row r="278" spans="1:10" x14ac:dyDescent="0.35">
      <c r="A278">
        <v>277</v>
      </c>
      <c r="B278" s="1" t="s">
        <v>10</v>
      </c>
      <c r="C278">
        <v>2006</v>
      </c>
      <c r="D278" s="4">
        <v>3.4</v>
      </c>
      <c r="E278" s="5">
        <v>297641</v>
      </c>
      <c r="F278" s="1" t="s">
        <v>16</v>
      </c>
      <c r="G278" s="10">
        <v>46551.41</v>
      </c>
      <c r="H278" s="1" t="s">
        <v>12</v>
      </c>
      <c r="I278" t="s">
        <v>13</v>
      </c>
      <c r="J278" t="s">
        <v>14</v>
      </c>
    </row>
    <row r="279" spans="1:10" x14ac:dyDescent="0.35">
      <c r="A279">
        <v>278</v>
      </c>
      <c r="B279" s="1" t="s">
        <v>23</v>
      </c>
      <c r="C279">
        <v>2012</v>
      </c>
      <c r="D279" s="4">
        <v>4.5999999999999996</v>
      </c>
      <c r="E279" s="5">
        <v>192081</v>
      </c>
      <c r="F279" s="1" t="s">
        <v>11</v>
      </c>
      <c r="G279" s="10">
        <v>83194.080000000002</v>
      </c>
      <c r="H279" s="1" t="s">
        <v>42</v>
      </c>
      <c r="I279" t="s">
        <v>51</v>
      </c>
      <c r="J279" t="s">
        <v>22</v>
      </c>
    </row>
    <row r="280" spans="1:10" x14ac:dyDescent="0.35">
      <c r="A280">
        <v>279</v>
      </c>
      <c r="B280" s="1" t="s">
        <v>23</v>
      </c>
      <c r="C280">
        <v>2013</v>
      </c>
      <c r="D280" s="4">
        <v>2.4</v>
      </c>
      <c r="E280" s="5">
        <v>274073</v>
      </c>
      <c r="F280" s="1" t="s">
        <v>11</v>
      </c>
      <c r="G280" s="10">
        <v>92763.58</v>
      </c>
      <c r="H280" s="1" t="s">
        <v>24</v>
      </c>
      <c r="I280" t="s">
        <v>51</v>
      </c>
      <c r="J280" t="s">
        <v>22</v>
      </c>
    </row>
    <row r="281" spans="1:10" x14ac:dyDescent="0.35">
      <c r="A281">
        <v>280</v>
      </c>
      <c r="B281" s="1" t="s">
        <v>35</v>
      </c>
      <c r="C281">
        <v>2003</v>
      </c>
      <c r="D281" s="4">
        <v>2</v>
      </c>
      <c r="E281" s="5">
        <v>102201</v>
      </c>
      <c r="F281" s="1" t="s">
        <v>16</v>
      </c>
      <c r="G281" s="10">
        <v>65718.75</v>
      </c>
      <c r="H281" s="1" t="s">
        <v>45</v>
      </c>
      <c r="I281" t="s">
        <v>52</v>
      </c>
      <c r="J281" t="s">
        <v>22</v>
      </c>
    </row>
    <row r="282" spans="1:10" x14ac:dyDescent="0.35">
      <c r="A282">
        <v>281</v>
      </c>
      <c r="B282" s="1" t="s">
        <v>10</v>
      </c>
      <c r="C282">
        <v>2007</v>
      </c>
      <c r="D282" s="4">
        <v>2.6</v>
      </c>
      <c r="E282" s="5">
        <v>210171</v>
      </c>
      <c r="F282" s="1" t="s">
        <v>16</v>
      </c>
      <c r="G282" s="10">
        <v>82974.33</v>
      </c>
      <c r="H282" s="1" t="s">
        <v>12</v>
      </c>
      <c r="I282" t="s">
        <v>13</v>
      </c>
      <c r="J282" t="s">
        <v>14</v>
      </c>
    </row>
    <row r="283" spans="1:10" x14ac:dyDescent="0.35">
      <c r="A283">
        <v>282</v>
      </c>
      <c r="B283" s="1" t="s">
        <v>29</v>
      </c>
      <c r="C283">
        <v>2004</v>
      </c>
      <c r="D283" s="4">
        <v>2.2000000000000002</v>
      </c>
      <c r="E283" s="5">
        <v>290690</v>
      </c>
      <c r="F283" s="1" t="s">
        <v>11</v>
      </c>
      <c r="G283" s="10">
        <v>10605.32</v>
      </c>
      <c r="H283" s="1" t="s">
        <v>30</v>
      </c>
      <c r="I283" t="s">
        <v>53</v>
      </c>
      <c r="J283" t="s">
        <v>14</v>
      </c>
    </row>
    <row r="284" spans="1:10" x14ac:dyDescent="0.35">
      <c r="A284">
        <v>283</v>
      </c>
      <c r="B284" s="1" t="s">
        <v>25</v>
      </c>
      <c r="C284">
        <v>2000</v>
      </c>
      <c r="D284" s="4">
        <v>2.1</v>
      </c>
      <c r="E284" s="5">
        <v>209496</v>
      </c>
      <c r="F284" s="1" t="s">
        <v>15</v>
      </c>
      <c r="G284" s="10">
        <v>91080.62</v>
      </c>
      <c r="H284" s="1" t="s">
        <v>26</v>
      </c>
      <c r="I284" t="s">
        <v>51</v>
      </c>
      <c r="J284" t="s">
        <v>22</v>
      </c>
    </row>
    <row r="285" spans="1:10" x14ac:dyDescent="0.35">
      <c r="A285">
        <v>284</v>
      </c>
      <c r="B285" s="1" t="s">
        <v>27</v>
      </c>
      <c r="C285">
        <v>2003</v>
      </c>
      <c r="D285" s="4">
        <v>3.1</v>
      </c>
      <c r="E285" s="5">
        <v>168410</v>
      </c>
      <c r="F285" s="1" t="s">
        <v>15</v>
      </c>
      <c r="G285" s="10">
        <v>22947.88</v>
      </c>
      <c r="H285" s="1" t="s">
        <v>28</v>
      </c>
      <c r="I285" t="s">
        <v>13</v>
      </c>
      <c r="J285" t="s">
        <v>14</v>
      </c>
    </row>
    <row r="286" spans="1:10" x14ac:dyDescent="0.35">
      <c r="A286">
        <v>285</v>
      </c>
      <c r="B286" s="1" t="s">
        <v>20</v>
      </c>
      <c r="C286">
        <v>2002</v>
      </c>
      <c r="D286" s="4">
        <v>5.5</v>
      </c>
      <c r="E286" s="5">
        <v>82494</v>
      </c>
      <c r="F286" s="1" t="s">
        <v>15</v>
      </c>
      <c r="G286" s="10">
        <v>29369.439999999999</v>
      </c>
      <c r="H286" s="1" t="s">
        <v>33</v>
      </c>
      <c r="I286" t="s">
        <v>13</v>
      </c>
      <c r="J286" t="s">
        <v>22</v>
      </c>
    </row>
    <row r="287" spans="1:10" x14ac:dyDescent="0.35">
      <c r="A287">
        <v>286</v>
      </c>
      <c r="B287" s="1" t="s">
        <v>29</v>
      </c>
      <c r="C287">
        <v>2008</v>
      </c>
      <c r="D287" s="4">
        <v>3.5</v>
      </c>
      <c r="E287" s="5">
        <v>215859</v>
      </c>
      <c r="F287" s="1" t="s">
        <v>16</v>
      </c>
      <c r="G287" s="10">
        <v>10066.36</v>
      </c>
      <c r="H287" s="1" t="s">
        <v>43</v>
      </c>
      <c r="I287" t="s">
        <v>52</v>
      </c>
      <c r="J287" t="s">
        <v>14</v>
      </c>
    </row>
    <row r="288" spans="1:10" x14ac:dyDescent="0.35">
      <c r="A288">
        <v>287</v>
      </c>
      <c r="B288" s="1" t="s">
        <v>29</v>
      </c>
      <c r="C288">
        <v>2007</v>
      </c>
      <c r="D288" s="4">
        <v>1.9</v>
      </c>
      <c r="E288" s="5">
        <v>233853</v>
      </c>
      <c r="F288" s="1" t="s">
        <v>11</v>
      </c>
      <c r="G288" s="10">
        <v>96713.01</v>
      </c>
      <c r="H288" s="1" t="s">
        <v>43</v>
      </c>
      <c r="I288" t="s">
        <v>52</v>
      </c>
      <c r="J288" t="s">
        <v>22</v>
      </c>
    </row>
    <row r="289" spans="1:10" x14ac:dyDescent="0.35">
      <c r="A289">
        <v>288</v>
      </c>
      <c r="B289" s="1" t="s">
        <v>23</v>
      </c>
      <c r="C289">
        <v>2000</v>
      </c>
      <c r="D289" s="4">
        <v>1.4</v>
      </c>
      <c r="E289" s="5">
        <v>128279</v>
      </c>
      <c r="F289" s="1" t="s">
        <v>15</v>
      </c>
      <c r="G289" s="10">
        <v>85941.03</v>
      </c>
      <c r="H289" s="1" t="s">
        <v>42</v>
      </c>
      <c r="I289" t="s">
        <v>52</v>
      </c>
      <c r="J289" t="s">
        <v>14</v>
      </c>
    </row>
    <row r="290" spans="1:10" x14ac:dyDescent="0.35">
      <c r="A290">
        <v>289</v>
      </c>
      <c r="B290" s="1" t="s">
        <v>10</v>
      </c>
      <c r="C290">
        <v>2005</v>
      </c>
      <c r="D290" s="4">
        <v>4.5</v>
      </c>
      <c r="E290" s="5">
        <v>81991</v>
      </c>
      <c r="F290" s="1" t="s">
        <v>11</v>
      </c>
      <c r="G290" s="10">
        <v>91752.54</v>
      </c>
      <c r="H290" s="1" t="s">
        <v>19</v>
      </c>
      <c r="I290" t="s">
        <v>13</v>
      </c>
      <c r="J290" t="s">
        <v>14</v>
      </c>
    </row>
    <row r="291" spans="1:10" x14ac:dyDescent="0.35">
      <c r="A291">
        <v>290</v>
      </c>
      <c r="B291" s="1" t="s">
        <v>35</v>
      </c>
      <c r="C291">
        <v>2008</v>
      </c>
      <c r="D291" s="4">
        <v>2.9</v>
      </c>
      <c r="E291" s="5">
        <v>290157</v>
      </c>
      <c r="F291" s="1" t="s">
        <v>11</v>
      </c>
      <c r="G291" s="10">
        <v>85485.54</v>
      </c>
      <c r="H291" s="1" t="s">
        <v>47</v>
      </c>
      <c r="I291" t="s">
        <v>51</v>
      </c>
      <c r="J291" t="s">
        <v>14</v>
      </c>
    </row>
    <row r="292" spans="1:10" x14ac:dyDescent="0.35">
      <c r="A292">
        <v>291</v>
      </c>
      <c r="B292" s="1" t="s">
        <v>35</v>
      </c>
      <c r="C292">
        <v>2006</v>
      </c>
      <c r="D292" s="4">
        <v>5.0999999999999996</v>
      </c>
      <c r="E292" s="5">
        <v>52132</v>
      </c>
      <c r="F292" s="1" t="s">
        <v>16</v>
      </c>
      <c r="G292" s="10">
        <v>50555.4</v>
      </c>
      <c r="H292" s="1" t="s">
        <v>47</v>
      </c>
      <c r="I292" t="s">
        <v>52</v>
      </c>
      <c r="J292" t="s">
        <v>22</v>
      </c>
    </row>
    <row r="293" spans="1:10" x14ac:dyDescent="0.35">
      <c r="A293">
        <v>292</v>
      </c>
      <c r="B293" s="1" t="s">
        <v>27</v>
      </c>
      <c r="C293">
        <v>2003</v>
      </c>
      <c r="D293" s="4">
        <v>4.3</v>
      </c>
      <c r="E293" s="5">
        <v>255069</v>
      </c>
      <c r="F293" s="1" t="s">
        <v>15</v>
      </c>
      <c r="G293" s="10">
        <v>92787.78</v>
      </c>
      <c r="H293" s="1" t="s">
        <v>37</v>
      </c>
      <c r="I293" t="s">
        <v>52</v>
      </c>
      <c r="J293" t="s">
        <v>14</v>
      </c>
    </row>
    <row r="294" spans="1:10" x14ac:dyDescent="0.35">
      <c r="A294">
        <v>293</v>
      </c>
      <c r="B294" s="1" t="s">
        <v>23</v>
      </c>
      <c r="C294">
        <v>2012</v>
      </c>
      <c r="D294" s="4">
        <v>5</v>
      </c>
      <c r="E294" s="5">
        <v>159156</v>
      </c>
      <c r="F294" s="1" t="s">
        <v>11</v>
      </c>
      <c r="G294" s="10">
        <v>97099.92</v>
      </c>
      <c r="H294" s="1" t="s">
        <v>24</v>
      </c>
      <c r="I294" t="s">
        <v>52</v>
      </c>
      <c r="J294" t="s">
        <v>22</v>
      </c>
    </row>
    <row r="295" spans="1:10" x14ac:dyDescent="0.35">
      <c r="A295">
        <v>294</v>
      </c>
      <c r="B295" s="1" t="s">
        <v>29</v>
      </c>
      <c r="C295">
        <v>2016</v>
      </c>
      <c r="D295" s="4">
        <v>2.4</v>
      </c>
      <c r="E295" s="5">
        <v>152215</v>
      </c>
      <c r="F295" s="1" t="s">
        <v>16</v>
      </c>
      <c r="G295" s="10">
        <v>52743.86</v>
      </c>
      <c r="H295" s="1" t="s">
        <v>30</v>
      </c>
      <c r="I295" t="s">
        <v>51</v>
      </c>
      <c r="J295" t="s">
        <v>14</v>
      </c>
    </row>
    <row r="296" spans="1:10" x14ac:dyDescent="0.35">
      <c r="A296">
        <v>295</v>
      </c>
      <c r="B296" s="1" t="s">
        <v>25</v>
      </c>
      <c r="C296">
        <v>2001</v>
      </c>
      <c r="D296" s="4">
        <v>4.5</v>
      </c>
      <c r="E296" s="5">
        <v>91627</v>
      </c>
      <c r="F296" s="1" t="s">
        <v>16</v>
      </c>
      <c r="G296" s="10">
        <v>21684.35</v>
      </c>
      <c r="H296" s="1" t="s">
        <v>41</v>
      </c>
      <c r="I296" t="s">
        <v>51</v>
      </c>
      <c r="J296" t="s">
        <v>14</v>
      </c>
    </row>
    <row r="297" spans="1:10" x14ac:dyDescent="0.35">
      <c r="A297">
        <v>296</v>
      </c>
      <c r="B297" s="1" t="s">
        <v>23</v>
      </c>
      <c r="C297">
        <v>2004</v>
      </c>
      <c r="D297" s="4">
        <v>2.2999999999999998</v>
      </c>
      <c r="E297" s="5">
        <v>122772</v>
      </c>
      <c r="F297" s="1" t="s">
        <v>16</v>
      </c>
      <c r="G297" s="10">
        <v>67569.14</v>
      </c>
      <c r="H297" s="1" t="s">
        <v>34</v>
      </c>
      <c r="I297" t="s">
        <v>52</v>
      </c>
      <c r="J297" t="s">
        <v>22</v>
      </c>
    </row>
    <row r="298" spans="1:10" x14ac:dyDescent="0.35">
      <c r="A298">
        <v>297</v>
      </c>
      <c r="B298" s="1" t="s">
        <v>27</v>
      </c>
      <c r="C298">
        <v>2011</v>
      </c>
      <c r="D298" s="4">
        <v>5.7</v>
      </c>
      <c r="E298" s="5">
        <v>229415</v>
      </c>
      <c r="F298" s="1" t="s">
        <v>15</v>
      </c>
      <c r="G298" s="10">
        <v>97666.64</v>
      </c>
      <c r="H298" s="1" t="s">
        <v>28</v>
      </c>
      <c r="I298" t="s">
        <v>52</v>
      </c>
      <c r="J298" t="s">
        <v>14</v>
      </c>
    </row>
    <row r="299" spans="1:10" x14ac:dyDescent="0.35">
      <c r="A299">
        <v>298</v>
      </c>
      <c r="B299" s="1" t="s">
        <v>27</v>
      </c>
      <c r="C299">
        <v>2020</v>
      </c>
      <c r="D299" s="4">
        <v>4.2</v>
      </c>
      <c r="E299" s="5">
        <v>141294</v>
      </c>
      <c r="F299" s="1" t="s">
        <v>15</v>
      </c>
      <c r="G299" s="10">
        <v>87853.95</v>
      </c>
      <c r="H299" s="1" t="s">
        <v>40</v>
      </c>
      <c r="I299" t="s">
        <v>13</v>
      </c>
      <c r="J299" t="s">
        <v>14</v>
      </c>
    </row>
    <row r="300" spans="1:10" x14ac:dyDescent="0.35">
      <c r="A300">
        <v>299</v>
      </c>
      <c r="B300" s="1" t="s">
        <v>23</v>
      </c>
      <c r="C300">
        <v>2007</v>
      </c>
      <c r="D300" s="4">
        <v>2.6</v>
      </c>
      <c r="E300" s="5">
        <v>259013</v>
      </c>
      <c r="F300" s="1" t="s">
        <v>16</v>
      </c>
      <c r="G300" s="10">
        <v>86872.44</v>
      </c>
      <c r="H300" s="1" t="s">
        <v>34</v>
      </c>
      <c r="I300" t="s">
        <v>52</v>
      </c>
      <c r="J300" t="s">
        <v>22</v>
      </c>
    </row>
    <row r="301" spans="1:10" x14ac:dyDescent="0.35">
      <c r="A301">
        <v>300</v>
      </c>
      <c r="B301" s="1" t="s">
        <v>27</v>
      </c>
      <c r="C301">
        <v>2005</v>
      </c>
      <c r="D301" s="4">
        <v>2.2999999999999998</v>
      </c>
      <c r="E301" s="5">
        <v>16116</v>
      </c>
      <c r="F301" s="1" t="s">
        <v>15</v>
      </c>
      <c r="G301" s="10">
        <v>93712.71</v>
      </c>
      <c r="H301" s="1" t="s">
        <v>28</v>
      </c>
      <c r="I301" t="s">
        <v>53</v>
      </c>
      <c r="J301" t="s">
        <v>22</v>
      </c>
    </row>
    <row r="302" spans="1:10" x14ac:dyDescent="0.35">
      <c r="A302">
        <v>301</v>
      </c>
      <c r="B302" s="1" t="s">
        <v>23</v>
      </c>
      <c r="C302">
        <v>2007</v>
      </c>
      <c r="D302" s="4">
        <v>2</v>
      </c>
      <c r="E302" s="5">
        <v>182124</v>
      </c>
      <c r="F302" s="1" t="s">
        <v>15</v>
      </c>
      <c r="G302" s="10">
        <v>89925.46</v>
      </c>
      <c r="H302" s="1" t="s">
        <v>32</v>
      </c>
      <c r="I302" t="s">
        <v>53</v>
      </c>
      <c r="J302" t="s">
        <v>14</v>
      </c>
    </row>
    <row r="303" spans="1:10" x14ac:dyDescent="0.35">
      <c r="A303">
        <v>302</v>
      </c>
      <c r="B303" s="1" t="s">
        <v>20</v>
      </c>
      <c r="C303">
        <v>2017</v>
      </c>
      <c r="D303" s="4">
        <v>4.5</v>
      </c>
      <c r="E303" s="5">
        <v>51369</v>
      </c>
      <c r="F303" s="1" t="s">
        <v>11</v>
      </c>
      <c r="G303" s="10">
        <v>78746.759999999995</v>
      </c>
      <c r="H303" s="1" t="s">
        <v>39</v>
      </c>
      <c r="I303" t="s">
        <v>52</v>
      </c>
      <c r="J303" t="s">
        <v>22</v>
      </c>
    </row>
    <row r="304" spans="1:10" x14ac:dyDescent="0.35">
      <c r="A304">
        <v>303</v>
      </c>
      <c r="B304" s="1" t="s">
        <v>23</v>
      </c>
      <c r="C304">
        <v>2002</v>
      </c>
      <c r="D304" s="4">
        <v>2.1</v>
      </c>
      <c r="E304" s="5">
        <v>179889</v>
      </c>
      <c r="F304" s="1" t="s">
        <v>16</v>
      </c>
      <c r="G304" s="10">
        <v>73235.92</v>
      </c>
      <c r="H304" s="1" t="s">
        <v>24</v>
      </c>
      <c r="I304" t="s">
        <v>51</v>
      </c>
      <c r="J304" t="s">
        <v>22</v>
      </c>
    </row>
    <row r="305" spans="1:10" x14ac:dyDescent="0.35">
      <c r="A305">
        <v>304</v>
      </c>
      <c r="B305" s="1" t="s">
        <v>10</v>
      </c>
      <c r="C305">
        <v>2021</v>
      </c>
      <c r="D305" s="4">
        <v>4</v>
      </c>
      <c r="E305" s="5">
        <v>233982</v>
      </c>
      <c r="F305" s="1" t="s">
        <v>16</v>
      </c>
      <c r="G305" s="10">
        <v>30152.880000000001</v>
      </c>
      <c r="H305" s="1" t="s">
        <v>18</v>
      </c>
      <c r="I305" t="s">
        <v>13</v>
      </c>
      <c r="J305" t="s">
        <v>14</v>
      </c>
    </row>
    <row r="306" spans="1:10" x14ac:dyDescent="0.35">
      <c r="A306">
        <v>305</v>
      </c>
      <c r="B306" s="1" t="s">
        <v>23</v>
      </c>
      <c r="C306">
        <v>2011</v>
      </c>
      <c r="D306" s="4">
        <v>2.2999999999999998</v>
      </c>
      <c r="E306" s="5">
        <v>214275</v>
      </c>
      <c r="F306" s="1" t="s">
        <v>15</v>
      </c>
      <c r="G306" s="10">
        <v>64027.3</v>
      </c>
      <c r="H306" s="1" t="s">
        <v>24</v>
      </c>
      <c r="I306" t="s">
        <v>51</v>
      </c>
      <c r="J306" t="s">
        <v>14</v>
      </c>
    </row>
    <row r="307" spans="1:10" x14ac:dyDescent="0.35">
      <c r="A307">
        <v>306</v>
      </c>
      <c r="B307" s="1" t="s">
        <v>27</v>
      </c>
      <c r="C307">
        <v>2002</v>
      </c>
      <c r="D307" s="4">
        <v>4.3</v>
      </c>
      <c r="E307" s="5">
        <v>205383</v>
      </c>
      <c r="F307" s="1" t="s">
        <v>16</v>
      </c>
      <c r="G307" s="10">
        <v>54541.42</v>
      </c>
      <c r="H307" s="1" t="s">
        <v>48</v>
      </c>
      <c r="I307" t="s">
        <v>52</v>
      </c>
      <c r="J307" t="s">
        <v>14</v>
      </c>
    </row>
    <row r="308" spans="1:10" x14ac:dyDescent="0.35">
      <c r="A308">
        <v>307</v>
      </c>
      <c r="B308" s="1" t="s">
        <v>10</v>
      </c>
      <c r="C308">
        <v>2021</v>
      </c>
      <c r="D308" s="4">
        <v>5.0999999999999996</v>
      </c>
      <c r="E308" s="5">
        <v>291799</v>
      </c>
      <c r="F308" s="1" t="s">
        <v>16</v>
      </c>
      <c r="G308" s="10">
        <v>86884.69</v>
      </c>
      <c r="H308" s="1" t="s">
        <v>17</v>
      </c>
      <c r="I308" t="s">
        <v>13</v>
      </c>
      <c r="J308" t="s">
        <v>14</v>
      </c>
    </row>
    <row r="309" spans="1:10" x14ac:dyDescent="0.35">
      <c r="A309">
        <v>308</v>
      </c>
      <c r="B309" s="1" t="s">
        <v>27</v>
      </c>
      <c r="C309">
        <v>2005</v>
      </c>
      <c r="D309" s="4">
        <v>4.9000000000000004</v>
      </c>
      <c r="E309" s="5">
        <v>188874</v>
      </c>
      <c r="F309" s="1" t="s">
        <v>16</v>
      </c>
      <c r="G309" s="10">
        <v>51712.69</v>
      </c>
      <c r="H309" s="1" t="s">
        <v>40</v>
      </c>
      <c r="I309" t="s">
        <v>13</v>
      </c>
      <c r="J309" t="s">
        <v>14</v>
      </c>
    </row>
    <row r="310" spans="1:10" x14ac:dyDescent="0.35">
      <c r="A310">
        <v>309</v>
      </c>
      <c r="B310" s="1" t="s">
        <v>35</v>
      </c>
      <c r="C310">
        <v>2001</v>
      </c>
      <c r="D310" s="4">
        <v>4.8</v>
      </c>
      <c r="E310" s="5">
        <v>47632</v>
      </c>
      <c r="F310" s="1" t="s">
        <v>15</v>
      </c>
      <c r="G310" s="10">
        <v>17135.560000000001</v>
      </c>
      <c r="H310" s="1" t="s">
        <v>36</v>
      </c>
      <c r="I310" t="s">
        <v>51</v>
      </c>
      <c r="J310" t="s">
        <v>14</v>
      </c>
    </row>
    <row r="311" spans="1:10" x14ac:dyDescent="0.35">
      <c r="A311">
        <v>310</v>
      </c>
      <c r="B311" s="1" t="s">
        <v>35</v>
      </c>
      <c r="C311">
        <v>2022</v>
      </c>
      <c r="D311" s="4">
        <v>1.9</v>
      </c>
      <c r="E311" s="5">
        <v>211284</v>
      </c>
      <c r="F311" s="1" t="s">
        <v>15</v>
      </c>
      <c r="G311" s="10">
        <v>5472.39</v>
      </c>
      <c r="H311" s="1" t="s">
        <v>36</v>
      </c>
      <c r="I311" t="s">
        <v>51</v>
      </c>
      <c r="J311" t="s">
        <v>14</v>
      </c>
    </row>
    <row r="312" spans="1:10" x14ac:dyDescent="0.35">
      <c r="A312">
        <v>311</v>
      </c>
      <c r="B312" s="1" t="s">
        <v>10</v>
      </c>
      <c r="C312">
        <v>2011</v>
      </c>
      <c r="D312" s="4">
        <v>1.4</v>
      </c>
      <c r="E312" s="5">
        <v>161848</v>
      </c>
      <c r="F312" s="1" t="s">
        <v>15</v>
      </c>
      <c r="G312" s="10">
        <v>69397.95</v>
      </c>
      <c r="H312" s="1" t="s">
        <v>19</v>
      </c>
      <c r="I312" t="s">
        <v>13</v>
      </c>
      <c r="J312" t="s">
        <v>14</v>
      </c>
    </row>
    <row r="313" spans="1:10" x14ac:dyDescent="0.35">
      <c r="A313">
        <v>312</v>
      </c>
      <c r="B313" s="1" t="s">
        <v>20</v>
      </c>
      <c r="C313">
        <v>2001</v>
      </c>
      <c r="D313" s="4">
        <v>4.5</v>
      </c>
      <c r="E313" s="5">
        <v>191082</v>
      </c>
      <c r="F313" s="1" t="s">
        <v>11</v>
      </c>
      <c r="G313" s="10">
        <v>57241.3</v>
      </c>
      <c r="H313" s="1" t="s">
        <v>21</v>
      </c>
      <c r="I313" t="s">
        <v>13</v>
      </c>
      <c r="J313" t="s">
        <v>22</v>
      </c>
    </row>
    <row r="314" spans="1:10" x14ac:dyDescent="0.35">
      <c r="A314">
        <v>313</v>
      </c>
      <c r="B314" s="1" t="s">
        <v>35</v>
      </c>
      <c r="C314">
        <v>2005</v>
      </c>
      <c r="D314" s="4">
        <v>2.8</v>
      </c>
      <c r="E314" s="5">
        <v>213807</v>
      </c>
      <c r="F314" s="1" t="s">
        <v>16</v>
      </c>
      <c r="G314" s="10">
        <v>36441.480000000003</v>
      </c>
      <c r="H314" s="1" t="s">
        <v>50</v>
      </c>
      <c r="I314" t="s">
        <v>53</v>
      </c>
      <c r="J314" t="s">
        <v>14</v>
      </c>
    </row>
    <row r="315" spans="1:10" x14ac:dyDescent="0.35">
      <c r="A315">
        <v>314</v>
      </c>
      <c r="B315" s="1" t="s">
        <v>23</v>
      </c>
      <c r="C315">
        <v>2016</v>
      </c>
      <c r="D315" s="4">
        <v>3.2</v>
      </c>
      <c r="E315" s="5">
        <v>196523</v>
      </c>
      <c r="F315" s="1" t="s">
        <v>11</v>
      </c>
      <c r="G315" s="10">
        <v>21052.35</v>
      </c>
      <c r="H315" s="1" t="s">
        <v>34</v>
      </c>
      <c r="I315" t="s">
        <v>52</v>
      </c>
      <c r="J315" t="s">
        <v>14</v>
      </c>
    </row>
    <row r="316" spans="1:10" x14ac:dyDescent="0.35">
      <c r="A316">
        <v>315</v>
      </c>
      <c r="B316" s="1" t="s">
        <v>27</v>
      </c>
      <c r="C316">
        <v>2002</v>
      </c>
      <c r="D316" s="4">
        <v>1.2</v>
      </c>
      <c r="E316" s="5">
        <v>179884</v>
      </c>
      <c r="F316" s="1" t="s">
        <v>15</v>
      </c>
      <c r="G316" s="10">
        <v>49337.96</v>
      </c>
      <c r="H316" s="1" t="s">
        <v>28</v>
      </c>
      <c r="I316" t="s">
        <v>13</v>
      </c>
      <c r="J316" t="s">
        <v>14</v>
      </c>
    </row>
    <row r="317" spans="1:10" x14ac:dyDescent="0.35">
      <c r="A317">
        <v>316</v>
      </c>
      <c r="B317" s="1" t="s">
        <v>35</v>
      </c>
      <c r="C317">
        <v>2001</v>
      </c>
      <c r="D317" s="4">
        <v>2.2999999999999998</v>
      </c>
      <c r="E317" s="5">
        <v>281039</v>
      </c>
      <c r="F317" s="1" t="s">
        <v>11</v>
      </c>
      <c r="G317" s="10">
        <v>14527.21</v>
      </c>
      <c r="H317" s="1" t="s">
        <v>45</v>
      </c>
      <c r="I317" t="s">
        <v>51</v>
      </c>
      <c r="J317" t="s">
        <v>22</v>
      </c>
    </row>
    <row r="318" spans="1:10" x14ac:dyDescent="0.35">
      <c r="A318">
        <v>317</v>
      </c>
      <c r="B318" s="1" t="s">
        <v>35</v>
      </c>
      <c r="C318">
        <v>2022</v>
      </c>
      <c r="D318" s="4">
        <v>1.2</v>
      </c>
      <c r="E318" s="5">
        <v>235892</v>
      </c>
      <c r="F318" s="1" t="s">
        <v>16</v>
      </c>
      <c r="G318" s="10">
        <v>36930.31</v>
      </c>
      <c r="H318" s="1" t="s">
        <v>45</v>
      </c>
      <c r="I318" t="s">
        <v>52</v>
      </c>
      <c r="J318" t="s">
        <v>22</v>
      </c>
    </row>
    <row r="319" spans="1:10" x14ac:dyDescent="0.35">
      <c r="A319">
        <v>318</v>
      </c>
      <c r="B319" s="1" t="s">
        <v>20</v>
      </c>
      <c r="C319">
        <v>2019</v>
      </c>
      <c r="D319" s="4">
        <v>5.4</v>
      </c>
      <c r="E319" s="5">
        <v>213408</v>
      </c>
      <c r="F319" s="1" t="s">
        <v>16</v>
      </c>
      <c r="G319" s="10">
        <v>41025.129999999997</v>
      </c>
      <c r="H319" s="1" t="s">
        <v>46</v>
      </c>
      <c r="I319" t="s">
        <v>51</v>
      </c>
      <c r="J319" t="s">
        <v>14</v>
      </c>
    </row>
    <row r="320" spans="1:10" x14ac:dyDescent="0.35">
      <c r="A320">
        <v>319</v>
      </c>
      <c r="B320" s="1" t="s">
        <v>10</v>
      </c>
      <c r="C320">
        <v>2007</v>
      </c>
      <c r="D320" s="4">
        <v>2.2000000000000002</v>
      </c>
      <c r="E320" s="5">
        <v>242718</v>
      </c>
      <c r="F320" s="1" t="s">
        <v>15</v>
      </c>
      <c r="G320" s="10">
        <v>49233.78</v>
      </c>
      <c r="H320" s="1" t="s">
        <v>12</v>
      </c>
      <c r="I320" t="s">
        <v>13</v>
      </c>
      <c r="J320" t="s">
        <v>14</v>
      </c>
    </row>
    <row r="321" spans="1:10" x14ac:dyDescent="0.35">
      <c r="A321">
        <v>320</v>
      </c>
      <c r="B321" s="1" t="s">
        <v>10</v>
      </c>
      <c r="C321">
        <v>2021</v>
      </c>
      <c r="D321" s="4">
        <v>3.8</v>
      </c>
      <c r="E321" s="5">
        <v>192879</v>
      </c>
      <c r="F321" s="1" t="s">
        <v>15</v>
      </c>
      <c r="G321" s="10">
        <v>49328.97</v>
      </c>
      <c r="H321" s="1" t="s">
        <v>12</v>
      </c>
      <c r="I321" t="s">
        <v>13</v>
      </c>
      <c r="J321" t="s">
        <v>14</v>
      </c>
    </row>
    <row r="322" spans="1:10" x14ac:dyDescent="0.35">
      <c r="A322">
        <v>321</v>
      </c>
      <c r="B322" s="1" t="s">
        <v>29</v>
      </c>
      <c r="C322">
        <v>2011</v>
      </c>
      <c r="D322" s="4">
        <v>1.2</v>
      </c>
      <c r="E322" s="5">
        <v>23086</v>
      </c>
      <c r="F322" s="1" t="s">
        <v>11</v>
      </c>
      <c r="G322" s="10">
        <v>29415.54</v>
      </c>
      <c r="H322" s="1" t="s">
        <v>31</v>
      </c>
      <c r="I322" t="s">
        <v>52</v>
      </c>
      <c r="J322" t="s">
        <v>14</v>
      </c>
    </row>
    <row r="323" spans="1:10" x14ac:dyDescent="0.35">
      <c r="A323">
        <v>322</v>
      </c>
      <c r="B323" s="1" t="s">
        <v>20</v>
      </c>
      <c r="C323">
        <v>2003</v>
      </c>
      <c r="D323" s="4">
        <v>4.3</v>
      </c>
      <c r="E323" s="5">
        <v>85637</v>
      </c>
      <c r="F323" s="1" t="s">
        <v>15</v>
      </c>
      <c r="G323" s="10">
        <v>85770.04</v>
      </c>
      <c r="H323" s="1" t="s">
        <v>46</v>
      </c>
      <c r="I323" t="s">
        <v>52</v>
      </c>
      <c r="J323" t="s">
        <v>14</v>
      </c>
    </row>
    <row r="324" spans="1:10" x14ac:dyDescent="0.35">
      <c r="A324">
        <v>323</v>
      </c>
      <c r="B324" s="1" t="s">
        <v>23</v>
      </c>
      <c r="C324">
        <v>2004</v>
      </c>
      <c r="D324" s="4">
        <v>2.6</v>
      </c>
      <c r="E324" s="5">
        <v>158279</v>
      </c>
      <c r="F324" s="1" t="s">
        <v>11</v>
      </c>
      <c r="G324" s="10">
        <v>38776.629999999997</v>
      </c>
      <c r="H324" s="1" t="s">
        <v>42</v>
      </c>
      <c r="I324" t="s">
        <v>52</v>
      </c>
      <c r="J324" t="s">
        <v>22</v>
      </c>
    </row>
    <row r="325" spans="1:10" x14ac:dyDescent="0.35">
      <c r="A325">
        <v>324</v>
      </c>
      <c r="B325" s="1" t="s">
        <v>10</v>
      </c>
      <c r="C325">
        <v>2012</v>
      </c>
      <c r="D325" s="4">
        <v>5.5</v>
      </c>
      <c r="E325" s="5">
        <v>151969</v>
      </c>
      <c r="F325" s="1" t="s">
        <v>16</v>
      </c>
      <c r="G325" s="10">
        <v>26810.79</v>
      </c>
      <c r="H325" s="1" t="s">
        <v>19</v>
      </c>
      <c r="I325" t="s">
        <v>13</v>
      </c>
      <c r="J325" t="s">
        <v>14</v>
      </c>
    </row>
    <row r="326" spans="1:10" x14ac:dyDescent="0.35">
      <c r="A326">
        <v>325</v>
      </c>
      <c r="B326" s="1" t="s">
        <v>27</v>
      </c>
      <c r="C326">
        <v>2014</v>
      </c>
      <c r="D326" s="4">
        <v>5.4</v>
      </c>
      <c r="E326" s="5">
        <v>63083</v>
      </c>
      <c r="F326" s="1" t="s">
        <v>16</v>
      </c>
      <c r="G326" s="10">
        <v>21701.94</v>
      </c>
      <c r="H326" s="1" t="s">
        <v>48</v>
      </c>
      <c r="I326" t="s">
        <v>51</v>
      </c>
      <c r="J326" t="s">
        <v>14</v>
      </c>
    </row>
    <row r="327" spans="1:10" x14ac:dyDescent="0.35">
      <c r="A327">
        <v>326</v>
      </c>
      <c r="B327" s="1" t="s">
        <v>20</v>
      </c>
      <c r="C327">
        <v>2022</v>
      </c>
      <c r="D327" s="4">
        <v>2.6</v>
      </c>
      <c r="E327" s="5">
        <v>95028</v>
      </c>
      <c r="F327" s="1" t="s">
        <v>16</v>
      </c>
      <c r="G327" s="10">
        <v>35644.949999999997</v>
      </c>
      <c r="H327" s="1" t="s">
        <v>39</v>
      </c>
      <c r="I327" t="s">
        <v>53</v>
      </c>
      <c r="J327" t="s">
        <v>14</v>
      </c>
    </row>
    <row r="328" spans="1:10" x14ac:dyDescent="0.35">
      <c r="A328">
        <v>327</v>
      </c>
      <c r="B328" s="1" t="s">
        <v>35</v>
      </c>
      <c r="C328">
        <v>2015</v>
      </c>
      <c r="D328" s="4">
        <v>5.5</v>
      </c>
      <c r="E328" s="5">
        <v>97551</v>
      </c>
      <c r="F328" s="1" t="s">
        <v>16</v>
      </c>
      <c r="G328" s="10">
        <v>11417.52</v>
      </c>
      <c r="H328" s="1" t="s">
        <v>50</v>
      </c>
      <c r="I328" t="s">
        <v>53</v>
      </c>
      <c r="J328" t="s">
        <v>14</v>
      </c>
    </row>
    <row r="329" spans="1:10" x14ac:dyDescent="0.35">
      <c r="A329">
        <v>328</v>
      </c>
      <c r="B329" s="1" t="s">
        <v>27</v>
      </c>
      <c r="C329">
        <v>2009</v>
      </c>
      <c r="D329" s="4">
        <v>6</v>
      </c>
      <c r="E329" s="5">
        <v>138355</v>
      </c>
      <c r="F329" s="1" t="s">
        <v>16</v>
      </c>
      <c r="G329" s="10">
        <v>8126.21</v>
      </c>
      <c r="H329" s="1" t="s">
        <v>28</v>
      </c>
      <c r="I329" t="s">
        <v>52</v>
      </c>
      <c r="J329" t="s">
        <v>22</v>
      </c>
    </row>
    <row r="330" spans="1:10" x14ac:dyDescent="0.35">
      <c r="A330">
        <v>329</v>
      </c>
      <c r="B330" s="1" t="s">
        <v>27</v>
      </c>
      <c r="C330">
        <v>2022</v>
      </c>
      <c r="D330" s="4">
        <v>5.0999999999999996</v>
      </c>
      <c r="E330" s="5">
        <v>94024</v>
      </c>
      <c r="F330" s="1" t="s">
        <v>11</v>
      </c>
      <c r="G330" s="10">
        <v>62488.51</v>
      </c>
      <c r="H330" s="1" t="s">
        <v>28</v>
      </c>
      <c r="I330" t="s">
        <v>51</v>
      </c>
      <c r="J330" t="s">
        <v>14</v>
      </c>
    </row>
    <row r="331" spans="1:10" x14ac:dyDescent="0.35">
      <c r="A331">
        <v>330</v>
      </c>
      <c r="B331" s="1" t="s">
        <v>35</v>
      </c>
      <c r="C331">
        <v>2015</v>
      </c>
      <c r="D331" s="4">
        <v>5.2</v>
      </c>
      <c r="E331" s="5">
        <v>262399</v>
      </c>
      <c r="F331" s="1" t="s">
        <v>16</v>
      </c>
      <c r="G331" s="10">
        <v>63818.98</v>
      </c>
      <c r="H331" s="1" t="s">
        <v>50</v>
      </c>
      <c r="I331" t="s">
        <v>53</v>
      </c>
      <c r="J331" t="s">
        <v>22</v>
      </c>
    </row>
    <row r="332" spans="1:10" x14ac:dyDescent="0.35">
      <c r="A332">
        <v>331</v>
      </c>
      <c r="B332" s="1" t="s">
        <v>20</v>
      </c>
      <c r="C332">
        <v>2011</v>
      </c>
      <c r="D332" s="4">
        <v>2.2000000000000002</v>
      </c>
      <c r="E332" s="5">
        <v>207627</v>
      </c>
      <c r="F332" s="1" t="s">
        <v>11</v>
      </c>
      <c r="G332" s="10">
        <v>55310.879999999997</v>
      </c>
      <c r="H332" s="1" t="s">
        <v>21</v>
      </c>
      <c r="I332" t="s">
        <v>53</v>
      </c>
      <c r="J332" t="s">
        <v>14</v>
      </c>
    </row>
    <row r="333" spans="1:10" x14ac:dyDescent="0.35">
      <c r="A333">
        <v>332</v>
      </c>
      <c r="B333" s="1" t="s">
        <v>35</v>
      </c>
      <c r="C333">
        <v>2016</v>
      </c>
      <c r="D333" s="4">
        <v>3.9</v>
      </c>
      <c r="E333" s="5">
        <v>15487</v>
      </c>
      <c r="F333" s="1" t="s">
        <v>16</v>
      </c>
      <c r="G333" s="10">
        <v>77417.09</v>
      </c>
      <c r="H333" s="1" t="s">
        <v>45</v>
      </c>
      <c r="I333" t="s">
        <v>53</v>
      </c>
      <c r="J333" t="s">
        <v>22</v>
      </c>
    </row>
    <row r="334" spans="1:10" x14ac:dyDescent="0.35">
      <c r="A334">
        <v>333</v>
      </c>
      <c r="B334" s="1" t="s">
        <v>29</v>
      </c>
      <c r="C334">
        <v>2015</v>
      </c>
      <c r="D334" s="4">
        <v>1.3</v>
      </c>
      <c r="E334" s="5">
        <v>19346</v>
      </c>
      <c r="F334" s="1" t="s">
        <v>11</v>
      </c>
      <c r="G334" s="10">
        <v>8719.2999999999993</v>
      </c>
      <c r="H334" s="1" t="s">
        <v>38</v>
      </c>
      <c r="I334" t="s">
        <v>51</v>
      </c>
      <c r="J334" t="s">
        <v>14</v>
      </c>
    </row>
    <row r="335" spans="1:10" x14ac:dyDescent="0.35">
      <c r="A335">
        <v>334</v>
      </c>
      <c r="B335" s="1" t="s">
        <v>27</v>
      </c>
      <c r="C335">
        <v>2011</v>
      </c>
      <c r="D335" s="4">
        <v>1.5</v>
      </c>
      <c r="E335" s="5">
        <v>297194</v>
      </c>
      <c r="F335" s="1" t="s">
        <v>11</v>
      </c>
      <c r="G335" s="10">
        <v>93917.45</v>
      </c>
      <c r="H335" s="1" t="s">
        <v>28</v>
      </c>
      <c r="I335" t="s">
        <v>52</v>
      </c>
      <c r="J335" t="s">
        <v>22</v>
      </c>
    </row>
    <row r="336" spans="1:10" x14ac:dyDescent="0.35">
      <c r="A336">
        <v>335</v>
      </c>
      <c r="B336" s="1" t="s">
        <v>25</v>
      </c>
      <c r="C336">
        <v>2007</v>
      </c>
      <c r="D336" s="4">
        <v>6</v>
      </c>
      <c r="E336" s="5">
        <v>270888</v>
      </c>
      <c r="F336" s="1" t="s">
        <v>11</v>
      </c>
      <c r="G336" s="10">
        <v>14031.19</v>
      </c>
      <c r="H336" s="1" t="s">
        <v>26</v>
      </c>
      <c r="I336" t="s">
        <v>52</v>
      </c>
      <c r="J336" t="s">
        <v>22</v>
      </c>
    </row>
    <row r="337" spans="1:10" x14ac:dyDescent="0.35">
      <c r="A337">
        <v>336</v>
      </c>
      <c r="B337" s="1" t="s">
        <v>25</v>
      </c>
      <c r="C337">
        <v>2019</v>
      </c>
      <c r="D337" s="4">
        <v>2.6</v>
      </c>
      <c r="E337" s="5">
        <v>61596</v>
      </c>
      <c r="F337" s="1" t="s">
        <v>15</v>
      </c>
      <c r="G337" s="10">
        <v>69032.179999999993</v>
      </c>
      <c r="H337" s="1" t="s">
        <v>41</v>
      </c>
      <c r="I337" t="s">
        <v>52</v>
      </c>
      <c r="J337" t="s">
        <v>22</v>
      </c>
    </row>
    <row r="338" spans="1:10" x14ac:dyDescent="0.35">
      <c r="A338">
        <v>337</v>
      </c>
      <c r="B338" s="1" t="s">
        <v>23</v>
      </c>
      <c r="C338">
        <v>2002</v>
      </c>
      <c r="D338" s="4">
        <v>4.7</v>
      </c>
      <c r="E338" s="5">
        <v>214469</v>
      </c>
      <c r="F338" s="1" t="s">
        <v>11</v>
      </c>
      <c r="G338" s="10">
        <v>17672.68</v>
      </c>
      <c r="H338" s="1" t="s">
        <v>32</v>
      </c>
      <c r="I338" t="s">
        <v>13</v>
      </c>
      <c r="J338" t="s">
        <v>22</v>
      </c>
    </row>
    <row r="339" spans="1:10" x14ac:dyDescent="0.35">
      <c r="A339">
        <v>338</v>
      </c>
      <c r="B339" s="1" t="s">
        <v>10</v>
      </c>
      <c r="C339">
        <v>2015</v>
      </c>
      <c r="D339" s="4">
        <v>5</v>
      </c>
      <c r="E339" s="5">
        <v>177175</v>
      </c>
      <c r="F339" s="1" t="s">
        <v>11</v>
      </c>
      <c r="G339" s="10">
        <v>88591.02</v>
      </c>
      <c r="H339" s="1" t="s">
        <v>17</v>
      </c>
      <c r="I339" t="s">
        <v>13</v>
      </c>
      <c r="J339" t="s">
        <v>14</v>
      </c>
    </row>
    <row r="340" spans="1:10" x14ac:dyDescent="0.35">
      <c r="A340">
        <v>339</v>
      </c>
      <c r="B340" s="1" t="s">
        <v>35</v>
      </c>
      <c r="C340">
        <v>2012</v>
      </c>
      <c r="D340" s="4">
        <v>5.3</v>
      </c>
      <c r="E340" s="5">
        <v>153048</v>
      </c>
      <c r="F340" s="1" t="s">
        <v>16</v>
      </c>
      <c r="G340" s="10">
        <v>53517.760000000002</v>
      </c>
      <c r="H340" s="1" t="s">
        <v>36</v>
      </c>
      <c r="I340" t="s">
        <v>13</v>
      </c>
      <c r="J340" t="s">
        <v>22</v>
      </c>
    </row>
    <row r="341" spans="1:10" x14ac:dyDescent="0.35">
      <c r="A341">
        <v>340</v>
      </c>
      <c r="B341" s="1" t="s">
        <v>35</v>
      </c>
      <c r="C341">
        <v>2022</v>
      </c>
      <c r="D341" s="4">
        <v>6</v>
      </c>
      <c r="E341" s="5">
        <v>6277</v>
      </c>
      <c r="F341" s="1" t="s">
        <v>11</v>
      </c>
      <c r="G341" s="10">
        <v>12817.89</v>
      </c>
      <c r="H341" s="1" t="s">
        <v>50</v>
      </c>
      <c r="I341" t="s">
        <v>51</v>
      </c>
      <c r="J341" t="s">
        <v>14</v>
      </c>
    </row>
    <row r="342" spans="1:10" x14ac:dyDescent="0.35">
      <c r="A342">
        <v>341</v>
      </c>
      <c r="B342" s="1" t="s">
        <v>23</v>
      </c>
      <c r="C342">
        <v>2018</v>
      </c>
      <c r="D342" s="4">
        <v>2.2000000000000002</v>
      </c>
      <c r="E342" s="5">
        <v>133332</v>
      </c>
      <c r="F342" s="1" t="s">
        <v>11</v>
      </c>
      <c r="G342" s="10">
        <v>63588.79</v>
      </c>
      <c r="H342" s="1" t="s">
        <v>42</v>
      </c>
      <c r="I342" t="s">
        <v>53</v>
      </c>
      <c r="J342" t="s">
        <v>14</v>
      </c>
    </row>
    <row r="343" spans="1:10" x14ac:dyDescent="0.35">
      <c r="A343">
        <v>342</v>
      </c>
      <c r="B343" s="1" t="s">
        <v>23</v>
      </c>
      <c r="C343">
        <v>2007</v>
      </c>
      <c r="D343" s="4">
        <v>1.2</v>
      </c>
      <c r="E343" s="5">
        <v>240515</v>
      </c>
      <c r="F343" s="1" t="s">
        <v>15</v>
      </c>
      <c r="G343" s="10">
        <v>5865.44</v>
      </c>
      <c r="H343" s="1" t="s">
        <v>42</v>
      </c>
      <c r="I343" t="s">
        <v>53</v>
      </c>
      <c r="J343" t="s">
        <v>14</v>
      </c>
    </row>
    <row r="344" spans="1:10" x14ac:dyDescent="0.35">
      <c r="A344">
        <v>343</v>
      </c>
      <c r="B344" s="1" t="s">
        <v>23</v>
      </c>
      <c r="C344">
        <v>2021</v>
      </c>
      <c r="D344" s="4">
        <v>3.1</v>
      </c>
      <c r="E344" s="5">
        <v>260577</v>
      </c>
      <c r="F344" s="1" t="s">
        <v>16</v>
      </c>
      <c r="G344" s="10">
        <v>78722.11</v>
      </c>
      <c r="H344" s="1" t="s">
        <v>32</v>
      </c>
      <c r="I344" t="s">
        <v>51</v>
      </c>
      <c r="J344" t="s">
        <v>14</v>
      </c>
    </row>
    <row r="345" spans="1:10" x14ac:dyDescent="0.35">
      <c r="A345">
        <v>344</v>
      </c>
      <c r="B345" s="1" t="s">
        <v>27</v>
      </c>
      <c r="C345">
        <v>2004</v>
      </c>
      <c r="D345" s="4">
        <v>1.7</v>
      </c>
      <c r="E345" s="5">
        <v>196955</v>
      </c>
      <c r="F345" s="1" t="s">
        <v>15</v>
      </c>
      <c r="G345" s="10">
        <v>66805.570000000007</v>
      </c>
      <c r="H345" s="1" t="s">
        <v>40</v>
      </c>
      <c r="I345" t="s">
        <v>51</v>
      </c>
      <c r="J345" t="s">
        <v>22</v>
      </c>
    </row>
    <row r="346" spans="1:10" x14ac:dyDescent="0.35">
      <c r="A346">
        <v>345</v>
      </c>
      <c r="B346" s="1" t="s">
        <v>29</v>
      </c>
      <c r="C346">
        <v>2019</v>
      </c>
      <c r="D346" s="4">
        <v>1.1000000000000001</v>
      </c>
      <c r="E346" s="5">
        <v>286885</v>
      </c>
      <c r="F346" s="1" t="s">
        <v>15</v>
      </c>
      <c r="G346" s="10">
        <v>25199.35</v>
      </c>
      <c r="H346" s="1" t="s">
        <v>30</v>
      </c>
      <c r="I346" t="s">
        <v>52</v>
      </c>
      <c r="J346" t="s">
        <v>14</v>
      </c>
    </row>
    <row r="347" spans="1:10" x14ac:dyDescent="0.35">
      <c r="A347">
        <v>346</v>
      </c>
      <c r="B347" s="1" t="s">
        <v>35</v>
      </c>
      <c r="C347">
        <v>2007</v>
      </c>
      <c r="D347" s="4">
        <v>2.8</v>
      </c>
      <c r="E347" s="5">
        <v>299355</v>
      </c>
      <c r="F347" s="1" t="s">
        <v>15</v>
      </c>
      <c r="G347" s="10">
        <v>40601.339999999997</v>
      </c>
      <c r="H347" s="1" t="s">
        <v>47</v>
      </c>
      <c r="I347" t="s">
        <v>52</v>
      </c>
      <c r="J347" t="s">
        <v>22</v>
      </c>
    </row>
    <row r="348" spans="1:10" x14ac:dyDescent="0.35">
      <c r="A348">
        <v>347</v>
      </c>
      <c r="B348" s="1" t="s">
        <v>27</v>
      </c>
      <c r="C348">
        <v>2023</v>
      </c>
      <c r="D348" s="4">
        <v>4.9000000000000004</v>
      </c>
      <c r="E348" s="5">
        <v>240464</v>
      </c>
      <c r="F348" s="1" t="s">
        <v>11</v>
      </c>
      <c r="G348" s="10">
        <v>5741.64</v>
      </c>
      <c r="H348" s="1" t="s">
        <v>40</v>
      </c>
      <c r="I348" t="s">
        <v>13</v>
      </c>
      <c r="J348" t="s">
        <v>22</v>
      </c>
    </row>
    <row r="349" spans="1:10" x14ac:dyDescent="0.35">
      <c r="A349">
        <v>348</v>
      </c>
      <c r="B349" s="1" t="s">
        <v>23</v>
      </c>
      <c r="C349">
        <v>2011</v>
      </c>
      <c r="D349" s="4">
        <v>3.8</v>
      </c>
      <c r="E349" s="5">
        <v>258445</v>
      </c>
      <c r="F349" s="1" t="s">
        <v>15</v>
      </c>
      <c r="G349" s="10">
        <v>70899.960000000006</v>
      </c>
      <c r="H349" s="1" t="s">
        <v>34</v>
      </c>
      <c r="I349" t="s">
        <v>13</v>
      </c>
      <c r="J349" t="s">
        <v>22</v>
      </c>
    </row>
    <row r="350" spans="1:10" x14ac:dyDescent="0.35">
      <c r="A350">
        <v>349</v>
      </c>
      <c r="B350" s="1" t="s">
        <v>35</v>
      </c>
      <c r="C350">
        <v>2000</v>
      </c>
      <c r="D350" s="4">
        <v>2.6</v>
      </c>
      <c r="E350" s="5">
        <v>269013</v>
      </c>
      <c r="F350" s="1" t="s">
        <v>15</v>
      </c>
      <c r="G350" s="10">
        <v>35653.47</v>
      </c>
      <c r="H350" s="1" t="s">
        <v>45</v>
      </c>
      <c r="I350" t="s">
        <v>51</v>
      </c>
      <c r="J350" t="s">
        <v>14</v>
      </c>
    </row>
    <row r="351" spans="1:10" x14ac:dyDescent="0.35">
      <c r="A351">
        <v>350</v>
      </c>
      <c r="B351" s="1" t="s">
        <v>27</v>
      </c>
      <c r="C351">
        <v>2020</v>
      </c>
      <c r="D351" s="4">
        <v>4.3</v>
      </c>
      <c r="E351" s="5">
        <v>94515</v>
      </c>
      <c r="F351" s="1" t="s">
        <v>16</v>
      </c>
      <c r="G351" s="10">
        <v>59300.95</v>
      </c>
      <c r="H351" s="1" t="s">
        <v>37</v>
      </c>
      <c r="I351" t="s">
        <v>13</v>
      </c>
      <c r="J351" t="s">
        <v>22</v>
      </c>
    </row>
    <row r="352" spans="1:10" x14ac:dyDescent="0.35">
      <c r="A352">
        <v>351</v>
      </c>
      <c r="B352" s="1" t="s">
        <v>29</v>
      </c>
      <c r="C352">
        <v>2019</v>
      </c>
      <c r="D352" s="4">
        <v>2.2000000000000002</v>
      </c>
      <c r="E352" s="5">
        <v>150494</v>
      </c>
      <c r="F352" s="1" t="s">
        <v>16</v>
      </c>
      <c r="G352" s="10">
        <v>95889.12</v>
      </c>
      <c r="H352" s="1" t="s">
        <v>38</v>
      </c>
      <c r="I352" t="s">
        <v>53</v>
      </c>
      <c r="J352" t="s">
        <v>14</v>
      </c>
    </row>
    <row r="353" spans="1:10" x14ac:dyDescent="0.35">
      <c r="A353">
        <v>352</v>
      </c>
      <c r="B353" s="1" t="s">
        <v>27</v>
      </c>
      <c r="C353">
        <v>2005</v>
      </c>
      <c r="D353" s="4">
        <v>1.1000000000000001</v>
      </c>
      <c r="E353" s="5">
        <v>166685</v>
      </c>
      <c r="F353" s="1" t="s">
        <v>16</v>
      </c>
      <c r="G353" s="10">
        <v>33449.339999999997</v>
      </c>
      <c r="H353" s="1" t="s">
        <v>40</v>
      </c>
      <c r="I353" t="s">
        <v>51</v>
      </c>
      <c r="J353" t="s">
        <v>14</v>
      </c>
    </row>
    <row r="354" spans="1:10" x14ac:dyDescent="0.35">
      <c r="A354">
        <v>353</v>
      </c>
      <c r="B354" s="1" t="s">
        <v>29</v>
      </c>
      <c r="C354">
        <v>2021</v>
      </c>
      <c r="D354" s="4">
        <v>4.8</v>
      </c>
      <c r="E354" s="5">
        <v>188088</v>
      </c>
      <c r="F354" s="1" t="s">
        <v>16</v>
      </c>
      <c r="G354" s="10">
        <v>99072.6</v>
      </c>
      <c r="H354" s="1" t="s">
        <v>31</v>
      </c>
      <c r="I354" t="s">
        <v>51</v>
      </c>
      <c r="J354" t="s">
        <v>14</v>
      </c>
    </row>
    <row r="355" spans="1:10" x14ac:dyDescent="0.35">
      <c r="A355">
        <v>354</v>
      </c>
      <c r="B355" s="1" t="s">
        <v>23</v>
      </c>
      <c r="C355">
        <v>2017</v>
      </c>
      <c r="D355" s="4">
        <v>4.0999999999999996</v>
      </c>
      <c r="E355" s="5">
        <v>60110</v>
      </c>
      <c r="F355" s="1" t="s">
        <v>15</v>
      </c>
      <c r="G355" s="10">
        <v>65109.2</v>
      </c>
      <c r="H355" s="1" t="s">
        <v>34</v>
      </c>
      <c r="I355" t="s">
        <v>53</v>
      </c>
      <c r="J355" t="s">
        <v>14</v>
      </c>
    </row>
    <row r="356" spans="1:10" x14ac:dyDescent="0.35">
      <c r="A356">
        <v>355</v>
      </c>
      <c r="B356" s="1" t="s">
        <v>29</v>
      </c>
      <c r="C356">
        <v>2007</v>
      </c>
      <c r="D356" s="4">
        <v>4.8</v>
      </c>
      <c r="E356" s="5">
        <v>219601</v>
      </c>
      <c r="F356" s="1" t="s">
        <v>16</v>
      </c>
      <c r="G356" s="10">
        <v>27998.42</v>
      </c>
      <c r="H356" s="1" t="s">
        <v>43</v>
      </c>
      <c r="I356" t="s">
        <v>52</v>
      </c>
      <c r="J356" t="s">
        <v>14</v>
      </c>
    </row>
    <row r="357" spans="1:10" x14ac:dyDescent="0.35">
      <c r="A357">
        <v>356</v>
      </c>
      <c r="B357" s="1" t="s">
        <v>35</v>
      </c>
      <c r="C357">
        <v>2006</v>
      </c>
      <c r="D357" s="4">
        <v>1.2</v>
      </c>
      <c r="E357" s="5">
        <v>208994</v>
      </c>
      <c r="F357" s="1" t="s">
        <v>11</v>
      </c>
      <c r="G357" s="10">
        <v>46493.9</v>
      </c>
      <c r="H357" s="1" t="s">
        <v>47</v>
      </c>
      <c r="I357" t="s">
        <v>52</v>
      </c>
      <c r="J357" t="s">
        <v>22</v>
      </c>
    </row>
    <row r="358" spans="1:10" x14ac:dyDescent="0.35">
      <c r="A358">
        <v>357</v>
      </c>
      <c r="B358" s="1" t="s">
        <v>23</v>
      </c>
      <c r="C358">
        <v>2000</v>
      </c>
      <c r="D358" s="4">
        <v>5.2</v>
      </c>
      <c r="E358" s="5">
        <v>296177</v>
      </c>
      <c r="F358" s="1" t="s">
        <v>15</v>
      </c>
      <c r="G358" s="10">
        <v>75343.05</v>
      </c>
      <c r="H358" s="1" t="s">
        <v>32</v>
      </c>
      <c r="I358" t="s">
        <v>53</v>
      </c>
      <c r="J358" t="s">
        <v>22</v>
      </c>
    </row>
    <row r="359" spans="1:10" x14ac:dyDescent="0.35">
      <c r="A359">
        <v>358</v>
      </c>
      <c r="B359" s="1" t="s">
        <v>35</v>
      </c>
      <c r="C359">
        <v>2020</v>
      </c>
      <c r="D359" s="4">
        <v>4.0999999999999996</v>
      </c>
      <c r="E359" s="5">
        <v>260705</v>
      </c>
      <c r="F359" s="1" t="s">
        <v>16</v>
      </c>
      <c r="G359" s="10">
        <v>47415.4</v>
      </c>
      <c r="H359" s="1" t="s">
        <v>50</v>
      </c>
      <c r="I359" t="s">
        <v>53</v>
      </c>
      <c r="J359" t="s">
        <v>14</v>
      </c>
    </row>
    <row r="360" spans="1:10" x14ac:dyDescent="0.35">
      <c r="A360">
        <v>359</v>
      </c>
      <c r="B360" s="1" t="s">
        <v>25</v>
      </c>
      <c r="C360">
        <v>2015</v>
      </c>
      <c r="D360" s="4">
        <v>3.8</v>
      </c>
      <c r="E360" s="5">
        <v>12938</v>
      </c>
      <c r="F360" s="1" t="s">
        <v>15</v>
      </c>
      <c r="G360" s="10">
        <v>11508.22</v>
      </c>
      <c r="H360" s="1" t="s">
        <v>41</v>
      </c>
      <c r="I360" t="s">
        <v>13</v>
      </c>
      <c r="J360" t="s">
        <v>22</v>
      </c>
    </row>
    <row r="361" spans="1:10" x14ac:dyDescent="0.35">
      <c r="A361">
        <v>360</v>
      </c>
      <c r="B361" s="1" t="s">
        <v>20</v>
      </c>
      <c r="C361">
        <v>2011</v>
      </c>
      <c r="D361" s="4">
        <v>4.0999999999999996</v>
      </c>
      <c r="E361" s="5">
        <v>130842</v>
      </c>
      <c r="F361" s="1" t="s">
        <v>16</v>
      </c>
      <c r="G361" s="10">
        <v>21017.35</v>
      </c>
      <c r="H361" s="1" t="s">
        <v>39</v>
      </c>
      <c r="I361" t="s">
        <v>51</v>
      </c>
      <c r="J361" t="s">
        <v>14</v>
      </c>
    </row>
    <row r="362" spans="1:10" x14ac:dyDescent="0.35">
      <c r="A362">
        <v>361</v>
      </c>
      <c r="B362" s="1" t="s">
        <v>29</v>
      </c>
      <c r="C362">
        <v>2005</v>
      </c>
      <c r="D362" s="4">
        <v>5.3</v>
      </c>
      <c r="E362" s="5">
        <v>264418</v>
      </c>
      <c r="F362" s="1" t="s">
        <v>15</v>
      </c>
      <c r="G362" s="10">
        <v>80173.289999999994</v>
      </c>
      <c r="H362" s="1" t="s">
        <v>31</v>
      </c>
      <c r="I362" t="s">
        <v>13</v>
      </c>
      <c r="J362" t="s">
        <v>22</v>
      </c>
    </row>
    <row r="363" spans="1:10" x14ac:dyDescent="0.35">
      <c r="A363">
        <v>362</v>
      </c>
      <c r="B363" s="1" t="s">
        <v>20</v>
      </c>
      <c r="C363">
        <v>2019</v>
      </c>
      <c r="D363" s="4">
        <v>3.9</v>
      </c>
      <c r="E363" s="5">
        <v>150033</v>
      </c>
      <c r="F363" s="1" t="s">
        <v>16</v>
      </c>
      <c r="G363" s="10">
        <v>66595.44</v>
      </c>
      <c r="H363" s="1" t="s">
        <v>21</v>
      </c>
      <c r="I363" t="s">
        <v>53</v>
      </c>
      <c r="J363" t="s">
        <v>22</v>
      </c>
    </row>
    <row r="364" spans="1:10" x14ac:dyDescent="0.35">
      <c r="A364">
        <v>363</v>
      </c>
      <c r="B364" s="1" t="s">
        <v>20</v>
      </c>
      <c r="C364">
        <v>2001</v>
      </c>
      <c r="D364" s="4">
        <v>3.9</v>
      </c>
      <c r="E364" s="5">
        <v>20044</v>
      </c>
      <c r="F364" s="1" t="s">
        <v>11</v>
      </c>
      <c r="G364" s="10">
        <v>59133.42</v>
      </c>
      <c r="H364" s="1" t="s">
        <v>39</v>
      </c>
      <c r="I364" t="s">
        <v>13</v>
      </c>
      <c r="J364" t="s">
        <v>22</v>
      </c>
    </row>
    <row r="365" spans="1:10" x14ac:dyDescent="0.35">
      <c r="A365">
        <v>364</v>
      </c>
      <c r="B365" s="1" t="s">
        <v>29</v>
      </c>
      <c r="C365">
        <v>2013</v>
      </c>
      <c r="D365" s="4">
        <v>6</v>
      </c>
      <c r="E365" s="5">
        <v>99372</v>
      </c>
      <c r="F365" s="1" t="s">
        <v>16</v>
      </c>
      <c r="G365" s="10">
        <v>20924.09</v>
      </c>
      <c r="H365" s="1" t="s">
        <v>30</v>
      </c>
      <c r="I365" t="s">
        <v>53</v>
      </c>
      <c r="J365" t="s">
        <v>22</v>
      </c>
    </row>
    <row r="366" spans="1:10" x14ac:dyDescent="0.35">
      <c r="A366">
        <v>365</v>
      </c>
      <c r="B366" s="1" t="s">
        <v>23</v>
      </c>
      <c r="C366">
        <v>2003</v>
      </c>
      <c r="D366" s="4">
        <v>4.8</v>
      </c>
      <c r="E366" s="5">
        <v>276850</v>
      </c>
      <c r="F366" s="1" t="s">
        <v>15</v>
      </c>
      <c r="G366" s="10">
        <v>84586.96</v>
      </c>
      <c r="H366" s="1" t="s">
        <v>42</v>
      </c>
      <c r="I366" t="s">
        <v>13</v>
      </c>
      <c r="J366" t="s">
        <v>22</v>
      </c>
    </row>
    <row r="367" spans="1:10" x14ac:dyDescent="0.35">
      <c r="A367">
        <v>366</v>
      </c>
      <c r="B367" s="1" t="s">
        <v>25</v>
      </c>
      <c r="C367">
        <v>2000</v>
      </c>
      <c r="D367" s="4">
        <v>3.2</v>
      </c>
      <c r="E367" s="5">
        <v>137046</v>
      </c>
      <c r="F367" s="1" t="s">
        <v>15</v>
      </c>
      <c r="G367" s="10">
        <v>96270.31</v>
      </c>
      <c r="H367" s="1" t="s">
        <v>26</v>
      </c>
      <c r="I367" t="s">
        <v>13</v>
      </c>
      <c r="J367" t="s">
        <v>22</v>
      </c>
    </row>
    <row r="368" spans="1:10" x14ac:dyDescent="0.35">
      <c r="A368">
        <v>367</v>
      </c>
      <c r="B368" s="1" t="s">
        <v>35</v>
      </c>
      <c r="C368">
        <v>2022</v>
      </c>
      <c r="D368" s="4">
        <v>4.5</v>
      </c>
      <c r="E368" s="5">
        <v>21213</v>
      </c>
      <c r="F368" s="1" t="s">
        <v>11</v>
      </c>
      <c r="G368" s="10">
        <v>8884.27</v>
      </c>
      <c r="H368" s="1" t="s">
        <v>36</v>
      </c>
      <c r="I368" t="s">
        <v>52</v>
      </c>
      <c r="J368" t="s">
        <v>22</v>
      </c>
    </row>
    <row r="369" spans="1:10" x14ac:dyDescent="0.35">
      <c r="A369">
        <v>368</v>
      </c>
      <c r="B369" s="1" t="s">
        <v>27</v>
      </c>
      <c r="C369">
        <v>2017</v>
      </c>
      <c r="D369" s="4">
        <v>2.9</v>
      </c>
      <c r="E369" s="5">
        <v>1950</v>
      </c>
      <c r="F369" s="1" t="s">
        <v>15</v>
      </c>
      <c r="G369" s="10">
        <v>12413.03</v>
      </c>
      <c r="H369" s="1" t="s">
        <v>48</v>
      </c>
      <c r="I369" t="s">
        <v>53</v>
      </c>
      <c r="J369" t="s">
        <v>22</v>
      </c>
    </row>
    <row r="370" spans="1:10" x14ac:dyDescent="0.35">
      <c r="A370">
        <v>369</v>
      </c>
      <c r="B370" s="1" t="s">
        <v>35</v>
      </c>
      <c r="C370">
        <v>2012</v>
      </c>
      <c r="D370" s="4">
        <v>2.1</v>
      </c>
      <c r="E370" s="5">
        <v>254043</v>
      </c>
      <c r="F370" s="1" t="s">
        <v>11</v>
      </c>
      <c r="G370" s="10">
        <v>89048.83</v>
      </c>
      <c r="H370" s="1" t="s">
        <v>50</v>
      </c>
      <c r="I370" t="s">
        <v>13</v>
      </c>
      <c r="J370" t="s">
        <v>22</v>
      </c>
    </row>
    <row r="371" spans="1:10" x14ac:dyDescent="0.35">
      <c r="A371">
        <v>370</v>
      </c>
      <c r="B371" s="1" t="s">
        <v>27</v>
      </c>
      <c r="C371">
        <v>2001</v>
      </c>
      <c r="D371" s="4">
        <v>4</v>
      </c>
      <c r="E371" s="5">
        <v>216085</v>
      </c>
      <c r="F371" s="1" t="s">
        <v>15</v>
      </c>
      <c r="G371" s="10">
        <v>82477.460000000006</v>
      </c>
      <c r="H371" s="1" t="s">
        <v>40</v>
      </c>
      <c r="I371" t="s">
        <v>51</v>
      </c>
      <c r="J371" t="s">
        <v>22</v>
      </c>
    </row>
    <row r="372" spans="1:10" x14ac:dyDescent="0.35">
      <c r="A372">
        <v>371</v>
      </c>
      <c r="B372" s="1" t="s">
        <v>35</v>
      </c>
      <c r="C372">
        <v>2008</v>
      </c>
      <c r="D372" s="4">
        <v>5.6</v>
      </c>
      <c r="E372" s="5">
        <v>272555</v>
      </c>
      <c r="F372" s="1" t="s">
        <v>15</v>
      </c>
      <c r="G372" s="10">
        <v>63703.77</v>
      </c>
      <c r="H372" s="1" t="s">
        <v>36</v>
      </c>
      <c r="I372" t="s">
        <v>13</v>
      </c>
      <c r="J372" t="s">
        <v>22</v>
      </c>
    </row>
    <row r="373" spans="1:10" x14ac:dyDescent="0.35">
      <c r="A373">
        <v>372</v>
      </c>
      <c r="B373" s="1" t="s">
        <v>29</v>
      </c>
      <c r="C373">
        <v>2020</v>
      </c>
      <c r="D373" s="4">
        <v>5.6</v>
      </c>
      <c r="E373" s="5">
        <v>148843</v>
      </c>
      <c r="F373" s="1" t="s">
        <v>11</v>
      </c>
      <c r="G373" s="10">
        <v>94771.69</v>
      </c>
      <c r="H373" s="1" t="s">
        <v>43</v>
      </c>
      <c r="I373" t="s">
        <v>13</v>
      </c>
      <c r="J373" t="s">
        <v>22</v>
      </c>
    </row>
    <row r="374" spans="1:10" x14ac:dyDescent="0.35">
      <c r="A374">
        <v>373</v>
      </c>
      <c r="B374" s="1" t="s">
        <v>25</v>
      </c>
      <c r="C374">
        <v>2001</v>
      </c>
      <c r="D374" s="4">
        <v>2.7</v>
      </c>
      <c r="E374" s="5">
        <v>297197</v>
      </c>
      <c r="F374" s="1" t="s">
        <v>15</v>
      </c>
      <c r="G374" s="10">
        <v>66410.899999999994</v>
      </c>
      <c r="H374" s="1" t="s">
        <v>44</v>
      </c>
      <c r="I374" t="s">
        <v>51</v>
      </c>
      <c r="J374" t="s">
        <v>22</v>
      </c>
    </row>
    <row r="375" spans="1:10" x14ac:dyDescent="0.35">
      <c r="A375">
        <v>374</v>
      </c>
      <c r="B375" s="1" t="s">
        <v>27</v>
      </c>
      <c r="C375">
        <v>2008</v>
      </c>
      <c r="D375" s="4">
        <v>3.6</v>
      </c>
      <c r="E375" s="5">
        <v>248966</v>
      </c>
      <c r="F375" s="1" t="s">
        <v>15</v>
      </c>
      <c r="G375" s="10">
        <v>25518.6</v>
      </c>
      <c r="H375" s="1" t="s">
        <v>37</v>
      </c>
      <c r="I375" t="s">
        <v>53</v>
      </c>
      <c r="J375" t="s">
        <v>14</v>
      </c>
    </row>
    <row r="376" spans="1:10" x14ac:dyDescent="0.35">
      <c r="A376">
        <v>375</v>
      </c>
      <c r="B376" s="1" t="s">
        <v>10</v>
      </c>
      <c r="C376">
        <v>2000</v>
      </c>
      <c r="D376" s="4">
        <v>2.1</v>
      </c>
      <c r="E376" s="5">
        <v>138117</v>
      </c>
      <c r="F376" s="1" t="s">
        <v>11</v>
      </c>
      <c r="G376" s="10">
        <v>74221.02</v>
      </c>
      <c r="H376" s="1" t="s">
        <v>12</v>
      </c>
      <c r="I376" t="s">
        <v>13</v>
      </c>
      <c r="J376" t="s">
        <v>14</v>
      </c>
    </row>
    <row r="377" spans="1:10" x14ac:dyDescent="0.35">
      <c r="A377">
        <v>376</v>
      </c>
      <c r="B377" s="1" t="s">
        <v>23</v>
      </c>
      <c r="C377">
        <v>2010</v>
      </c>
      <c r="D377" s="4">
        <v>6</v>
      </c>
      <c r="E377" s="5">
        <v>29714</v>
      </c>
      <c r="F377" s="1" t="s">
        <v>16</v>
      </c>
      <c r="G377" s="10">
        <v>66342.48</v>
      </c>
      <c r="H377" s="1" t="s">
        <v>24</v>
      </c>
      <c r="I377" t="s">
        <v>52</v>
      </c>
      <c r="J377" t="s">
        <v>22</v>
      </c>
    </row>
    <row r="378" spans="1:10" x14ac:dyDescent="0.35">
      <c r="A378">
        <v>377</v>
      </c>
      <c r="B378" s="1" t="s">
        <v>35</v>
      </c>
      <c r="C378">
        <v>2002</v>
      </c>
      <c r="D378" s="4">
        <v>5.9</v>
      </c>
      <c r="E378" s="5">
        <v>165458</v>
      </c>
      <c r="F378" s="1" t="s">
        <v>11</v>
      </c>
      <c r="G378" s="10">
        <v>98645.75</v>
      </c>
      <c r="H378" s="1" t="s">
        <v>50</v>
      </c>
      <c r="I378" t="s">
        <v>52</v>
      </c>
      <c r="J378" t="s">
        <v>22</v>
      </c>
    </row>
    <row r="379" spans="1:10" x14ac:dyDescent="0.35">
      <c r="A379">
        <v>378</v>
      </c>
      <c r="B379" s="1" t="s">
        <v>35</v>
      </c>
      <c r="C379">
        <v>2019</v>
      </c>
      <c r="D379" s="4">
        <v>4.2</v>
      </c>
      <c r="E379" s="5">
        <v>270706</v>
      </c>
      <c r="F379" s="1" t="s">
        <v>15</v>
      </c>
      <c r="G379" s="10">
        <v>25320.09</v>
      </c>
      <c r="H379" s="1" t="s">
        <v>45</v>
      </c>
      <c r="I379" t="s">
        <v>51</v>
      </c>
      <c r="J379" t="s">
        <v>22</v>
      </c>
    </row>
    <row r="380" spans="1:10" x14ac:dyDescent="0.35">
      <c r="A380">
        <v>379</v>
      </c>
      <c r="B380" s="1" t="s">
        <v>27</v>
      </c>
      <c r="C380">
        <v>2022</v>
      </c>
      <c r="D380" s="4">
        <v>5</v>
      </c>
      <c r="E380" s="5">
        <v>12026</v>
      </c>
      <c r="F380" s="1" t="s">
        <v>16</v>
      </c>
      <c r="G380" s="10">
        <v>61799.07</v>
      </c>
      <c r="H380" s="1" t="s">
        <v>37</v>
      </c>
      <c r="I380" t="s">
        <v>13</v>
      </c>
      <c r="J380" t="s">
        <v>22</v>
      </c>
    </row>
    <row r="381" spans="1:10" x14ac:dyDescent="0.35">
      <c r="A381">
        <v>380</v>
      </c>
      <c r="B381" s="1" t="s">
        <v>23</v>
      </c>
      <c r="C381">
        <v>2003</v>
      </c>
      <c r="D381" s="4">
        <v>4.5999999999999996</v>
      </c>
      <c r="E381" s="5">
        <v>106147</v>
      </c>
      <c r="F381" s="1" t="s">
        <v>16</v>
      </c>
      <c r="G381" s="10">
        <v>79115.91</v>
      </c>
      <c r="H381" s="1" t="s">
        <v>42</v>
      </c>
      <c r="I381" t="s">
        <v>53</v>
      </c>
      <c r="J381" t="s">
        <v>22</v>
      </c>
    </row>
    <row r="382" spans="1:10" x14ac:dyDescent="0.35">
      <c r="A382">
        <v>381</v>
      </c>
      <c r="B382" s="1" t="s">
        <v>23</v>
      </c>
      <c r="C382">
        <v>2017</v>
      </c>
      <c r="D382" s="4">
        <v>4</v>
      </c>
      <c r="E382" s="5">
        <v>31589</v>
      </c>
      <c r="F382" s="1" t="s">
        <v>16</v>
      </c>
      <c r="G382" s="10">
        <v>37203.39</v>
      </c>
      <c r="H382" s="1" t="s">
        <v>42</v>
      </c>
      <c r="I382" t="s">
        <v>13</v>
      </c>
      <c r="J382" t="s">
        <v>14</v>
      </c>
    </row>
    <row r="383" spans="1:10" x14ac:dyDescent="0.35">
      <c r="A383">
        <v>382</v>
      </c>
      <c r="B383" s="1" t="s">
        <v>29</v>
      </c>
      <c r="C383">
        <v>2022</v>
      </c>
      <c r="D383" s="4">
        <v>1.3</v>
      </c>
      <c r="E383" s="5">
        <v>108199</v>
      </c>
      <c r="F383" s="1" t="s">
        <v>11</v>
      </c>
      <c r="G383" s="10">
        <v>41069.56</v>
      </c>
      <c r="H383" s="1" t="s">
        <v>31</v>
      </c>
      <c r="I383" t="s">
        <v>52</v>
      </c>
      <c r="J383" t="s">
        <v>14</v>
      </c>
    </row>
    <row r="384" spans="1:10" x14ac:dyDescent="0.35">
      <c r="A384">
        <v>383</v>
      </c>
      <c r="B384" s="1" t="s">
        <v>10</v>
      </c>
      <c r="C384">
        <v>2005</v>
      </c>
      <c r="D384" s="4">
        <v>3.3</v>
      </c>
      <c r="E384" s="5">
        <v>288988</v>
      </c>
      <c r="F384" s="1" t="s">
        <v>16</v>
      </c>
      <c r="G384" s="10">
        <v>89350.67</v>
      </c>
      <c r="H384" s="1" t="s">
        <v>17</v>
      </c>
      <c r="I384" t="s">
        <v>13</v>
      </c>
      <c r="J384" t="s">
        <v>14</v>
      </c>
    </row>
    <row r="385" spans="1:10" x14ac:dyDescent="0.35">
      <c r="A385">
        <v>384</v>
      </c>
      <c r="B385" s="1" t="s">
        <v>29</v>
      </c>
      <c r="C385">
        <v>2002</v>
      </c>
      <c r="D385" s="4">
        <v>4.4000000000000004</v>
      </c>
      <c r="E385" s="5">
        <v>208574</v>
      </c>
      <c r="F385" s="1" t="s">
        <v>16</v>
      </c>
      <c r="G385" s="10">
        <v>43398.51</v>
      </c>
      <c r="H385" s="1" t="s">
        <v>30</v>
      </c>
      <c r="I385" t="s">
        <v>51</v>
      </c>
      <c r="J385" t="s">
        <v>22</v>
      </c>
    </row>
    <row r="386" spans="1:10" x14ac:dyDescent="0.35">
      <c r="A386">
        <v>385</v>
      </c>
      <c r="B386" s="1" t="s">
        <v>29</v>
      </c>
      <c r="C386">
        <v>2021</v>
      </c>
      <c r="D386" s="4">
        <v>4.4000000000000004</v>
      </c>
      <c r="E386" s="5">
        <v>214340</v>
      </c>
      <c r="F386" s="1" t="s">
        <v>16</v>
      </c>
      <c r="G386" s="10">
        <v>64349.62</v>
      </c>
      <c r="H386" s="1" t="s">
        <v>43</v>
      </c>
      <c r="I386" t="s">
        <v>51</v>
      </c>
      <c r="J386" t="s">
        <v>22</v>
      </c>
    </row>
    <row r="387" spans="1:10" x14ac:dyDescent="0.35">
      <c r="A387">
        <v>386</v>
      </c>
      <c r="B387" s="1" t="s">
        <v>29</v>
      </c>
      <c r="C387">
        <v>2010</v>
      </c>
      <c r="D387" s="4">
        <v>2.9</v>
      </c>
      <c r="E387" s="5">
        <v>54708</v>
      </c>
      <c r="F387" s="1" t="s">
        <v>15</v>
      </c>
      <c r="G387" s="10">
        <v>89477.62</v>
      </c>
      <c r="H387" s="1" t="s">
        <v>38</v>
      </c>
      <c r="I387" t="s">
        <v>53</v>
      </c>
      <c r="J387" t="s">
        <v>22</v>
      </c>
    </row>
    <row r="388" spans="1:10" x14ac:dyDescent="0.35">
      <c r="A388">
        <v>387</v>
      </c>
      <c r="B388" s="1" t="s">
        <v>29</v>
      </c>
      <c r="C388">
        <v>2014</v>
      </c>
      <c r="D388" s="4">
        <v>5.7</v>
      </c>
      <c r="E388" s="5">
        <v>70825</v>
      </c>
      <c r="F388" s="1" t="s">
        <v>11</v>
      </c>
      <c r="G388" s="10">
        <v>24933.53</v>
      </c>
      <c r="H388" s="1" t="s">
        <v>31</v>
      </c>
      <c r="I388" t="s">
        <v>53</v>
      </c>
      <c r="J388" t="s">
        <v>14</v>
      </c>
    </row>
    <row r="389" spans="1:10" x14ac:dyDescent="0.35">
      <c r="A389">
        <v>388</v>
      </c>
      <c r="B389" s="1" t="s">
        <v>29</v>
      </c>
      <c r="C389">
        <v>2021</v>
      </c>
      <c r="D389" s="4">
        <v>1.8</v>
      </c>
      <c r="E389" s="5">
        <v>51574</v>
      </c>
      <c r="F389" s="1" t="s">
        <v>11</v>
      </c>
      <c r="G389" s="10">
        <v>98278.34</v>
      </c>
      <c r="H389" s="1" t="s">
        <v>43</v>
      </c>
      <c r="I389" t="s">
        <v>52</v>
      </c>
      <c r="J389" t="s">
        <v>22</v>
      </c>
    </row>
    <row r="390" spans="1:10" x14ac:dyDescent="0.35">
      <c r="A390">
        <v>389</v>
      </c>
      <c r="B390" s="1" t="s">
        <v>25</v>
      </c>
      <c r="C390">
        <v>2004</v>
      </c>
      <c r="D390" s="4">
        <v>3.5</v>
      </c>
      <c r="E390" s="5">
        <v>232409</v>
      </c>
      <c r="F390" s="1" t="s">
        <v>15</v>
      </c>
      <c r="G390" s="10">
        <v>71685.59</v>
      </c>
      <c r="H390" s="1" t="s">
        <v>49</v>
      </c>
      <c r="I390" t="s">
        <v>53</v>
      </c>
      <c r="J390" t="s">
        <v>22</v>
      </c>
    </row>
    <row r="391" spans="1:10" x14ac:dyDescent="0.35">
      <c r="A391">
        <v>390</v>
      </c>
      <c r="B391" s="1" t="s">
        <v>23</v>
      </c>
      <c r="C391">
        <v>2019</v>
      </c>
      <c r="D391" s="4">
        <v>4.5</v>
      </c>
      <c r="E391" s="5">
        <v>186381</v>
      </c>
      <c r="F391" s="1" t="s">
        <v>16</v>
      </c>
      <c r="G391" s="10">
        <v>52131.56</v>
      </c>
      <c r="H391" s="1" t="s">
        <v>24</v>
      </c>
      <c r="I391" t="s">
        <v>13</v>
      </c>
      <c r="J391" t="s">
        <v>14</v>
      </c>
    </row>
    <row r="392" spans="1:10" x14ac:dyDescent="0.35">
      <c r="A392">
        <v>391</v>
      </c>
      <c r="B392" s="1" t="s">
        <v>29</v>
      </c>
      <c r="C392">
        <v>2009</v>
      </c>
      <c r="D392" s="4">
        <v>4.5</v>
      </c>
      <c r="E392" s="5">
        <v>64230</v>
      </c>
      <c r="F392" s="1" t="s">
        <v>15</v>
      </c>
      <c r="G392" s="10">
        <v>45937.45</v>
      </c>
      <c r="H392" s="1" t="s">
        <v>31</v>
      </c>
      <c r="I392" t="s">
        <v>51</v>
      </c>
      <c r="J392" t="s">
        <v>14</v>
      </c>
    </row>
    <row r="393" spans="1:10" x14ac:dyDescent="0.35">
      <c r="A393">
        <v>392</v>
      </c>
      <c r="B393" s="1" t="s">
        <v>23</v>
      </c>
      <c r="C393">
        <v>2011</v>
      </c>
      <c r="D393" s="4">
        <v>4.2</v>
      </c>
      <c r="E393" s="5">
        <v>254451</v>
      </c>
      <c r="F393" s="1" t="s">
        <v>15</v>
      </c>
      <c r="G393" s="10">
        <v>95664.639999999999</v>
      </c>
      <c r="H393" s="1" t="s">
        <v>32</v>
      </c>
      <c r="I393" t="s">
        <v>51</v>
      </c>
      <c r="J393" t="s">
        <v>22</v>
      </c>
    </row>
    <row r="394" spans="1:10" x14ac:dyDescent="0.35">
      <c r="A394">
        <v>393</v>
      </c>
      <c r="B394" s="1" t="s">
        <v>23</v>
      </c>
      <c r="C394">
        <v>2014</v>
      </c>
      <c r="D394" s="4">
        <v>2.4</v>
      </c>
      <c r="E394" s="5">
        <v>247174</v>
      </c>
      <c r="F394" s="1" t="s">
        <v>16</v>
      </c>
      <c r="G394" s="10">
        <v>24543.86</v>
      </c>
      <c r="H394" s="1" t="s">
        <v>42</v>
      </c>
      <c r="I394" t="s">
        <v>51</v>
      </c>
      <c r="J394" t="s">
        <v>22</v>
      </c>
    </row>
    <row r="395" spans="1:10" x14ac:dyDescent="0.35">
      <c r="A395">
        <v>394</v>
      </c>
      <c r="B395" s="1" t="s">
        <v>20</v>
      </c>
      <c r="C395">
        <v>2016</v>
      </c>
      <c r="D395" s="4">
        <v>1.8</v>
      </c>
      <c r="E395" s="5">
        <v>219700</v>
      </c>
      <c r="F395" s="1" t="s">
        <v>16</v>
      </c>
      <c r="G395" s="10">
        <v>34609.910000000003</v>
      </c>
      <c r="H395" s="1" t="s">
        <v>33</v>
      </c>
      <c r="I395" t="s">
        <v>53</v>
      </c>
      <c r="J395" t="s">
        <v>22</v>
      </c>
    </row>
    <row r="396" spans="1:10" x14ac:dyDescent="0.35">
      <c r="A396">
        <v>395</v>
      </c>
      <c r="B396" s="1" t="s">
        <v>25</v>
      </c>
      <c r="C396">
        <v>2009</v>
      </c>
      <c r="D396" s="4">
        <v>4.2</v>
      </c>
      <c r="E396" s="5">
        <v>287249</v>
      </c>
      <c r="F396" s="1" t="s">
        <v>11</v>
      </c>
      <c r="G396" s="10">
        <v>34240.31</v>
      </c>
      <c r="H396" s="1" t="s">
        <v>44</v>
      </c>
      <c r="I396" t="s">
        <v>51</v>
      </c>
      <c r="J396" t="s">
        <v>22</v>
      </c>
    </row>
    <row r="397" spans="1:10" x14ac:dyDescent="0.35">
      <c r="A397">
        <v>396</v>
      </c>
      <c r="B397" s="1" t="s">
        <v>29</v>
      </c>
      <c r="C397">
        <v>2005</v>
      </c>
      <c r="D397" s="4">
        <v>4</v>
      </c>
      <c r="E397" s="5">
        <v>246514</v>
      </c>
      <c r="F397" s="1" t="s">
        <v>16</v>
      </c>
      <c r="G397" s="10">
        <v>32455.599999999999</v>
      </c>
      <c r="H397" s="1" t="s">
        <v>43</v>
      </c>
      <c r="I397" t="s">
        <v>51</v>
      </c>
      <c r="J397" t="s">
        <v>14</v>
      </c>
    </row>
    <row r="398" spans="1:10" x14ac:dyDescent="0.35">
      <c r="A398">
        <v>397</v>
      </c>
      <c r="B398" s="1" t="s">
        <v>35</v>
      </c>
      <c r="C398">
        <v>2017</v>
      </c>
      <c r="D398" s="4">
        <v>1.9</v>
      </c>
      <c r="E398" s="5">
        <v>264491</v>
      </c>
      <c r="F398" s="1" t="s">
        <v>15</v>
      </c>
      <c r="G398" s="10">
        <v>49511.11</v>
      </c>
      <c r="H398" s="1" t="s">
        <v>50</v>
      </c>
      <c r="I398" t="s">
        <v>51</v>
      </c>
      <c r="J398" t="s">
        <v>22</v>
      </c>
    </row>
    <row r="399" spans="1:10" x14ac:dyDescent="0.35">
      <c r="A399">
        <v>398</v>
      </c>
      <c r="B399" s="1" t="s">
        <v>27</v>
      </c>
      <c r="C399">
        <v>2012</v>
      </c>
      <c r="D399" s="4">
        <v>4.5</v>
      </c>
      <c r="E399" s="5">
        <v>226094</v>
      </c>
      <c r="F399" s="1" t="s">
        <v>15</v>
      </c>
      <c r="G399" s="10">
        <v>98972.03</v>
      </c>
      <c r="H399" s="1" t="s">
        <v>28</v>
      </c>
      <c r="I399" t="s">
        <v>52</v>
      </c>
      <c r="J399" t="s">
        <v>22</v>
      </c>
    </row>
    <row r="400" spans="1:10" x14ac:dyDescent="0.35">
      <c r="A400">
        <v>399</v>
      </c>
      <c r="B400" s="1" t="s">
        <v>10</v>
      </c>
      <c r="C400">
        <v>2002</v>
      </c>
      <c r="D400" s="4">
        <v>3.3</v>
      </c>
      <c r="E400" s="5">
        <v>148182</v>
      </c>
      <c r="F400" s="1" t="s">
        <v>16</v>
      </c>
      <c r="G400" s="10">
        <v>89434.74</v>
      </c>
      <c r="H400" s="1" t="s">
        <v>12</v>
      </c>
      <c r="I400" t="s">
        <v>13</v>
      </c>
      <c r="J400" t="s">
        <v>14</v>
      </c>
    </row>
    <row r="401" spans="1:10" x14ac:dyDescent="0.35">
      <c r="A401">
        <v>400</v>
      </c>
      <c r="B401" s="1" t="s">
        <v>35</v>
      </c>
      <c r="C401">
        <v>2023</v>
      </c>
      <c r="D401" s="4">
        <v>4.3</v>
      </c>
      <c r="E401" s="5">
        <v>193242</v>
      </c>
      <c r="F401" s="1" t="s">
        <v>11</v>
      </c>
      <c r="G401" s="10">
        <v>36155.21</v>
      </c>
      <c r="H401" s="1" t="s">
        <v>45</v>
      </c>
      <c r="I401" t="s">
        <v>53</v>
      </c>
      <c r="J401" t="s">
        <v>22</v>
      </c>
    </row>
    <row r="402" spans="1:10" x14ac:dyDescent="0.35">
      <c r="A402">
        <v>401</v>
      </c>
      <c r="B402" s="1" t="s">
        <v>25</v>
      </c>
      <c r="C402">
        <v>2009</v>
      </c>
      <c r="D402" s="4">
        <v>5.2</v>
      </c>
      <c r="E402" s="5">
        <v>182873</v>
      </c>
      <c r="F402" s="1" t="s">
        <v>15</v>
      </c>
      <c r="G402" s="10">
        <v>45172.66</v>
      </c>
      <c r="H402" s="1" t="s">
        <v>41</v>
      </c>
      <c r="I402" t="s">
        <v>51</v>
      </c>
      <c r="J402" t="s">
        <v>22</v>
      </c>
    </row>
    <row r="403" spans="1:10" x14ac:dyDescent="0.35">
      <c r="A403">
        <v>402</v>
      </c>
      <c r="B403" s="1" t="s">
        <v>27</v>
      </c>
      <c r="C403">
        <v>2013</v>
      </c>
      <c r="D403" s="4">
        <v>1.8</v>
      </c>
      <c r="E403" s="5">
        <v>124926</v>
      </c>
      <c r="F403" s="1" t="s">
        <v>16</v>
      </c>
      <c r="G403" s="10">
        <v>68600.67</v>
      </c>
      <c r="H403" s="1" t="s">
        <v>37</v>
      </c>
      <c r="I403" t="s">
        <v>53</v>
      </c>
      <c r="J403" t="s">
        <v>14</v>
      </c>
    </row>
    <row r="404" spans="1:10" x14ac:dyDescent="0.35">
      <c r="A404">
        <v>403</v>
      </c>
      <c r="B404" s="1" t="s">
        <v>25</v>
      </c>
      <c r="C404">
        <v>2005</v>
      </c>
      <c r="D404" s="4">
        <v>1.1000000000000001</v>
      </c>
      <c r="E404" s="5">
        <v>81147</v>
      </c>
      <c r="F404" s="1" t="s">
        <v>11</v>
      </c>
      <c r="G404" s="10">
        <v>6629.41</v>
      </c>
      <c r="H404" s="1" t="s">
        <v>44</v>
      </c>
      <c r="I404" t="s">
        <v>51</v>
      </c>
      <c r="J404" t="s">
        <v>14</v>
      </c>
    </row>
    <row r="405" spans="1:10" x14ac:dyDescent="0.35">
      <c r="A405">
        <v>404</v>
      </c>
      <c r="B405" s="1" t="s">
        <v>23</v>
      </c>
      <c r="C405">
        <v>2002</v>
      </c>
      <c r="D405" s="4">
        <v>4.9000000000000004</v>
      </c>
      <c r="E405" s="5">
        <v>19199</v>
      </c>
      <c r="F405" s="1" t="s">
        <v>11</v>
      </c>
      <c r="G405" s="10">
        <v>82914.600000000006</v>
      </c>
      <c r="H405" s="1" t="s">
        <v>24</v>
      </c>
      <c r="I405" t="s">
        <v>51</v>
      </c>
      <c r="J405" t="s">
        <v>22</v>
      </c>
    </row>
    <row r="406" spans="1:10" x14ac:dyDescent="0.35">
      <c r="A406">
        <v>405</v>
      </c>
      <c r="B406" s="1" t="s">
        <v>27</v>
      </c>
      <c r="C406">
        <v>2015</v>
      </c>
      <c r="D406" s="4">
        <v>4</v>
      </c>
      <c r="E406" s="5">
        <v>183208</v>
      </c>
      <c r="F406" s="1" t="s">
        <v>15</v>
      </c>
      <c r="G406" s="10">
        <v>88580.82</v>
      </c>
      <c r="H406" s="1" t="s">
        <v>28</v>
      </c>
      <c r="I406" t="s">
        <v>51</v>
      </c>
      <c r="J406" t="s">
        <v>14</v>
      </c>
    </row>
    <row r="407" spans="1:10" x14ac:dyDescent="0.35">
      <c r="A407">
        <v>406</v>
      </c>
      <c r="B407" s="1" t="s">
        <v>23</v>
      </c>
      <c r="C407">
        <v>2006</v>
      </c>
      <c r="D407" s="4">
        <v>4.5</v>
      </c>
      <c r="E407" s="5">
        <v>220868</v>
      </c>
      <c r="F407" s="1" t="s">
        <v>15</v>
      </c>
      <c r="G407" s="10">
        <v>86434.03</v>
      </c>
      <c r="H407" s="1" t="s">
        <v>24</v>
      </c>
      <c r="I407" t="s">
        <v>53</v>
      </c>
      <c r="J407" t="s">
        <v>14</v>
      </c>
    </row>
    <row r="408" spans="1:10" x14ac:dyDescent="0.35">
      <c r="A408">
        <v>407</v>
      </c>
      <c r="B408" s="1" t="s">
        <v>35</v>
      </c>
      <c r="C408">
        <v>2019</v>
      </c>
      <c r="D408" s="4">
        <v>5.2</v>
      </c>
      <c r="E408" s="5">
        <v>120787</v>
      </c>
      <c r="F408" s="1" t="s">
        <v>11</v>
      </c>
      <c r="G408" s="10">
        <v>40630.17</v>
      </c>
      <c r="H408" s="1" t="s">
        <v>45</v>
      </c>
      <c r="I408" t="s">
        <v>53</v>
      </c>
      <c r="J408" t="s">
        <v>22</v>
      </c>
    </row>
    <row r="409" spans="1:10" x14ac:dyDescent="0.35">
      <c r="A409">
        <v>408</v>
      </c>
      <c r="B409" s="1" t="s">
        <v>35</v>
      </c>
      <c r="C409">
        <v>2013</v>
      </c>
      <c r="D409" s="4">
        <v>5</v>
      </c>
      <c r="E409" s="5">
        <v>114427</v>
      </c>
      <c r="F409" s="1" t="s">
        <v>11</v>
      </c>
      <c r="G409" s="10">
        <v>48889.95</v>
      </c>
      <c r="H409" s="1" t="s">
        <v>45</v>
      </c>
      <c r="I409" t="s">
        <v>51</v>
      </c>
      <c r="J409" t="s">
        <v>14</v>
      </c>
    </row>
    <row r="410" spans="1:10" x14ac:dyDescent="0.35">
      <c r="A410">
        <v>409</v>
      </c>
      <c r="B410" s="1" t="s">
        <v>27</v>
      </c>
      <c r="C410">
        <v>2008</v>
      </c>
      <c r="D410" s="4">
        <v>5.8</v>
      </c>
      <c r="E410" s="5">
        <v>148063</v>
      </c>
      <c r="F410" s="1" t="s">
        <v>11</v>
      </c>
      <c r="G410" s="10">
        <v>6176.89</v>
      </c>
      <c r="H410" s="1" t="s">
        <v>37</v>
      </c>
      <c r="I410" t="s">
        <v>13</v>
      </c>
      <c r="J410" t="s">
        <v>22</v>
      </c>
    </row>
    <row r="411" spans="1:10" x14ac:dyDescent="0.35">
      <c r="A411">
        <v>410</v>
      </c>
      <c r="B411" s="1" t="s">
        <v>27</v>
      </c>
      <c r="C411">
        <v>2014</v>
      </c>
      <c r="D411" s="4">
        <v>3.7</v>
      </c>
      <c r="E411" s="5">
        <v>153625</v>
      </c>
      <c r="F411" s="1" t="s">
        <v>16</v>
      </c>
      <c r="G411" s="10">
        <v>42942.559999999998</v>
      </c>
      <c r="H411" s="1" t="s">
        <v>40</v>
      </c>
      <c r="I411" t="s">
        <v>53</v>
      </c>
      <c r="J411" t="s">
        <v>22</v>
      </c>
    </row>
    <row r="412" spans="1:10" x14ac:dyDescent="0.35">
      <c r="A412">
        <v>411</v>
      </c>
      <c r="B412" s="1" t="s">
        <v>29</v>
      </c>
      <c r="C412">
        <v>2020</v>
      </c>
      <c r="D412" s="4">
        <v>3.4</v>
      </c>
      <c r="E412" s="5">
        <v>220782</v>
      </c>
      <c r="F412" s="1" t="s">
        <v>15</v>
      </c>
      <c r="G412" s="10">
        <v>48740.55</v>
      </c>
      <c r="H412" s="1" t="s">
        <v>43</v>
      </c>
      <c r="I412" t="s">
        <v>52</v>
      </c>
      <c r="J412" t="s">
        <v>22</v>
      </c>
    </row>
    <row r="413" spans="1:10" x14ac:dyDescent="0.35">
      <c r="A413">
        <v>412</v>
      </c>
      <c r="B413" s="1" t="s">
        <v>25</v>
      </c>
      <c r="C413">
        <v>2002</v>
      </c>
      <c r="D413" s="4">
        <v>3</v>
      </c>
      <c r="E413" s="5">
        <v>87493</v>
      </c>
      <c r="F413" s="1" t="s">
        <v>11</v>
      </c>
      <c r="G413" s="10">
        <v>91162.559999999998</v>
      </c>
      <c r="H413" s="1" t="s">
        <v>26</v>
      </c>
      <c r="I413" t="s">
        <v>53</v>
      </c>
      <c r="J413" t="s">
        <v>22</v>
      </c>
    </row>
    <row r="414" spans="1:10" x14ac:dyDescent="0.35">
      <c r="A414">
        <v>413</v>
      </c>
      <c r="B414" s="1" t="s">
        <v>29</v>
      </c>
      <c r="C414">
        <v>2001</v>
      </c>
      <c r="D414" s="4">
        <v>1.8</v>
      </c>
      <c r="E414" s="5">
        <v>274915</v>
      </c>
      <c r="F414" s="1" t="s">
        <v>15</v>
      </c>
      <c r="G414" s="10">
        <v>89928.83</v>
      </c>
      <c r="H414" s="1" t="s">
        <v>43</v>
      </c>
      <c r="I414" t="s">
        <v>51</v>
      </c>
      <c r="J414" t="s">
        <v>14</v>
      </c>
    </row>
    <row r="415" spans="1:10" x14ac:dyDescent="0.35">
      <c r="A415">
        <v>414</v>
      </c>
      <c r="B415" s="1" t="s">
        <v>25</v>
      </c>
      <c r="C415">
        <v>2001</v>
      </c>
      <c r="D415" s="4">
        <v>3.9</v>
      </c>
      <c r="E415" s="5">
        <v>125607</v>
      </c>
      <c r="F415" s="1" t="s">
        <v>15</v>
      </c>
      <c r="G415" s="10">
        <v>96779.22</v>
      </c>
      <c r="H415" s="1" t="s">
        <v>26</v>
      </c>
      <c r="I415" t="s">
        <v>13</v>
      </c>
      <c r="J415" t="s">
        <v>22</v>
      </c>
    </row>
    <row r="416" spans="1:10" x14ac:dyDescent="0.35">
      <c r="A416">
        <v>415</v>
      </c>
      <c r="B416" s="1" t="s">
        <v>29</v>
      </c>
      <c r="C416">
        <v>2002</v>
      </c>
      <c r="D416" s="4">
        <v>2.4</v>
      </c>
      <c r="E416" s="5">
        <v>246834</v>
      </c>
      <c r="F416" s="1" t="s">
        <v>15</v>
      </c>
      <c r="G416" s="10">
        <v>89084.97</v>
      </c>
      <c r="H416" s="1" t="s">
        <v>43</v>
      </c>
      <c r="I416" t="s">
        <v>51</v>
      </c>
      <c r="J416" t="s">
        <v>22</v>
      </c>
    </row>
    <row r="417" spans="1:10" x14ac:dyDescent="0.35">
      <c r="A417">
        <v>416</v>
      </c>
      <c r="B417" s="1" t="s">
        <v>23</v>
      </c>
      <c r="C417">
        <v>2017</v>
      </c>
      <c r="D417" s="4">
        <v>5.6</v>
      </c>
      <c r="E417" s="5">
        <v>79876</v>
      </c>
      <c r="F417" s="1" t="s">
        <v>11</v>
      </c>
      <c r="G417" s="10">
        <v>5779.07</v>
      </c>
      <c r="H417" s="1" t="s">
        <v>42</v>
      </c>
      <c r="I417" t="s">
        <v>52</v>
      </c>
      <c r="J417" t="s">
        <v>22</v>
      </c>
    </row>
    <row r="418" spans="1:10" x14ac:dyDescent="0.35">
      <c r="A418">
        <v>417</v>
      </c>
      <c r="B418" s="1" t="s">
        <v>27</v>
      </c>
      <c r="C418">
        <v>2013</v>
      </c>
      <c r="D418" s="4">
        <v>3.9</v>
      </c>
      <c r="E418" s="5">
        <v>167071</v>
      </c>
      <c r="F418" s="1" t="s">
        <v>16</v>
      </c>
      <c r="G418" s="10">
        <v>65938.78</v>
      </c>
      <c r="H418" s="1" t="s">
        <v>37</v>
      </c>
      <c r="I418" t="s">
        <v>53</v>
      </c>
      <c r="J418" t="s">
        <v>22</v>
      </c>
    </row>
    <row r="419" spans="1:10" x14ac:dyDescent="0.35">
      <c r="A419">
        <v>418</v>
      </c>
      <c r="B419" s="1" t="s">
        <v>35</v>
      </c>
      <c r="C419">
        <v>2019</v>
      </c>
      <c r="D419" s="4">
        <v>4</v>
      </c>
      <c r="E419" s="5">
        <v>202959</v>
      </c>
      <c r="F419" s="1" t="s">
        <v>11</v>
      </c>
      <c r="G419" s="10">
        <v>11482.58</v>
      </c>
      <c r="H419" s="1" t="s">
        <v>36</v>
      </c>
      <c r="I419" t="s">
        <v>53</v>
      </c>
      <c r="J419" t="s">
        <v>14</v>
      </c>
    </row>
    <row r="420" spans="1:10" x14ac:dyDescent="0.35">
      <c r="A420">
        <v>419</v>
      </c>
      <c r="B420" s="1" t="s">
        <v>25</v>
      </c>
      <c r="C420">
        <v>2017</v>
      </c>
      <c r="D420" s="4">
        <v>2.8</v>
      </c>
      <c r="E420" s="5">
        <v>243722</v>
      </c>
      <c r="F420" s="1" t="s">
        <v>15</v>
      </c>
      <c r="G420" s="10">
        <v>30896.46</v>
      </c>
      <c r="H420" s="1" t="s">
        <v>41</v>
      </c>
      <c r="I420" t="s">
        <v>51</v>
      </c>
      <c r="J420" t="s">
        <v>14</v>
      </c>
    </row>
    <row r="421" spans="1:10" x14ac:dyDescent="0.35">
      <c r="A421">
        <v>420</v>
      </c>
      <c r="B421" s="1" t="s">
        <v>25</v>
      </c>
      <c r="C421">
        <v>2009</v>
      </c>
      <c r="D421" s="4">
        <v>1.3</v>
      </c>
      <c r="E421" s="5">
        <v>44440</v>
      </c>
      <c r="F421" s="1" t="s">
        <v>11</v>
      </c>
      <c r="G421" s="10">
        <v>59939.22</v>
      </c>
      <c r="H421" s="1" t="s">
        <v>26</v>
      </c>
      <c r="I421" t="s">
        <v>51</v>
      </c>
      <c r="J421" t="s">
        <v>14</v>
      </c>
    </row>
    <row r="422" spans="1:10" x14ac:dyDescent="0.35">
      <c r="A422">
        <v>421</v>
      </c>
      <c r="B422" s="1" t="s">
        <v>35</v>
      </c>
      <c r="C422">
        <v>2001</v>
      </c>
      <c r="D422" s="4">
        <v>1.2</v>
      </c>
      <c r="E422" s="5">
        <v>31655</v>
      </c>
      <c r="F422" s="1" t="s">
        <v>11</v>
      </c>
      <c r="G422" s="10">
        <v>71558.31</v>
      </c>
      <c r="H422" s="1" t="s">
        <v>47</v>
      </c>
      <c r="I422" t="s">
        <v>52</v>
      </c>
      <c r="J422" t="s">
        <v>22</v>
      </c>
    </row>
    <row r="423" spans="1:10" x14ac:dyDescent="0.35">
      <c r="A423">
        <v>422</v>
      </c>
      <c r="B423" s="1" t="s">
        <v>29</v>
      </c>
      <c r="C423">
        <v>2021</v>
      </c>
      <c r="D423" s="4">
        <v>3.1</v>
      </c>
      <c r="E423" s="5">
        <v>43039</v>
      </c>
      <c r="F423" s="1" t="s">
        <v>15</v>
      </c>
      <c r="G423" s="10">
        <v>67190.039999999994</v>
      </c>
      <c r="H423" s="1" t="s">
        <v>43</v>
      </c>
      <c r="I423" t="s">
        <v>13</v>
      </c>
      <c r="J423" t="s">
        <v>14</v>
      </c>
    </row>
    <row r="424" spans="1:10" x14ac:dyDescent="0.35">
      <c r="A424">
        <v>423</v>
      </c>
      <c r="B424" s="1" t="s">
        <v>25</v>
      </c>
      <c r="C424">
        <v>2000</v>
      </c>
      <c r="D424" s="4">
        <v>1.4</v>
      </c>
      <c r="E424" s="5">
        <v>72219</v>
      </c>
      <c r="F424" s="1" t="s">
        <v>15</v>
      </c>
      <c r="G424" s="10">
        <v>9660.5400000000009</v>
      </c>
      <c r="H424" s="1" t="s">
        <v>26</v>
      </c>
      <c r="I424" t="s">
        <v>52</v>
      </c>
      <c r="J424" t="s">
        <v>14</v>
      </c>
    </row>
    <row r="425" spans="1:10" x14ac:dyDescent="0.35">
      <c r="A425">
        <v>424</v>
      </c>
      <c r="B425" s="1" t="s">
        <v>10</v>
      </c>
      <c r="C425">
        <v>2003</v>
      </c>
      <c r="D425" s="4">
        <v>4</v>
      </c>
      <c r="E425" s="5">
        <v>186061</v>
      </c>
      <c r="F425" s="1" t="s">
        <v>11</v>
      </c>
      <c r="G425" s="10">
        <v>14842.37</v>
      </c>
      <c r="H425" s="1" t="s">
        <v>19</v>
      </c>
      <c r="I425" t="s">
        <v>13</v>
      </c>
      <c r="J425" t="s">
        <v>14</v>
      </c>
    </row>
    <row r="426" spans="1:10" x14ac:dyDescent="0.35">
      <c r="A426">
        <v>425</v>
      </c>
      <c r="B426" s="1" t="s">
        <v>23</v>
      </c>
      <c r="C426">
        <v>2013</v>
      </c>
      <c r="D426" s="4">
        <v>5.4</v>
      </c>
      <c r="E426" s="5">
        <v>273388</v>
      </c>
      <c r="F426" s="1" t="s">
        <v>11</v>
      </c>
      <c r="G426" s="10">
        <v>17215.75</v>
      </c>
      <c r="H426" s="1" t="s">
        <v>42</v>
      </c>
      <c r="I426" t="s">
        <v>53</v>
      </c>
      <c r="J426" t="s">
        <v>14</v>
      </c>
    </row>
    <row r="427" spans="1:10" x14ac:dyDescent="0.35">
      <c r="A427">
        <v>426</v>
      </c>
      <c r="B427" s="1" t="s">
        <v>27</v>
      </c>
      <c r="C427">
        <v>2000</v>
      </c>
      <c r="D427" s="4">
        <v>5.4</v>
      </c>
      <c r="E427" s="5">
        <v>94594</v>
      </c>
      <c r="F427" s="1" t="s">
        <v>11</v>
      </c>
      <c r="G427" s="10">
        <v>13684.37</v>
      </c>
      <c r="H427" s="1" t="s">
        <v>48</v>
      </c>
      <c r="I427" t="s">
        <v>13</v>
      </c>
      <c r="J427" t="s">
        <v>22</v>
      </c>
    </row>
    <row r="428" spans="1:10" x14ac:dyDescent="0.35">
      <c r="A428">
        <v>427</v>
      </c>
      <c r="B428" s="1" t="s">
        <v>35</v>
      </c>
      <c r="C428">
        <v>2013</v>
      </c>
      <c r="D428" s="4">
        <v>4.3</v>
      </c>
      <c r="E428" s="5">
        <v>170623</v>
      </c>
      <c r="F428" s="1" t="s">
        <v>11</v>
      </c>
      <c r="G428" s="10">
        <v>21932.27</v>
      </c>
      <c r="H428" s="1" t="s">
        <v>36</v>
      </c>
      <c r="I428" t="s">
        <v>13</v>
      </c>
      <c r="J428" t="s">
        <v>14</v>
      </c>
    </row>
    <row r="429" spans="1:10" x14ac:dyDescent="0.35">
      <c r="A429">
        <v>428</v>
      </c>
      <c r="B429" s="1" t="s">
        <v>27</v>
      </c>
      <c r="C429">
        <v>2015</v>
      </c>
      <c r="D429" s="4">
        <v>2.1</v>
      </c>
      <c r="E429" s="5">
        <v>194302</v>
      </c>
      <c r="F429" s="1" t="s">
        <v>16</v>
      </c>
      <c r="G429" s="10">
        <v>70406.34</v>
      </c>
      <c r="H429" s="1" t="s">
        <v>28</v>
      </c>
      <c r="I429" t="s">
        <v>53</v>
      </c>
      <c r="J429" t="s">
        <v>14</v>
      </c>
    </row>
    <row r="430" spans="1:10" x14ac:dyDescent="0.35">
      <c r="A430">
        <v>429</v>
      </c>
      <c r="B430" s="1" t="s">
        <v>10</v>
      </c>
      <c r="C430">
        <v>2021</v>
      </c>
      <c r="D430" s="4">
        <v>5.3</v>
      </c>
      <c r="E430" s="5">
        <v>290515</v>
      </c>
      <c r="F430" s="1" t="s">
        <v>11</v>
      </c>
      <c r="G430" s="10">
        <v>83929.54</v>
      </c>
      <c r="H430" s="1" t="s">
        <v>18</v>
      </c>
      <c r="I430" t="s">
        <v>13</v>
      </c>
      <c r="J430" t="s">
        <v>14</v>
      </c>
    </row>
    <row r="431" spans="1:10" x14ac:dyDescent="0.35">
      <c r="A431">
        <v>430</v>
      </c>
      <c r="B431" s="1" t="s">
        <v>25</v>
      </c>
      <c r="C431">
        <v>2013</v>
      </c>
      <c r="D431" s="4">
        <v>5.4</v>
      </c>
      <c r="E431" s="5">
        <v>159950</v>
      </c>
      <c r="F431" s="1" t="s">
        <v>16</v>
      </c>
      <c r="G431" s="10">
        <v>43837.32</v>
      </c>
      <c r="H431" s="1" t="s">
        <v>44</v>
      </c>
      <c r="I431" t="s">
        <v>53</v>
      </c>
      <c r="J431" t="s">
        <v>14</v>
      </c>
    </row>
    <row r="432" spans="1:10" x14ac:dyDescent="0.35">
      <c r="A432">
        <v>431</v>
      </c>
      <c r="B432" s="1" t="s">
        <v>25</v>
      </c>
      <c r="C432">
        <v>2019</v>
      </c>
      <c r="D432" s="4">
        <v>2</v>
      </c>
      <c r="E432" s="5">
        <v>167229</v>
      </c>
      <c r="F432" s="1" t="s">
        <v>15</v>
      </c>
      <c r="G432" s="10">
        <v>70814.240000000005</v>
      </c>
      <c r="H432" s="1" t="s">
        <v>49</v>
      </c>
      <c r="I432" t="s">
        <v>52</v>
      </c>
      <c r="J432" t="s">
        <v>22</v>
      </c>
    </row>
    <row r="433" spans="1:10" x14ac:dyDescent="0.35">
      <c r="A433">
        <v>432</v>
      </c>
      <c r="B433" s="1" t="s">
        <v>10</v>
      </c>
      <c r="C433">
        <v>2002</v>
      </c>
      <c r="D433" s="4">
        <v>4.7</v>
      </c>
      <c r="E433" s="5">
        <v>5914</v>
      </c>
      <c r="F433" s="1" t="s">
        <v>16</v>
      </c>
      <c r="G433" s="10">
        <v>24001.54</v>
      </c>
      <c r="H433" s="1" t="s">
        <v>17</v>
      </c>
      <c r="I433" t="s">
        <v>13</v>
      </c>
      <c r="J433" t="s">
        <v>14</v>
      </c>
    </row>
    <row r="434" spans="1:10" x14ac:dyDescent="0.35">
      <c r="A434">
        <v>433</v>
      </c>
      <c r="B434" s="1" t="s">
        <v>35</v>
      </c>
      <c r="C434">
        <v>2002</v>
      </c>
      <c r="D434" s="4">
        <v>2.4</v>
      </c>
      <c r="E434" s="5">
        <v>214772</v>
      </c>
      <c r="F434" s="1" t="s">
        <v>15</v>
      </c>
      <c r="G434" s="10">
        <v>97461.61</v>
      </c>
      <c r="H434" s="1" t="s">
        <v>36</v>
      </c>
      <c r="I434" t="s">
        <v>51</v>
      </c>
      <c r="J434" t="s">
        <v>14</v>
      </c>
    </row>
    <row r="435" spans="1:10" x14ac:dyDescent="0.35">
      <c r="A435">
        <v>434</v>
      </c>
      <c r="B435" s="1" t="s">
        <v>23</v>
      </c>
      <c r="C435">
        <v>2008</v>
      </c>
      <c r="D435" s="4">
        <v>5</v>
      </c>
      <c r="E435" s="5">
        <v>289324</v>
      </c>
      <c r="F435" s="1" t="s">
        <v>16</v>
      </c>
      <c r="G435" s="10">
        <v>38249.760000000002</v>
      </c>
      <c r="H435" s="1" t="s">
        <v>42</v>
      </c>
      <c r="I435" t="s">
        <v>53</v>
      </c>
      <c r="J435" t="s">
        <v>22</v>
      </c>
    </row>
    <row r="436" spans="1:10" x14ac:dyDescent="0.35">
      <c r="A436">
        <v>435</v>
      </c>
      <c r="B436" s="1" t="s">
        <v>20</v>
      </c>
      <c r="C436">
        <v>2005</v>
      </c>
      <c r="D436" s="4">
        <v>6</v>
      </c>
      <c r="E436" s="5">
        <v>227561</v>
      </c>
      <c r="F436" s="1" t="s">
        <v>15</v>
      </c>
      <c r="G436" s="10">
        <v>85357.36</v>
      </c>
      <c r="H436" s="1" t="s">
        <v>39</v>
      </c>
      <c r="I436" t="s">
        <v>53</v>
      </c>
      <c r="J436" t="s">
        <v>14</v>
      </c>
    </row>
    <row r="437" spans="1:10" x14ac:dyDescent="0.35">
      <c r="A437">
        <v>436</v>
      </c>
      <c r="B437" s="1" t="s">
        <v>35</v>
      </c>
      <c r="C437">
        <v>2012</v>
      </c>
      <c r="D437" s="4">
        <v>1.2</v>
      </c>
      <c r="E437" s="5">
        <v>187435</v>
      </c>
      <c r="F437" s="1" t="s">
        <v>11</v>
      </c>
      <c r="G437" s="10">
        <v>94809.81</v>
      </c>
      <c r="H437" s="1" t="s">
        <v>47</v>
      </c>
      <c r="I437" t="s">
        <v>53</v>
      </c>
      <c r="J437" t="s">
        <v>14</v>
      </c>
    </row>
    <row r="438" spans="1:10" x14ac:dyDescent="0.35">
      <c r="A438">
        <v>437</v>
      </c>
      <c r="B438" s="1" t="s">
        <v>20</v>
      </c>
      <c r="C438">
        <v>2020</v>
      </c>
      <c r="D438" s="4">
        <v>5.5</v>
      </c>
      <c r="E438" s="5">
        <v>95213</v>
      </c>
      <c r="F438" s="1" t="s">
        <v>16</v>
      </c>
      <c r="G438" s="10">
        <v>87147.83</v>
      </c>
      <c r="H438" s="1" t="s">
        <v>46</v>
      </c>
      <c r="I438" t="s">
        <v>13</v>
      </c>
      <c r="J438" t="s">
        <v>14</v>
      </c>
    </row>
    <row r="439" spans="1:10" x14ac:dyDescent="0.35">
      <c r="A439">
        <v>438</v>
      </c>
      <c r="B439" s="1" t="s">
        <v>10</v>
      </c>
      <c r="C439">
        <v>2001</v>
      </c>
      <c r="D439" s="4">
        <v>4.0999999999999996</v>
      </c>
      <c r="E439" s="5">
        <v>37805</v>
      </c>
      <c r="F439" s="1" t="s">
        <v>16</v>
      </c>
      <c r="G439" s="10">
        <v>11371.43</v>
      </c>
      <c r="H439" s="1" t="s">
        <v>19</v>
      </c>
      <c r="I439" t="s">
        <v>13</v>
      </c>
      <c r="J439" t="s">
        <v>14</v>
      </c>
    </row>
    <row r="440" spans="1:10" x14ac:dyDescent="0.35">
      <c r="A440">
        <v>439</v>
      </c>
      <c r="B440" s="1" t="s">
        <v>29</v>
      </c>
      <c r="C440">
        <v>2007</v>
      </c>
      <c r="D440" s="4">
        <v>5.9</v>
      </c>
      <c r="E440" s="5">
        <v>126599</v>
      </c>
      <c r="F440" s="1" t="s">
        <v>15</v>
      </c>
      <c r="G440" s="10">
        <v>66779.179999999993</v>
      </c>
      <c r="H440" s="1" t="s">
        <v>31</v>
      </c>
      <c r="I440" t="s">
        <v>53</v>
      </c>
      <c r="J440" t="s">
        <v>14</v>
      </c>
    </row>
    <row r="441" spans="1:10" x14ac:dyDescent="0.35">
      <c r="A441">
        <v>440</v>
      </c>
      <c r="B441" s="1" t="s">
        <v>20</v>
      </c>
      <c r="C441">
        <v>2020</v>
      </c>
      <c r="D441" s="4">
        <v>3.3</v>
      </c>
      <c r="E441" s="5">
        <v>153775</v>
      </c>
      <c r="F441" s="1" t="s">
        <v>15</v>
      </c>
      <c r="G441" s="10">
        <v>16408.62</v>
      </c>
      <c r="H441" s="1" t="s">
        <v>21</v>
      </c>
      <c r="I441" t="s">
        <v>52</v>
      </c>
      <c r="J441" t="s">
        <v>14</v>
      </c>
    </row>
    <row r="442" spans="1:10" x14ac:dyDescent="0.35">
      <c r="A442">
        <v>441</v>
      </c>
      <c r="B442" s="1" t="s">
        <v>23</v>
      </c>
      <c r="C442">
        <v>2001</v>
      </c>
      <c r="D442" s="4">
        <v>5.2</v>
      </c>
      <c r="E442" s="5">
        <v>190093</v>
      </c>
      <c r="F442" s="1" t="s">
        <v>16</v>
      </c>
      <c r="G442" s="10">
        <v>5537.99</v>
      </c>
      <c r="H442" s="1" t="s">
        <v>32</v>
      </c>
      <c r="I442" t="s">
        <v>51</v>
      </c>
      <c r="J442" t="s">
        <v>22</v>
      </c>
    </row>
    <row r="443" spans="1:10" x14ac:dyDescent="0.35">
      <c r="A443">
        <v>442</v>
      </c>
      <c r="B443" s="1" t="s">
        <v>29</v>
      </c>
      <c r="C443">
        <v>2003</v>
      </c>
      <c r="D443" s="4">
        <v>1.3</v>
      </c>
      <c r="E443" s="5">
        <v>74176</v>
      </c>
      <c r="F443" s="1" t="s">
        <v>15</v>
      </c>
      <c r="G443" s="10">
        <v>9919.43</v>
      </c>
      <c r="H443" s="1" t="s">
        <v>43</v>
      </c>
      <c r="I443" t="s">
        <v>51</v>
      </c>
      <c r="J443" t="s">
        <v>22</v>
      </c>
    </row>
    <row r="444" spans="1:10" x14ac:dyDescent="0.35">
      <c r="A444">
        <v>443</v>
      </c>
      <c r="B444" s="1" t="s">
        <v>20</v>
      </c>
      <c r="C444">
        <v>2014</v>
      </c>
      <c r="D444" s="4">
        <v>2.7</v>
      </c>
      <c r="E444" s="5">
        <v>94799</v>
      </c>
      <c r="F444" s="1" t="s">
        <v>11</v>
      </c>
      <c r="G444" s="10">
        <v>92034.17</v>
      </c>
      <c r="H444" s="1" t="s">
        <v>21</v>
      </c>
      <c r="I444" t="s">
        <v>53</v>
      </c>
      <c r="J444" t="s">
        <v>14</v>
      </c>
    </row>
    <row r="445" spans="1:10" x14ac:dyDescent="0.35">
      <c r="A445">
        <v>444</v>
      </c>
      <c r="B445" s="1" t="s">
        <v>10</v>
      </c>
      <c r="C445">
        <v>2003</v>
      </c>
      <c r="D445" s="4">
        <v>1.3</v>
      </c>
      <c r="E445" s="5">
        <v>98385</v>
      </c>
      <c r="F445" s="1" t="s">
        <v>16</v>
      </c>
      <c r="G445" s="10">
        <v>91304.03</v>
      </c>
      <c r="H445" s="1" t="s">
        <v>18</v>
      </c>
      <c r="I445" t="s">
        <v>13</v>
      </c>
      <c r="J445" t="s">
        <v>14</v>
      </c>
    </row>
    <row r="446" spans="1:10" x14ac:dyDescent="0.35">
      <c r="A446">
        <v>445</v>
      </c>
      <c r="B446" s="1" t="s">
        <v>29</v>
      </c>
      <c r="C446">
        <v>2012</v>
      </c>
      <c r="D446" s="4">
        <v>5.9</v>
      </c>
      <c r="E446" s="5">
        <v>235654</v>
      </c>
      <c r="F446" s="1" t="s">
        <v>11</v>
      </c>
      <c r="G446" s="10">
        <v>26453.32</v>
      </c>
      <c r="H446" s="1" t="s">
        <v>31</v>
      </c>
      <c r="I446" t="s">
        <v>52</v>
      </c>
      <c r="J446" t="s">
        <v>14</v>
      </c>
    </row>
    <row r="447" spans="1:10" x14ac:dyDescent="0.35">
      <c r="A447">
        <v>446</v>
      </c>
      <c r="B447" s="1" t="s">
        <v>10</v>
      </c>
      <c r="C447">
        <v>2011</v>
      </c>
      <c r="D447" s="4">
        <v>5.0999999999999996</v>
      </c>
      <c r="E447" s="5">
        <v>88919</v>
      </c>
      <c r="F447" s="1" t="s">
        <v>16</v>
      </c>
      <c r="G447" s="10">
        <v>56970.82</v>
      </c>
      <c r="H447" s="1" t="s">
        <v>17</v>
      </c>
      <c r="I447" t="s">
        <v>13</v>
      </c>
      <c r="J447" t="s">
        <v>14</v>
      </c>
    </row>
    <row r="448" spans="1:10" x14ac:dyDescent="0.35">
      <c r="A448">
        <v>447</v>
      </c>
      <c r="B448" s="1" t="s">
        <v>20</v>
      </c>
      <c r="C448">
        <v>2012</v>
      </c>
      <c r="D448" s="4">
        <v>5.3</v>
      </c>
      <c r="E448" s="5">
        <v>81462</v>
      </c>
      <c r="F448" s="1" t="s">
        <v>11</v>
      </c>
      <c r="G448" s="10">
        <v>95727.679999999993</v>
      </c>
      <c r="H448" s="1" t="s">
        <v>39</v>
      </c>
      <c r="I448" t="s">
        <v>53</v>
      </c>
      <c r="J448" t="s">
        <v>22</v>
      </c>
    </row>
    <row r="449" spans="1:10" x14ac:dyDescent="0.35">
      <c r="A449">
        <v>448</v>
      </c>
      <c r="B449" s="1" t="s">
        <v>10</v>
      </c>
      <c r="C449">
        <v>2013</v>
      </c>
      <c r="D449" s="4">
        <v>5.7</v>
      </c>
      <c r="E449" s="5">
        <v>179340</v>
      </c>
      <c r="F449" s="1" t="s">
        <v>16</v>
      </c>
      <c r="G449" s="10">
        <v>52187.08</v>
      </c>
      <c r="H449" s="1" t="s">
        <v>17</v>
      </c>
      <c r="I449" t="s">
        <v>13</v>
      </c>
      <c r="J449" t="s">
        <v>14</v>
      </c>
    </row>
    <row r="450" spans="1:10" x14ac:dyDescent="0.35">
      <c r="A450">
        <v>449</v>
      </c>
      <c r="B450" s="1" t="s">
        <v>23</v>
      </c>
      <c r="C450">
        <v>2019</v>
      </c>
      <c r="D450" s="4">
        <v>1.4</v>
      </c>
      <c r="E450" s="5">
        <v>165320</v>
      </c>
      <c r="F450" s="1" t="s">
        <v>15</v>
      </c>
      <c r="G450" s="10">
        <v>42389.89</v>
      </c>
      <c r="H450" s="1" t="s">
        <v>32</v>
      </c>
      <c r="I450" t="s">
        <v>52</v>
      </c>
      <c r="J450" t="s">
        <v>14</v>
      </c>
    </row>
    <row r="451" spans="1:10" x14ac:dyDescent="0.35">
      <c r="A451">
        <v>450</v>
      </c>
      <c r="B451" s="1" t="s">
        <v>20</v>
      </c>
      <c r="C451">
        <v>2017</v>
      </c>
      <c r="D451" s="4">
        <v>2.9</v>
      </c>
      <c r="E451" s="5">
        <v>31159</v>
      </c>
      <c r="F451" s="1" t="s">
        <v>16</v>
      </c>
      <c r="G451" s="10">
        <v>50908.63</v>
      </c>
      <c r="H451" s="1" t="s">
        <v>33</v>
      </c>
      <c r="I451" t="s">
        <v>52</v>
      </c>
      <c r="J451" t="s">
        <v>22</v>
      </c>
    </row>
    <row r="452" spans="1:10" x14ac:dyDescent="0.35">
      <c r="A452">
        <v>451</v>
      </c>
      <c r="B452" s="1" t="s">
        <v>20</v>
      </c>
      <c r="C452">
        <v>2005</v>
      </c>
      <c r="D452" s="4">
        <v>1.4</v>
      </c>
      <c r="E452" s="5">
        <v>42039</v>
      </c>
      <c r="F452" s="1" t="s">
        <v>11</v>
      </c>
      <c r="G452" s="10">
        <v>80070.5</v>
      </c>
      <c r="H452" s="1" t="s">
        <v>46</v>
      </c>
      <c r="I452" t="s">
        <v>51</v>
      </c>
      <c r="J452" t="s">
        <v>14</v>
      </c>
    </row>
    <row r="453" spans="1:10" x14ac:dyDescent="0.35">
      <c r="A453">
        <v>452</v>
      </c>
      <c r="B453" s="1" t="s">
        <v>20</v>
      </c>
      <c r="C453">
        <v>2010</v>
      </c>
      <c r="D453" s="4">
        <v>2.1</v>
      </c>
      <c r="E453" s="5">
        <v>232974</v>
      </c>
      <c r="F453" s="1" t="s">
        <v>16</v>
      </c>
      <c r="G453" s="10">
        <v>50341.38</v>
      </c>
      <c r="H453" s="1" t="s">
        <v>21</v>
      </c>
      <c r="I453" t="s">
        <v>52</v>
      </c>
      <c r="J453" t="s">
        <v>14</v>
      </c>
    </row>
    <row r="454" spans="1:10" x14ac:dyDescent="0.35">
      <c r="A454">
        <v>453</v>
      </c>
      <c r="B454" s="1" t="s">
        <v>35</v>
      </c>
      <c r="C454">
        <v>2001</v>
      </c>
      <c r="D454" s="4">
        <v>2.1</v>
      </c>
      <c r="E454" s="5">
        <v>47800</v>
      </c>
      <c r="F454" s="1" t="s">
        <v>11</v>
      </c>
      <c r="G454" s="10">
        <v>79411.38</v>
      </c>
      <c r="H454" s="1" t="s">
        <v>47</v>
      </c>
      <c r="I454" t="s">
        <v>52</v>
      </c>
      <c r="J454" t="s">
        <v>14</v>
      </c>
    </row>
    <row r="455" spans="1:10" x14ac:dyDescent="0.35">
      <c r="A455">
        <v>454</v>
      </c>
      <c r="B455" s="1" t="s">
        <v>35</v>
      </c>
      <c r="C455">
        <v>2022</v>
      </c>
      <c r="D455" s="4">
        <v>3.3</v>
      </c>
      <c r="E455" s="5">
        <v>94626</v>
      </c>
      <c r="F455" s="1" t="s">
        <v>11</v>
      </c>
      <c r="G455" s="10">
        <v>46011.26</v>
      </c>
      <c r="H455" s="1" t="s">
        <v>45</v>
      </c>
      <c r="I455" t="s">
        <v>53</v>
      </c>
      <c r="J455" t="s">
        <v>22</v>
      </c>
    </row>
    <row r="456" spans="1:10" x14ac:dyDescent="0.35">
      <c r="A456">
        <v>455</v>
      </c>
      <c r="B456" s="1" t="s">
        <v>35</v>
      </c>
      <c r="C456">
        <v>2018</v>
      </c>
      <c r="D456" s="4">
        <v>2.2999999999999998</v>
      </c>
      <c r="E456" s="5">
        <v>118368</v>
      </c>
      <c r="F456" s="1" t="s">
        <v>11</v>
      </c>
      <c r="G456" s="10">
        <v>28940.54</v>
      </c>
      <c r="H456" s="1" t="s">
        <v>50</v>
      </c>
      <c r="I456" t="s">
        <v>52</v>
      </c>
      <c r="J456" t="s">
        <v>22</v>
      </c>
    </row>
    <row r="457" spans="1:10" x14ac:dyDescent="0.35">
      <c r="A457">
        <v>456</v>
      </c>
      <c r="B457" s="1" t="s">
        <v>23</v>
      </c>
      <c r="C457">
        <v>2018</v>
      </c>
      <c r="D457" s="4">
        <v>1.5</v>
      </c>
      <c r="E457" s="5">
        <v>174735</v>
      </c>
      <c r="F457" s="1" t="s">
        <v>15</v>
      </c>
      <c r="G457" s="10">
        <v>36014.910000000003</v>
      </c>
      <c r="H457" s="1" t="s">
        <v>24</v>
      </c>
      <c r="I457" t="s">
        <v>51</v>
      </c>
      <c r="J457" t="s">
        <v>22</v>
      </c>
    </row>
    <row r="458" spans="1:10" x14ac:dyDescent="0.35">
      <c r="A458">
        <v>457</v>
      </c>
      <c r="B458" s="1" t="s">
        <v>29</v>
      </c>
      <c r="C458">
        <v>2004</v>
      </c>
      <c r="D458" s="4">
        <v>1.8</v>
      </c>
      <c r="E458" s="5">
        <v>80903</v>
      </c>
      <c r="F458" s="1" t="s">
        <v>16</v>
      </c>
      <c r="G458" s="10">
        <v>12393.23</v>
      </c>
      <c r="H458" s="1" t="s">
        <v>31</v>
      </c>
      <c r="I458" t="s">
        <v>53</v>
      </c>
      <c r="J458" t="s">
        <v>14</v>
      </c>
    </row>
    <row r="459" spans="1:10" x14ac:dyDescent="0.35">
      <c r="A459">
        <v>458</v>
      </c>
      <c r="B459" s="1" t="s">
        <v>10</v>
      </c>
      <c r="C459">
        <v>2018</v>
      </c>
      <c r="D459" s="4">
        <v>1.7</v>
      </c>
      <c r="E459" s="5">
        <v>118998</v>
      </c>
      <c r="F459" s="1" t="s">
        <v>11</v>
      </c>
      <c r="G459" s="10">
        <v>52251.21</v>
      </c>
      <c r="H459" s="1" t="s">
        <v>12</v>
      </c>
      <c r="I459" t="s">
        <v>13</v>
      </c>
      <c r="J459" t="s">
        <v>14</v>
      </c>
    </row>
    <row r="460" spans="1:10" x14ac:dyDescent="0.35">
      <c r="A460">
        <v>459</v>
      </c>
      <c r="B460" s="1" t="s">
        <v>25</v>
      </c>
      <c r="C460">
        <v>2001</v>
      </c>
      <c r="D460" s="4">
        <v>5.9</v>
      </c>
      <c r="E460" s="5">
        <v>241324</v>
      </c>
      <c r="F460" s="1" t="s">
        <v>15</v>
      </c>
      <c r="G460" s="10">
        <v>19070.54</v>
      </c>
      <c r="H460" s="1" t="s">
        <v>44</v>
      </c>
      <c r="I460" t="s">
        <v>13</v>
      </c>
      <c r="J460" t="s">
        <v>22</v>
      </c>
    </row>
    <row r="461" spans="1:10" x14ac:dyDescent="0.35">
      <c r="A461">
        <v>460</v>
      </c>
      <c r="B461" s="1" t="s">
        <v>20</v>
      </c>
      <c r="C461">
        <v>2009</v>
      </c>
      <c r="D461" s="4">
        <v>4.8</v>
      </c>
      <c r="E461" s="5">
        <v>233229</v>
      </c>
      <c r="F461" s="1" t="s">
        <v>11</v>
      </c>
      <c r="G461" s="10">
        <v>82096.97</v>
      </c>
      <c r="H461" s="1" t="s">
        <v>39</v>
      </c>
      <c r="I461" t="s">
        <v>51</v>
      </c>
      <c r="J461" t="s">
        <v>14</v>
      </c>
    </row>
    <row r="462" spans="1:10" x14ac:dyDescent="0.35">
      <c r="A462">
        <v>461</v>
      </c>
      <c r="B462" s="1" t="s">
        <v>10</v>
      </c>
      <c r="C462">
        <v>2001</v>
      </c>
      <c r="D462" s="4">
        <v>5.8</v>
      </c>
      <c r="E462" s="5">
        <v>61748</v>
      </c>
      <c r="F462" s="1" t="s">
        <v>16</v>
      </c>
      <c r="G462" s="10">
        <v>44956.1</v>
      </c>
      <c r="H462" s="1" t="s">
        <v>19</v>
      </c>
      <c r="I462" t="s">
        <v>13</v>
      </c>
      <c r="J462" t="s">
        <v>14</v>
      </c>
    </row>
    <row r="463" spans="1:10" x14ac:dyDescent="0.35">
      <c r="A463">
        <v>462</v>
      </c>
      <c r="B463" s="1" t="s">
        <v>20</v>
      </c>
      <c r="C463">
        <v>2010</v>
      </c>
      <c r="D463" s="4">
        <v>3.2</v>
      </c>
      <c r="E463" s="5">
        <v>41190</v>
      </c>
      <c r="F463" s="1" t="s">
        <v>15</v>
      </c>
      <c r="G463" s="10">
        <v>77675.22</v>
      </c>
      <c r="H463" s="1" t="s">
        <v>33</v>
      </c>
      <c r="I463" t="s">
        <v>53</v>
      </c>
      <c r="J463" t="s">
        <v>22</v>
      </c>
    </row>
    <row r="464" spans="1:10" x14ac:dyDescent="0.35">
      <c r="A464">
        <v>463</v>
      </c>
      <c r="B464" s="1" t="s">
        <v>23</v>
      </c>
      <c r="C464">
        <v>2017</v>
      </c>
      <c r="D464" s="4">
        <v>2.4</v>
      </c>
      <c r="E464" s="5">
        <v>40318</v>
      </c>
      <c r="F464" s="1" t="s">
        <v>11</v>
      </c>
      <c r="G464" s="10">
        <v>95673.74</v>
      </c>
      <c r="H464" s="1" t="s">
        <v>24</v>
      </c>
      <c r="I464" t="s">
        <v>52</v>
      </c>
      <c r="J464" t="s">
        <v>22</v>
      </c>
    </row>
    <row r="465" spans="1:10" x14ac:dyDescent="0.35">
      <c r="A465">
        <v>464</v>
      </c>
      <c r="B465" s="1" t="s">
        <v>20</v>
      </c>
      <c r="C465">
        <v>2023</v>
      </c>
      <c r="D465" s="4">
        <v>5</v>
      </c>
      <c r="E465" s="5">
        <v>168090</v>
      </c>
      <c r="F465" s="1" t="s">
        <v>11</v>
      </c>
      <c r="G465" s="10">
        <v>85700.41</v>
      </c>
      <c r="H465" s="1" t="s">
        <v>39</v>
      </c>
      <c r="I465" t="s">
        <v>51</v>
      </c>
      <c r="J465" t="s">
        <v>22</v>
      </c>
    </row>
    <row r="466" spans="1:10" x14ac:dyDescent="0.35">
      <c r="A466">
        <v>465</v>
      </c>
      <c r="B466" s="1" t="s">
        <v>35</v>
      </c>
      <c r="C466">
        <v>2014</v>
      </c>
      <c r="D466" s="4">
        <v>2.6</v>
      </c>
      <c r="E466" s="5">
        <v>124078</v>
      </c>
      <c r="F466" s="1" t="s">
        <v>11</v>
      </c>
      <c r="G466" s="10">
        <v>95389.05</v>
      </c>
      <c r="H466" s="1" t="s">
        <v>47</v>
      </c>
      <c r="I466" t="s">
        <v>53</v>
      </c>
      <c r="J466" t="s">
        <v>14</v>
      </c>
    </row>
    <row r="467" spans="1:10" x14ac:dyDescent="0.35">
      <c r="A467">
        <v>466</v>
      </c>
      <c r="B467" s="1" t="s">
        <v>25</v>
      </c>
      <c r="C467">
        <v>2008</v>
      </c>
      <c r="D467" s="4">
        <v>2.5</v>
      </c>
      <c r="E467" s="5">
        <v>39759</v>
      </c>
      <c r="F467" s="1" t="s">
        <v>16</v>
      </c>
      <c r="G467" s="10">
        <v>58953.97</v>
      </c>
      <c r="H467" s="1" t="s">
        <v>26</v>
      </c>
      <c r="I467" t="s">
        <v>13</v>
      </c>
      <c r="J467" t="s">
        <v>22</v>
      </c>
    </row>
    <row r="468" spans="1:10" x14ac:dyDescent="0.35">
      <c r="A468">
        <v>467</v>
      </c>
      <c r="B468" s="1" t="s">
        <v>27</v>
      </c>
      <c r="C468">
        <v>2022</v>
      </c>
      <c r="D468" s="4">
        <v>2.2000000000000002</v>
      </c>
      <c r="E468" s="5">
        <v>278642</v>
      </c>
      <c r="F468" s="1" t="s">
        <v>15</v>
      </c>
      <c r="G468" s="10">
        <v>20705.82</v>
      </c>
      <c r="H468" s="1" t="s">
        <v>48</v>
      </c>
      <c r="I468" t="s">
        <v>53</v>
      </c>
      <c r="J468" t="s">
        <v>22</v>
      </c>
    </row>
    <row r="469" spans="1:10" x14ac:dyDescent="0.35">
      <c r="A469">
        <v>468</v>
      </c>
      <c r="B469" s="1" t="s">
        <v>20</v>
      </c>
      <c r="C469">
        <v>2018</v>
      </c>
      <c r="D469" s="4">
        <v>1.6</v>
      </c>
      <c r="E469" s="5">
        <v>25989</v>
      </c>
      <c r="F469" s="1" t="s">
        <v>15</v>
      </c>
      <c r="G469" s="10">
        <v>93862.62</v>
      </c>
      <c r="H469" s="1" t="s">
        <v>39</v>
      </c>
      <c r="I469" t="s">
        <v>53</v>
      </c>
      <c r="J469" t="s">
        <v>22</v>
      </c>
    </row>
    <row r="470" spans="1:10" x14ac:dyDescent="0.35">
      <c r="A470">
        <v>469</v>
      </c>
      <c r="B470" s="1" t="s">
        <v>10</v>
      </c>
      <c r="C470">
        <v>2008</v>
      </c>
      <c r="D470" s="4">
        <v>2.2999999999999998</v>
      </c>
      <c r="E470" s="5">
        <v>156640</v>
      </c>
      <c r="F470" s="1" t="s">
        <v>15</v>
      </c>
      <c r="G470" s="10">
        <v>87507.92</v>
      </c>
      <c r="H470" s="1" t="s">
        <v>12</v>
      </c>
      <c r="I470" t="s">
        <v>13</v>
      </c>
      <c r="J470" t="s">
        <v>14</v>
      </c>
    </row>
    <row r="471" spans="1:10" x14ac:dyDescent="0.35">
      <c r="A471">
        <v>470</v>
      </c>
      <c r="B471" s="1" t="s">
        <v>35</v>
      </c>
      <c r="C471">
        <v>2002</v>
      </c>
      <c r="D471" s="4">
        <v>2.8</v>
      </c>
      <c r="E471" s="5">
        <v>161171</v>
      </c>
      <c r="F471" s="1" t="s">
        <v>11</v>
      </c>
      <c r="G471" s="10">
        <v>87119.23</v>
      </c>
      <c r="H471" s="1" t="s">
        <v>45</v>
      </c>
      <c r="I471" t="s">
        <v>51</v>
      </c>
      <c r="J471" t="s">
        <v>22</v>
      </c>
    </row>
    <row r="472" spans="1:10" x14ac:dyDescent="0.35">
      <c r="A472">
        <v>471</v>
      </c>
      <c r="B472" s="1" t="s">
        <v>27</v>
      </c>
      <c r="C472">
        <v>2020</v>
      </c>
      <c r="D472" s="4">
        <v>4.4000000000000004</v>
      </c>
      <c r="E472" s="5">
        <v>285626</v>
      </c>
      <c r="F472" s="1" t="s">
        <v>15</v>
      </c>
      <c r="G472" s="10">
        <v>70861.070000000007</v>
      </c>
      <c r="H472" s="1" t="s">
        <v>37</v>
      </c>
      <c r="I472" t="s">
        <v>13</v>
      </c>
      <c r="J472" t="s">
        <v>22</v>
      </c>
    </row>
    <row r="473" spans="1:10" x14ac:dyDescent="0.35">
      <c r="A473">
        <v>472</v>
      </c>
      <c r="B473" s="1" t="s">
        <v>25</v>
      </c>
      <c r="C473">
        <v>2008</v>
      </c>
      <c r="D473" s="4">
        <v>1.3</v>
      </c>
      <c r="E473" s="5">
        <v>292192</v>
      </c>
      <c r="F473" s="1" t="s">
        <v>11</v>
      </c>
      <c r="G473" s="10">
        <v>64367.040000000001</v>
      </c>
      <c r="H473" s="1" t="s">
        <v>26</v>
      </c>
      <c r="I473" t="s">
        <v>53</v>
      </c>
      <c r="J473" t="s">
        <v>22</v>
      </c>
    </row>
    <row r="474" spans="1:10" x14ac:dyDescent="0.35">
      <c r="A474">
        <v>473</v>
      </c>
      <c r="B474" s="1" t="s">
        <v>27</v>
      </c>
      <c r="C474">
        <v>2013</v>
      </c>
      <c r="D474" s="4">
        <v>2.1</v>
      </c>
      <c r="E474" s="5">
        <v>35814</v>
      </c>
      <c r="F474" s="1" t="s">
        <v>16</v>
      </c>
      <c r="G474" s="10">
        <v>6398.77</v>
      </c>
      <c r="H474" s="1" t="s">
        <v>40</v>
      </c>
      <c r="I474" t="s">
        <v>51</v>
      </c>
      <c r="J474" t="s">
        <v>14</v>
      </c>
    </row>
    <row r="475" spans="1:10" x14ac:dyDescent="0.35">
      <c r="A475">
        <v>474</v>
      </c>
      <c r="B475" s="1" t="s">
        <v>35</v>
      </c>
      <c r="C475">
        <v>2018</v>
      </c>
      <c r="D475" s="4">
        <v>5</v>
      </c>
      <c r="E475" s="5">
        <v>190766</v>
      </c>
      <c r="F475" s="1" t="s">
        <v>15</v>
      </c>
      <c r="G475" s="10">
        <v>76065.14</v>
      </c>
      <c r="H475" s="1" t="s">
        <v>45</v>
      </c>
      <c r="I475" t="s">
        <v>51</v>
      </c>
      <c r="J475" t="s">
        <v>14</v>
      </c>
    </row>
    <row r="476" spans="1:10" x14ac:dyDescent="0.35">
      <c r="A476">
        <v>475</v>
      </c>
      <c r="B476" s="1" t="s">
        <v>29</v>
      </c>
      <c r="C476">
        <v>2006</v>
      </c>
      <c r="D476" s="4">
        <v>1.7</v>
      </c>
      <c r="E476" s="5">
        <v>60204</v>
      </c>
      <c r="F476" s="1" t="s">
        <v>11</v>
      </c>
      <c r="G476" s="10">
        <v>13695.84</v>
      </c>
      <c r="H476" s="1" t="s">
        <v>30</v>
      </c>
      <c r="I476" t="s">
        <v>53</v>
      </c>
      <c r="J476" t="s">
        <v>14</v>
      </c>
    </row>
    <row r="477" spans="1:10" x14ac:dyDescent="0.35">
      <c r="A477">
        <v>476</v>
      </c>
      <c r="B477" s="1" t="s">
        <v>29</v>
      </c>
      <c r="C477">
        <v>2015</v>
      </c>
      <c r="D477" s="4">
        <v>2.7</v>
      </c>
      <c r="E477" s="5">
        <v>32844</v>
      </c>
      <c r="F477" s="1" t="s">
        <v>15</v>
      </c>
      <c r="G477" s="10">
        <v>29676.34</v>
      </c>
      <c r="H477" s="1" t="s">
        <v>43</v>
      </c>
      <c r="I477" t="s">
        <v>51</v>
      </c>
      <c r="J477" t="s">
        <v>14</v>
      </c>
    </row>
    <row r="478" spans="1:10" x14ac:dyDescent="0.35">
      <c r="A478">
        <v>477</v>
      </c>
      <c r="B478" s="1" t="s">
        <v>27</v>
      </c>
      <c r="C478">
        <v>2015</v>
      </c>
      <c r="D478" s="4">
        <v>5.3</v>
      </c>
      <c r="E478" s="5">
        <v>248827</v>
      </c>
      <c r="F478" s="1" t="s">
        <v>15</v>
      </c>
      <c r="G478" s="10">
        <v>57391.58</v>
      </c>
      <c r="H478" s="1" t="s">
        <v>48</v>
      </c>
      <c r="I478" t="s">
        <v>53</v>
      </c>
      <c r="J478" t="s">
        <v>22</v>
      </c>
    </row>
    <row r="479" spans="1:10" x14ac:dyDescent="0.35">
      <c r="A479">
        <v>478</v>
      </c>
      <c r="B479" s="1" t="s">
        <v>23</v>
      </c>
      <c r="C479">
        <v>2000</v>
      </c>
      <c r="D479" s="4">
        <v>1.8</v>
      </c>
      <c r="E479" s="5">
        <v>245256</v>
      </c>
      <c r="F479" s="1" t="s">
        <v>16</v>
      </c>
      <c r="G479" s="10">
        <v>47914.6</v>
      </c>
      <c r="H479" s="1" t="s">
        <v>42</v>
      </c>
      <c r="I479" t="s">
        <v>53</v>
      </c>
      <c r="J479" t="s">
        <v>14</v>
      </c>
    </row>
    <row r="480" spans="1:10" x14ac:dyDescent="0.35">
      <c r="A480">
        <v>479</v>
      </c>
      <c r="B480" s="1" t="s">
        <v>10</v>
      </c>
      <c r="C480">
        <v>2003</v>
      </c>
      <c r="D480" s="4">
        <v>1.4</v>
      </c>
      <c r="E480" s="5">
        <v>21518</v>
      </c>
      <c r="F480" s="1" t="s">
        <v>15</v>
      </c>
      <c r="G480" s="10">
        <v>6498.57</v>
      </c>
      <c r="H480" s="1" t="s">
        <v>12</v>
      </c>
      <c r="I480" t="s">
        <v>13</v>
      </c>
      <c r="J480" t="s">
        <v>14</v>
      </c>
    </row>
    <row r="481" spans="1:10" x14ac:dyDescent="0.35">
      <c r="A481">
        <v>480</v>
      </c>
      <c r="B481" s="1" t="s">
        <v>10</v>
      </c>
      <c r="C481">
        <v>2003</v>
      </c>
      <c r="D481" s="4">
        <v>3.4</v>
      </c>
      <c r="E481" s="5">
        <v>23052</v>
      </c>
      <c r="F481" s="1" t="s">
        <v>16</v>
      </c>
      <c r="G481" s="10">
        <v>83278.58</v>
      </c>
      <c r="H481" s="1" t="s">
        <v>19</v>
      </c>
      <c r="I481" t="s">
        <v>13</v>
      </c>
      <c r="J481" t="s">
        <v>14</v>
      </c>
    </row>
    <row r="482" spans="1:10" x14ac:dyDescent="0.35">
      <c r="A482">
        <v>481</v>
      </c>
      <c r="B482" s="1" t="s">
        <v>27</v>
      </c>
      <c r="C482">
        <v>2006</v>
      </c>
      <c r="D482" s="4">
        <v>2.5</v>
      </c>
      <c r="E482" s="5">
        <v>256346</v>
      </c>
      <c r="F482" s="1" t="s">
        <v>15</v>
      </c>
      <c r="G482" s="10">
        <v>88486.09</v>
      </c>
      <c r="H482" s="1" t="s">
        <v>48</v>
      </c>
      <c r="I482" t="s">
        <v>53</v>
      </c>
      <c r="J482" t="s">
        <v>22</v>
      </c>
    </row>
    <row r="483" spans="1:10" x14ac:dyDescent="0.35">
      <c r="A483">
        <v>482</v>
      </c>
      <c r="B483" s="1" t="s">
        <v>20</v>
      </c>
      <c r="C483">
        <v>2007</v>
      </c>
      <c r="D483" s="4">
        <v>3.8</v>
      </c>
      <c r="E483" s="5">
        <v>69803</v>
      </c>
      <c r="F483" s="1" t="s">
        <v>15</v>
      </c>
      <c r="G483" s="10">
        <v>69777.929999999993</v>
      </c>
      <c r="H483" s="1" t="s">
        <v>46</v>
      </c>
      <c r="I483" t="s">
        <v>52</v>
      </c>
      <c r="J483" t="s">
        <v>14</v>
      </c>
    </row>
    <row r="484" spans="1:10" x14ac:dyDescent="0.35">
      <c r="A484">
        <v>483</v>
      </c>
      <c r="B484" s="1" t="s">
        <v>20</v>
      </c>
      <c r="C484">
        <v>2016</v>
      </c>
      <c r="D484" s="4">
        <v>5</v>
      </c>
      <c r="E484" s="5">
        <v>71524</v>
      </c>
      <c r="F484" s="1" t="s">
        <v>15</v>
      </c>
      <c r="G484" s="10">
        <v>56401.45</v>
      </c>
      <c r="H484" s="1" t="s">
        <v>39</v>
      </c>
      <c r="I484" t="s">
        <v>51</v>
      </c>
      <c r="J484" t="s">
        <v>14</v>
      </c>
    </row>
    <row r="485" spans="1:10" x14ac:dyDescent="0.35">
      <c r="A485">
        <v>484</v>
      </c>
      <c r="B485" s="1" t="s">
        <v>10</v>
      </c>
      <c r="C485">
        <v>2004</v>
      </c>
      <c r="D485" s="4">
        <v>1.7</v>
      </c>
      <c r="E485" s="5">
        <v>224582</v>
      </c>
      <c r="F485" s="1" t="s">
        <v>15</v>
      </c>
      <c r="G485" s="10">
        <v>96270.09</v>
      </c>
      <c r="H485" s="1" t="s">
        <v>12</v>
      </c>
      <c r="I485" t="s">
        <v>13</v>
      </c>
      <c r="J485" t="s">
        <v>14</v>
      </c>
    </row>
    <row r="486" spans="1:10" x14ac:dyDescent="0.35">
      <c r="A486">
        <v>485</v>
      </c>
      <c r="B486" s="1" t="s">
        <v>10</v>
      </c>
      <c r="C486">
        <v>2006</v>
      </c>
      <c r="D486" s="4">
        <v>3.9</v>
      </c>
      <c r="E486" s="5">
        <v>67021</v>
      </c>
      <c r="F486" s="1" t="s">
        <v>15</v>
      </c>
      <c r="G486" s="10">
        <v>16395.84</v>
      </c>
      <c r="H486" s="1" t="s">
        <v>18</v>
      </c>
      <c r="I486" t="s">
        <v>13</v>
      </c>
      <c r="J486" t="s">
        <v>14</v>
      </c>
    </row>
    <row r="487" spans="1:10" x14ac:dyDescent="0.35">
      <c r="A487">
        <v>486</v>
      </c>
      <c r="B487" s="1" t="s">
        <v>29</v>
      </c>
      <c r="C487">
        <v>2019</v>
      </c>
      <c r="D487" s="4">
        <v>3.5</v>
      </c>
      <c r="E487" s="5">
        <v>211321</v>
      </c>
      <c r="F487" s="1" t="s">
        <v>15</v>
      </c>
      <c r="G487" s="10">
        <v>75101.460000000006</v>
      </c>
      <c r="H487" s="1" t="s">
        <v>43</v>
      </c>
      <c r="I487" t="s">
        <v>13</v>
      </c>
      <c r="J487" t="s">
        <v>22</v>
      </c>
    </row>
    <row r="488" spans="1:10" x14ac:dyDescent="0.35">
      <c r="A488">
        <v>487</v>
      </c>
      <c r="B488" s="1" t="s">
        <v>23</v>
      </c>
      <c r="C488">
        <v>2019</v>
      </c>
      <c r="D488" s="4">
        <v>1.7</v>
      </c>
      <c r="E488" s="5">
        <v>282187</v>
      </c>
      <c r="F488" s="1" t="s">
        <v>16</v>
      </c>
      <c r="G488" s="10">
        <v>17194.259999999998</v>
      </c>
      <c r="H488" s="1" t="s">
        <v>24</v>
      </c>
      <c r="I488" t="s">
        <v>52</v>
      </c>
      <c r="J488" t="s">
        <v>14</v>
      </c>
    </row>
    <row r="489" spans="1:10" x14ac:dyDescent="0.35">
      <c r="A489">
        <v>488</v>
      </c>
      <c r="B489" s="1" t="s">
        <v>35</v>
      </c>
      <c r="C489">
        <v>2003</v>
      </c>
      <c r="D489" s="4">
        <v>4.0999999999999996</v>
      </c>
      <c r="E489" s="5">
        <v>2419</v>
      </c>
      <c r="F489" s="1" t="s">
        <v>16</v>
      </c>
      <c r="G489" s="10">
        <v>41275.26</v>
      </c>
      <c r="H489" s="1" t="s">
        <v>36</v>
      </c>
      <c r="I489" t="s">
        <v>13</v>
      </c>
      <c r="J489" t="s">
        <v>22</v>
      </c>
    </row>
    <row r="490" spans="1:10" x14ac:dyDescent="0.35">
      <c r="A490">
        <v>489</v>
      </c>
      <c r="B490" s="1" t="s">
        <v>20</v>
      </c>
      <c r="C490">
        <v>2005</v>
      </c>
      <c r="D490" s="4">
        <v>2.4</v>
      </c>
      <c r="E490" s="5">
        <v>187964</v>
      </c>
      <c r="F490" s="1" t="s">
        <v>11</v>
      </c>
      <c r="G490" s="10">
        <v>60621.03</v>
      </c>
      <c r="H490" s="1" t="s">
        <v>21</v>
      </c>
      <c r="I490" t="s">
        <v>13</v>
      </c>
      <c r="J490" t="s">
        <v>14</v>
      </c>
    </row>
    <row r="491" spans="1:10" x14ac:dyDescent="0.35">
      <c r="A491">
        <v>490</v>
      </c>
      <c r="B491" s="1" t="s">
        <v>10</v>
      </c>
      <c r="C491">
        <v>2006</v>
      </c>
      <c r="D491" s="4">
        <v>3.4</v>
      </c>
      <c r="E491" s="5">
        <v>121831</v>
      </c>
      <c r="F491" s="1" t="s">
        <v>15</v>
      </c>
      <c r="G491" s="10">
        <v>75023.33</v>
      </c>
      <c r="H491" s="1" t="s">
        <v>19</v>
      </c>
      <c r="I491" t="s">
        <v>13</v>
      </c>
      <c r="J491" t="s">
        <v>14</v>
      </c>
    </row>
    <row r="492" spans="1:10" x14ac:dyDescent="0.35">
      <c r="A492">
        <v>491</v>
      </c>
      <c r="B492" s="1" t="s">
        <v>29</v>
      </c>
      <c r="C492">
        <v>2017</v>
      </c>
      <c r="D492" s="4">
        <v>1.4</v>
      </c>
      <c r="E492" s="5">
        <v>244688</v>
      </c>
      <c r="F492" s="1" t="s">
        <v>16</v>
      </c>
      <c r="G492" s="10">
        <v>5353.03</v>
      </c>
      <c r="H492" s="1" t="s">
        <v>43</v>
      </c>
      <c r="I492" t="s">
        <v>51</v>
      </c>
      <c r="J492" t="s">
        <v>14</v>
      </c>
    </row>
    <row r="493" spans="1:10" x14ac:dyDescent="0.35">
      <c r="A493">
        <v>492</v>
      </c>
      <c r="B493" s="1" t="s">
        <v>25</v>
      </c>
      <c r="C493">
        <v>2004</v>
      </c>
      <c r="D493" s="4">
        <v>3.3</v>
      </c>
      <c r="E493" s="5">
        <v>101799</v>
      </c>
      <c r="F493" s="1" t="s">
        <v>15</v>
      </c>
      <c r="G493" s="10">
        <v>29756.799999999999</v>
      </c>
      <c r="H493" s="1" t="s">
        <v>44</v>
      </c>
      <c r="I493" t="s">
        <v>53</v>
      </c>
      <c r="J493" t="s">
        <v>22</v>
      </c>
    </row>
    <row r="494" spans="1:10" x14ac:dyDescent="0.35">
      <c r="A494">
        <v>493</v>
      </c>
      <c r="B494" s="1" t="s">
        <v>29</v>
      </c>
      <c r="C494">
        <v>2019</v>
      </c>
      <c r="D494" s="4">
        <v>2.5</v>
      </c>
      <c r="E494" s="5">
        <v>194941</v>
      </c>
      <c r="F494" s="1" t="s">
        <v>15</v>
      </c>
      <c r="G494" s="10">
        <v>56129.04</v>
      </c>
      <c r="H494" s="1" t="s">
        <v>43</v>
      </c>
      <c r="I494" t="s">
        <v>51</v>
      </c>
      <c r="J494" t="s">
        <v>14</v>
      </c>
    </row>
    <row r="495" spans="1:10" x14ac:dyDescent="0.35">
      <c r="A495">
        <v>494</v>
      </c>
      <c r="B495" s="1" t="s">
        <v>20</v>
      </c>
      <c r="C495">
        <v>2002</v>
      </c>
      <c r="D495" s="4">
        <v>5.0999999999999996</v>
      </c>
      <c r="E495" s="5">
        <v>176282</v>
      </c>
      <c r="F495" s="1" t="s">
        <v>16</v>
      </c>
      <c r="G495" s="10">
        <v>55623</v>
      </c>
      <c r="H495" s="1" t="s">
        <v>46</v>
      </c>
      <c r="I495" t="s">
        <v>53</v>
      </c>
      <c r="J495" t="s">
        <v>22</v>
      </c>
    </row>
    <row r="496" spans="1:10" x14ac:dyDescent="0.35">
      <c r="A496">
        <v>495</v>
      </c>
      <c r="B496" s="1" t="s">
        <v>20</v>
      </c>
      <c r="C496">
        <v>2006</v>
      </c>
      <c r="D496" s="4">
        <v>1.3</v>
      </c>
      <c r="E496" s="5">
        <v>108611</v>
      </c>
      <c r="F496" s="1" t="s">
        <v>15</v>
      </c>
      <c r="G496" s="10">
        <v>65574.509999999995</v>
      </c>
      <c r="H496" s="1" t="s">
        <v>21</v>
      </c>
      <c r="I496" t="s">
        <v>51</v>
      </c>
      <c r="J496" t="s">
        <v>22</v>
      </c>
    </row>
    <row r="497" spans="1:10" x14ac:dyDescent="0.35">
      <c r="A497">
        <v>496</v>
      </c>
      <c r="B497" s="1" t="s">
        <v>29</v>
      </c>
      <c r="C497">
        <v>2021</v>
      </c>
      <c r="D497" s="4">
        <v>3.1</v>
      </c>
      <c r="E497" s="5">
        <v>137559</v>
      </c>
      <c r="F497" s="1" t="s">
        <v>16</v>
      </c>
      <c r="G497" s="10">
        <v>33866.089999999997</v>
      </c>
      <c r="H497" s="1" t="s">
        <v>31</v>
      </c>
      <c r="I497" t="s">
        <v>52</v>
      </c>
      <c r="J497" t="s">
        <v>22</v>
      </c>
    </row>
    <row r="498" spans="1:10" x14ac:dyDescent="0.35">
      <c r="A498">
        <v>497</v>
      </c>
      <c r="B498" s="1" t="s">
        <v>35</v>
      </c>
      <c r="C498">
        <v>2013</v>
      </c>
      <c r="D498" s="4">
        <v>3.3</v>
      </c>
      <c r="E498" s="5">
        <v>62112</v>
      </c>
      <c r="F498" s="1" t="s">
        <v>16</v>
      </c>
      <c r="G498" s="10">
        <v>56350.28</v>
      </c>
      <c r="H498" s="1" t="s">
        <v>45</v>
      </c>
      <c r="I498" t="s">
        <v>52</v>
      </c>
      <c r="J498" t="s">
        <v>22</v>
      </c>
    </row>
    <row r="499" spans="1:10" x14ac:dyDescent="0.35">
      <c r="A499">
        <v>498</v>
      </c>
      <c r="B499" s="1" t="s">
        <v>27</v>
      </c>
      <c r="C499">
        <v>2006</v>
      </c>
      <c r="D499" s="4">
        <v>4.5999999999999996</v>
      </c>
      <c r="E499" s="5">
        <v>239040</v>
      </c>
      <c r="F499" s="1" t="s">
        <v>11</v>
      </c>
      <c r="G499" s="10">
        <v>23029.74</v>
      </c>
      <c r="H499" s="1" t="s">
        <v>28</v>
      </c>
      <c r="I499" t="s">
        <v>13</v>
      </c>
      <c r="J499" t="s">
        <v>14</v>
      </c>
    </row>
    <row r="500" spans="1:10" x14ac:dyDescent="0.35">
      <c r="A500">
        <v>499</v>
      </c>
      <c r="B500" s="1" t="s">
        <v>20</v>
      </c>
      <c r="C500">
        <v>2004</v>
      </c>
      <c r="D500" s="4">
        <v>3.9</v>
      </c>
      <c r="E500" s="5">
        <v>278504</v>
      </c>
      <c r="F500" s="1" t="s">
        <v>11</v>
      </c>
      <c r="G500" s="10">
        <v>22752.86</v>
      </c>
      <c r="H500" s="1" t="s">
        <v>33</v>
      </c>
      <c r="I500" t="s">
        <v>52</v>
      </c>
      <c r="J500" t="s">
        <v>14</v>
      </c>
    </row>
    <row r="501" spans="1:10" x14ac:dyDescent="0.35">
      <c r="A501">
        <v>500</v>
      </c>
      <c r="B501" s="1" t="s">
        <v>29</v>
      </c>
      <c r="C501">
        <v>2021</v>
      </c>
      <c r="D501" s="4">
        <v>4.3</v>
      </c>
      <c r="E501" s="5">
        <v>233451</v>
      </c>
      <c r="F501" s="1" t="s">
        <v>11</v>
      </c>
      <c r="G501" s="10">
        <v>59773.58</v>
      </c>
      <c r="H501" s="1" t="s">
        <v>43</v>
      </c>
      <c r="I501" t="s">
        <v>13</v>
      </c>
      <c r="J501" t="s">
        <v>14</v>
      </c>
    </row>
    <row r="502" spans="1:10" x14ac:dyDescent="0.35">
      <c r="A502">
        <v>501</v>
      </c>
      <c r="B502" s="1" t="s">
        <v>10</v>
      </c>
      <c r="C502">
        <v>2004</v>
      </c>
      <c r="D502" s="4">
        <v>4.9000000000000004</v>
      </c>
      <c r="E502" s="5">
        <v>221490</v>
      </c>
      <c r="F502" s="1" t="s">
        <v>11</v>
      </c>
      <c r="G502" s="10">
        <v>70119.899999999994</v>
      </c>
      <c r="H502" s="1" t="s">
        <v>12</v>
      </c>
      <c r="I502" t="s">
        <v>13</v>
      </c>
      <c r="J502" t="s">
        <v>14</v>
      </c>
    </row>
    <row r="503" spans="1:10" x14ac:dyDescent="0.35">
      <c r="A503">
        <v>502</v>
      </c>
      <c r="B503" s="1" t="s">
        <v>29</v>
      </c>
      <c r="C503">
        <v>2022</v>
      </c>
      <c r="D503" s="4">
        <v>5.3</v>
      </c>
      <c r="E503" s="5">
        <v>265161</v>
      </c>
      <c r="F503" s="1" t="s">
        <v>15</v>
      </c>
      <c r="G503" s="10">
        <v>16438</v>
      </c>
      <c r="H503" s="1" t="s">
        <v>43</v>
      </c>
      <c r="I503" t="s">
        <v>52</v>
      </c>
      <c r="J503" t="s">
        <v>14</v>
      </c>
    </row>
    <row r="504" spans="1:10" x14ac:dyDescent="0.35">
      <c r="A504">
        <v>503</v>
      </c>
      <c r="B504" s="1" t="s">
        <v>23</v>
      </c>
      <c r="C504">
        <v>2001</v>
      </c>
      <c r="D504" s="4">
        <v>2.6</v>
      </c>
      <c r="E504" s="5">
        <v>191196</v>
      </c>
      <c r="F504" s="1" t="s">
        <v>15</v>
      </c>
      <c r="G504" s="10">
        <v>16665.04</v>
      </c>
      <c r="H504" s="1" t="s">
        <v>32</v>
      </c>
      <c r="I504" t="s">
        <v>53</v>
      </c>
      <c r="J504" t="s">
        <v>22</v>
      </c>
    </row>
    <row r="505" spans="1:10" x14ac:dyDescent="0.35">
      <c r="A505">
        <v>504</v>
      </c>
      <c r="B505" s="1" t="s">
        <v>27</v>
      </c>
      <c r="C505">
        <v>2020</v>
      </c>
      <c r="D505" s="4">
        <v>3.7</v>
      </c>
      <c r="E505" s="5">
        <v>247418</v>
      </c>
      <c r="F505" s="1" t="s">
        <v>11</v>
      </c>
      <c r="G505" s="10">
        <v>58703.76</v>
      </c>
      <c r="H505" s="1" t="s">
        <v>28</v>
      </c>
      <c r="I505" t="s">
        <v>51</v>
      </c>
      <c r="J505" t="s">
        <v>22</v>
      </c>
    </row>
    <row r="506" spans="1:10" x14ac:dyDescent="0.35">
      <c r="A506">
        <v>505</v>
      </c>
      <c r="B506" s="1" t="s">
        <v>25</v>
      </c>
      <c r="C506">
        <v>2021</v>
      </c>
      <c r="D506" s="4">
        <v>5.2</v>
      </c>
      <c r="E506" s="5">
        <v>221370</v>
      </c>
      <c r="F506" s="1" t="s">
        <v>16</v>
      </c>
      <c r="G506" s="10">
        <v>30659.1</v>
      </c>
      <c r="H506" s="1" t="s">
        <v>26</v>
      </c>
      <c r="I506" t="s">
        <v>53</v>
      </c>
      <c r="J506" t="s">
        <v>22</v>
      </c>
    </row>
    <row r="507" spans="1:10" x14ac:dyDescent="0.35">
      <c r="A507">
        <v>506</v>
      </c>
      <c r="B507" s="1" t="s">
        <v>35</v>
      </c>
      <c r="C507">
        <v>2005</v>
      </c>
      <c r="D507" s="4">
        <v>5.9</v>
      </c>
      <c r="E507" s="5">
        <v>189340</v>
      </c>
      <c r="F507" s="1" t="s">
        <v>16</v>
      </c>
      <c r="G507" s="10">
        <v>42277.91</v>
      </c>
      <c r="H507" s="1" t="s">
        <v>45</v>
      </c>
      <c r="I507" t="s">
        <v>51</v>
      </c>
      <c r="J507" t="s">
        <v>14</v>
      </c>
    </row>
    <row r="508" spans="1:10" x14ac:dyDescent="0.35">
      <c r="A508">
        <v>507</v>
      </c>
      <c r="B508" s="1" t="s">
        <v>25</v>
      </c>
      <c r="C508">
        <v>2014</v>
      </c>
      <c r="D508" s="4">
        <v>5.4</v>
      </c>
      <c r="E508" s="5">
        <v>66320</v>
      </c>
      <c r="F508" s="1" t="s">
        <v>16</v>
      </c>
      <c r="G508" s="10">
        <v>43071.1</v>
      </c>
      <c r="H508" s="1" t="s">
        <v>49</v>
      </c>
      <c r="I508" t="s">
        <v>53</v>
      </c>
      <c r="J508" t="s">
        <v>14</v>
      </c>
    </row>
    <row r="509" spans="1:10" x14ac:dyDescent="0.35">
      <c r="A509">
        <v>508</v>
      </c>
      <c r="B509" s="1" t="s">
        <v>27</v>
      </c>
      <c r="C509">
        <v>2020</v>
      </c>
      <c r="D509" s="4">
        <v>2.9</v>
      </c>
      <c r="E509" s="5">
        <v>235067</v>
      </c>
      <c r="F509" s="1" t="s">
        <v>16</v>
      </c>
      <c r="G509" s="10">
        <v>21962.52</v>
      </c>
      <c r="H509" s="1" t="s">
        <v>48</v>
      </c>
      <c r="I509" t="s">
        <v>53</v>
      </c>
      <c r="J509" t="s">
        <v>22</v>
      </c>
    </row>
    <row r="510" spans="1:10" x14ac:dyDescent="0.35">
      <c r="A510">
        <v>509</v>
      </c>
      <c r="B510" s="1" t="s">
        <v>27</v>
      </c>
      <c r="C510">
        <v>2009</v>
      </c>
      <c r="D510" s="4">
        <v>2</v>
      </c>
      <c r="E510" s="5">
        <v>212373</v>
      </c>
      <c r="F510" s="1" t="s">
        <v>15</v>
      </c>
      <c r="G510" s="10">
        <v>5124.8900000000003</v>
      </c>
      <c r="H510" s="1" t="s">
        <v>37</v>
      </c>
      <c r="I510" t="s">
        <v>52</v>
      </c>
      <c r="J510" t="s">
        <v>14</v>
      </c>
    </row>
    <row r="511" spans="1:10" x14ac:dyDescent="0.35">
      <c r="A511">
        <v>510</v>
      </c>
      <c r="B511" s="1" t="s">
        <v>27</v>
      </c>
      <c r="C511">
        <v>2022</v>
      </c>
      <c r="D511" s="4">
        <v>3.4</v>
      </c>
      <c r="E511" s="5">
        <v>293271</v>
      </c>
      <c r="F511" s="1" t="s">
        <v>16</v>
      </c>
      <c r="G511" s="10">
        <v>86049.42</v>
      </c>
      <c r="H511" s="1" t="s">
        <v>28</v>
      </c>
      <c r="I511" t="s">
        <v>53</v>
      </c>
      <c r="J511" t="s">
        <v>14</v>
      </c>
    </row>
    <row r="512" spans="1:10" x14ac:dyDescent="0.35">
      <c r="A512">
        <v>511</v>
      </c>
      <c r="B512" s="1" t="s">
        <v>25</v>
      </c>
      <c r="C512">
        <v>2023</v>
      </c>
      <c r="D512" s="4">
        <v>4.7</v>
      </c>
      <c r="E512" s="5">
        <v>180786</v>
      </c>
      <c r="F512" s="1" t="s">
        <v>16</v>
      </c>
      <c r="G512" s="10">
        <v>72925.19</v>
      </c>
      <c r="H512" s="1" t="s">
        <v>26</v>
      </c>
      <c r="I512" t="s">
        <v>52</v>
      </c>
      <c r="J512" t="s">
        <v>22</v>
      </c>
    </row>
    <row r="513" spans="1:10" x14ac:dyDescent="0.35">
      <c r="A513">
        <v>512</v>
      </c>
      <c r="B513" s="1" t="s">
        <v>10</v>
      </c>
      <c r="C513">
        <v>2006</v>
      </c>
      <c r="D513" s="4">
        <v>3.5</v>
      </c>
      <c r="E513" s="5">
        <v>294065</v>
      </c>
      <c r="F513" s="1" t="s">
        <v>11</v>
      </c>
      <c r="G513" s="10">
        <v>70601.16</v>
      </c>
      <c r="H513" s="1" t="s">
        <v>18</v>
      </c>
      <c r="I513" t="s">
        <v>13</v>
      </c>
      <c r="J513" t="s">
        <v>14</v>
      </c>
    </row>
    <row r="514" spans="1:10" x14ac:dyDescent="0.35">
      <c r="A514">
        <v>513</v>
      </c>
      <c r="B514" s="1" t="s">
        <v>27</v>
      </c>
      <c r="C514">
        <v>2004</v>
      </c>
      <c r="D514" s="4">
        <v>3.4</v>
      </c>
      <c r="E514" s="5">
        <v>266890</v>
      </c>
      <c r="F514" s="1" t="s">
        <v>16</v>
      </c>
      <c r="G514" s="10">
        <v>56917.99</v>
      </c>
      <c r="H514" s="1" t="s">
        <v>37</v>
      </c>
      <c r="I514" t="s">
        <v>13</v>
      </c>
      <c r="J514" t="s">
        <v>14</v>
      </c>
    </row>
    <row r="515" spans="1:10" x14ac:dyDescent="0.35">
      <c r="A515">
        <v>514</v>
      </c>
      <c r="B515" s="1" t="s">
        <v>29</v>
      </c>
      <c r="C515">
        <v>2000</v>
      </c>
      <c r="D515" s="4">
        <v>5.2</v>
      </c>
      <c r="E515" s="5">
        <v>65350</v>
      </c>
      <c r="F515" s="1" t="s">
        <v>15</v>
      </c>
      <c r="G515" s="10">
        <v>71592.12</v>
      </c>
      <c r="H515" s="1" t="s">
        <v>30</v>
      </c>
      <c r="I515" t="s">
        <v>13</v>
      </c>
      <c r="J515" t="s">
        <v>22</v>
      </c>
    </row>
    <row r="516" spans="1:10" x14ac:dyDescent="0.35">
      <c r="A516">
        <v>515</v>
      </c>
      <c r="B516" s="1" t="s">
        <v>25</v>
      </c>
      <c r="C516">
        <v>2012</v>
      </c>
      <c r="D516" s="4">
        <v>2.8</v>
      </c>
      <c r="E516" s="5">
        <v>181417</v>
      </c>
      <c r="F516" s="1" t="s">
        <v>16</v>
      </c>
      <c r="G516" s="10">
        <v>93890.4</v>
      </c>
      <c r="H516" s="1" t="s">
        <v>41</v>
      </c>
      <c r="I516" t="s">
        <v>51</v>
      </c>
      <c r="J516" t="s">
        <v>22</v>
      </c>
    </row>
    <row r="517" spans="1:10" x14ac:dyDescent="0.35">
      <c r="A517">
        <v>516</v>
      </c>
      <c r="B517" s="1" t="s">
        <v>27</v>
      </c>
      <c r="C517">
        <v>2020</v>
      </c>
      <c r="D517" s="4">
        <v>5.3</v>
      </c>
      <c r="E517" s="5">
        <v>240678</v>
      </c>
      <c r="F517" s="1" t="s">
        <v>16</v>
      </c>
      <c r="G517" s="10">
        <v>68239</v>
      </c>
      <c r="H517" s="1" t="s">
        <v>40</v>
      </c>
      <c r="I517" t="s">
        <v>53</v>
      </c>
      <c r="J517" t="s">
        <v>14</v>
      </c>
    </row>
    <row r="518" spans="1:10" x14ac:dyDescent="0.35">
      <c r="A518">
        <v>517</v>
      </c>
      <c r="B518" s="1" t="s">
        <v>29</v>
      </c>
      <c r="C518">
        <v>2017</v>
      </c>
      <c r="D518" s="4">
        <v>3</v>
      </c>
      <c r="E518" s="5">
        <v>22063</v>
      </c>
      <c r="F518" s="1" t="s">
        <v>15</v>
      </c>
      <c r="G518" s="10">
        <v>30183.68</v>
      </c>
      <c r="H518" s="1" t="s">
        <v>43</v>
      </c>
      <c r="I518" t="s">
        <v>51</v>
      </c>
      <c r="J518" t="s">
        <v>14</v>
      </c>
    </row>
    <row r="519" spans="1:10" x14ac:dyDescent="0.35">
      <c r="A519">
        <v>518</v>
      </c>
      <c r="B519" s="1" t="s">
        <v>10</v>
      </c>
      <c r="C519">
        <v>2012</v>
      </c>
      <c r="D519" s="4">
        <v>2.6</v>
      </c>
      <c r="E519" s="5">
        <v>117116</v>
      </c>
      <c r="F519" s="1" t="s">
        <v>11</v>
      </c>
      <c r="G519" s="10">
        <v>59203.199999999997</v>
      </c>
      <c r="H519" s="1" t="s">
        <v>12</v>
      </c>
      <c r="I519" t="s">
        <v>13</v>
      </c>
      <c r="J519" t="s">
        <v>14</v>
      </c>
    </row>
    <row r="520" spans="1:10" x14ac:dyDescent="0.35">
      <c r="A520">
        <v>519</v>
      </c>
      <c r="B520" s="1" t="s">
        <v>23</v>
      </c>
      <c r="C520">
        <v>2020</v>
      </c>
      <c r="D520" s="4">
        <v>3.3</v>
      </c>
      <c r="E520" s="5">
        <v>177043</v>
      </c>
      <c r="F520" s="1" t="s">
        <v>15</v>
      </c>
      <c r="G520" s="10">
        <v>47020.82</v>
      </c>
      <c r="H520" s="1" t="s">
        <v>42</v>
      </c>
      <c r="I520" t="s">
        <v>13</v>
      </c>
      <c r="J520" t="s">
        <v>14</v>
      </c>
    </row>
    <row r="521" spans="1:10" x14ac:dyDescent="0.35">
      <c r="A521">
        <v>520</v>
      </c>
      <c r="B521" s="1" t="s">
        <v>10</v>
      </c>
      <c r="C521">
        <v>2020</v>
      </c>
      <c r="D521" s="4">
        <v>4.8</v>
      </c>
      <c r="E521" s="5">
        <v>134670</v>
      </c>
      <c r="F521" s="1" t="s">
        <v>11</v>
      </c>
      <c r="G521" s="10">
        <v>57859.82</v>
      </c>
      <c r="H521" s="1" t="s">
        <v>17</v>
      </c>
      <c r="I521" t="s">
        <v>13</v>
      </c>
      <c r="J521" t="s">
        <v>14</v>
      </c>
    </row>
    <row r="522" spans="1:10" x14ac:dyDescent="0.35">
      <c r="A522">
        <v>521</v>
      </c>
      <c r="B522" s="1" t="s">
        <v>27</v>
      </c>
      <c r="C522">
        <v>2017</v>
      </c>
      <c r="D522" s="4">
        <v>1.6</v>
      </c>
      <c r="E522" s="5">
        <v>10564</v>
      </c>
      <c r="F522" s="1" t="s">
        <v>16</v>
      </c>
      <c r="G522" s="10">
        <v>54173</v>
      </c>
      <c r="H522" s="1" t="s">
        <v>28</v>
      </c>
      <c r="I522" t="s">
        <v>53</v>
      </c>
      <c r="J522" t="s">
        <v>22</v>
      </c>
    </row>
    <row r="523" spans="1:10" x14ac:dyDescent="0.35">
      <c r="A523">
        <v>522</v>
      </c>
      <c r="B523" s="1" t="s">
        <v>25</v>
      </c>
      <c r="C523">
        <v>2004</v>
      </c>
      <c r="D523" s="4">
        <v>2</v>
      </c>
      <c r="E523" s="5">
        <v>242124</v>
      </c>
      <c r="F523" s="1" t="s">
        <v>11</v>
      </c>
      <c r="G523" s="10">
        <v>86583.65</v>
      </c>
      <c r="H523" s="1" t="s">
        <v>41</v>
      </c>
      <c r="I523" t="s">
        <v>53</v>
      </c>
      <c r="J523" t="s">
        <v>14</v>
      </c>
    </row>
    <row r="524" spans="1:10" x14ac:dyDescent="0.35">
      <c r="A524">
        <v>523</v>
      </c>
      <c r="B524" s="1" t="s">
        <v>20</v>
      </c>
      <c r="C524">
        <v>2012</v>
      </c>
      <c r="D524" s="4">
        <v>5.8</v>
      </c>
      <c r="E524" s="5">
        <v>227506</v>
      </c>
      <c r="F524" s="1" t="s">
        <v>11</v>
      </c>
      <c r="G524" s="10">
        <v>66921.009999999995</v>
      </c>
      <c r="H524" s="1" t="s">
        <v>33</v>
      </c>
      <c r="I524" t="s">
        <v>13</v>
      </c>
      <c r="J524" t="s">
        <v>22</v>
      </c>
    </row>
    <row r="525" spans="1:10" x14ac:dyDescent="0.35">
      <c r="A525">
        <v>524</v>
      </c>
      <c r="B525" s="1" t="s">
        <v>27</v>
      </c>
      <c r="C525">
        <v>2003</v>
      </c>
      <c r="D525" s="4">
        <v>1.9</v>
      </c>
      <c r="E525" s="5">
        <v>86134</v>
      </c>
      <c r="F525" s="1" t="s">
        <v>11</v>
      </c>
      <c r="G525" s="10">
        <v>22932.06</v>
      </c>
      <c r="H525" s="1" t="s">
        <v>37</v>
      </c>
      <c r="I525" t="s">
        <v>13</v>
      </c>
      <c r="J525" t="s">
        <v>22</v>
      </c>
    </row>
    <row r="526" spans="1:10" x14ac:dyDescent="0.35">
      <c r="A526">
        <v>525</v>
      </c>
      <c r="B526" s="1" t="s">
        <v>20</v>
      </c>
      <c r="C526">
        <v>2016</v>
      </c>
      <c r="D526" s="4">
        <v>3.8</v>
      </c>
      <c r="E526" s="5">
        <v>105940</v>
      </c>
      <c r="F526" s="1" t="s">
        <v>16</v>
      </c>
      <c r="G526" s="10">
        <v>10986.59</v>
      </c>
      <c r="H526" s="1" t="s">
        <v>39</v>
      </c>
      <c r="I526" t="s">
        <v>51</v>
      </c>
      <c r="J526" t="s">
        <v>22</v>
      </c>
    </row>
    <row r="527" spans="1:10" x14ac:dyDescent="0.35">
      <c r="A527">
        <v>526</v>
      </c>
      <c r="B527" s="1" t="s">
        <v>29</v>
      </c>
      <c r="C527">
        <v>2002</v>
      </c>
      <c r="D527" s="4">
        <v>3.9</v>
      </c>
      <c r="E527" s="5">
        <v>62085</v>
      </c>
      <c r="F527" s="1" t="s">
        <v>11</v>
      </c>
      <c r="G527" s="10">
        <v>45314.559999999998</v>
      </c>
      <c r="H527" s="1" t="s">
        <v>30</v>
      </c>
      <c r="I527" t="s">
        <v>13</v>
      </c>
      <c r="J527" t="s">
        <v>14</v>
      </c>
    </row>
    <row r="528" spans="1:10" x14ac:dyDescent="0.35">
      <c r="A528">
        <v>527</v>
      </c>
      <c r="B528" s="1" t="s">
        <v>23</v>
      </c>
      <c r="C528">
        <v>2016</v>
      </c>
      <c r="D528" s="4">
        <v>3.4</v>
      </c>
      <c r="E528" s="5">
        <v>17862</v>
      </c>
      <c r="F528" s="1" t="s">
        <v>11</v>
      </c>
      <c r="G528" s="10">
        <v>6483.01</v>
      </c>
      <c r="H528" s="1" t="s">
        <v>34</v>
      </c>
      <c r="I528" t="s">
        <v>53</v>
      </c>
      <c r="J528" t="s">
        <v>14</v>
      </c>
    </row>
    <row r="529" spans="1:10" x14ac:dyDescent="0.35">
      <c r="A529">
        <v>528</v>
      </c>
      <c r="B529" s="1" t="s">
        <v>35</v>
      </c>
      <c r="C529">
        <v>2010</v>
      </c>
      <c r="D529" s="4">
        <v>4.2</v>
      </c>
      <c r="E529" s="5">
        <v>272409</v>
      </c>
      <c r="F529" s="1" t="s">
        <v>16</v>
      </c>
      <c r="G529" s="10">
        <v>35238.25</v>
      </c>
      <c r="H529" s="1" t="s">
        <v>50</v>
      </c>
      <c r="I529" t="s">
        <v>51</v>
      </c>
      <c r="J529" t="s">
        <v>14</v>
      </c>
    </row>
    <row r="530" spans="1:10" x14ac:dyDescent="0.35">
      <c r="A530">
        <v>529</v>
      </c>
      <c r="B530" s="1" t="s">
        <v>10</v>
      </c>
      <c r="C530">
        <v>2020</v>
      </c>
      <c r="D530" s="4">
        <v>2.1</v>
      </c>
      <c r="E530" s="5">
        <v>140777</v>
      </c>
      <c r="F530" s="1" t="s">
        <v>15</v>
      </c>
      <c r="G530" s="10">
        <v>39962.04</v>
      </c>
      <c r="H530" s="1" t="s">
        <v>17</v>
      </c>
      <c r="I530" t="s">
        <v>13</v>
      </c>
      <c r="J530" t="s">
        <v>14</v>
      </c>
    </row>
    <row r="531" spans="1:10" x14ac:dyDescent="0.35">
      <c r="A531">
        <v>530</v>
      </c>
      <c r="B531" s="1" t="s">
        <v>23</v>
      </c>
      <c r="C531">
        <v>2019</v>
      </c>
      <c r="D531" s="4">
        <v>3.8</v>
      </c>
      <c r="E531" s="5">
        <v>186351</v>
      </c>
      <c r="F531" s="1" t="s">
        <v>15</v>
      </c>
      <c r="G531" s="10">
        <v>40680.94</v>
      </c>
      <c r="H531" s="1" t="s">
        <v>24</v>
      </c>
      <c r="I531" t="s">
        <v>52</v>
      </c>
      <c r="J531" t="s">
        <v>22</v>
      </c>
    </row>
    <row r="532" spans="1:10" x14ac:dyDescent="0.35">
      <c r="A532">
        <v>531</v>
      </c>
      <c r="B532" s="1" t="s">
        <v>27</v>
      </c>
      <c r="C532">
        <v>2022</v>
      </c>
      <c r="D532" s="4">
        <v>2.9</v>
      </c>
      <c r="E532" s="5">
        <v>62471</v>
      </c>
      <c r="F532" s="1" t="s">
        <v>15</v>
      </c>
      <c r="G532" s="10">
        <v>98038.25</v>
      </c>
      <c r="H532" s="1" t="s">
        <v>48</v>
      </c>
      <c r="I532" t="s">
        <v>51</v>
      </c>
      <c r="J532" t="s">
        <v>14</v>
      </c>
    </row>
    <row r="533" spans="1:10" x14ac:dyDescent="0.35">
      <c r="A533">
        <v>532</v>
      </c>
      <c r="B533" s="1" t="s">
        <v>20</v>
      </c>
      <c r="C533">
        <v>2020</v>
      </c>
      <c r="D533" s="4">
        <v>4.3</v>
      </c>
      <c r="E533" s="5">
        <v>91080</v>
      </c>
      <c r="F533" s="1" t="s">
        <v>16</v>
      </c>
      <c r="G533" s="10">
        <v>33870.58</v>
      </c>
      <c r="H533" s="1" t="s">
        <v>21</v>
      </c>
      <c r="I533" t="s">
        <v>53</v>
      </c>
      <c r="J533" t="s">
        <v>14</v>
      </c>
    </row>
    <row r="534" spans="1:10" x14ac:dyDescent="0.35">
      <c r="A534">
        <v>533</v>
      </c>
      <c r="B534" s="1" t="s">
        <v>10</v>
      </c>
      <c r="C534">
        <v>2003</v>
      </c>
      <c r="D534" s="4">
        <v>1.7</v>
      </c>
      <c r="E534" s="5">
        <v>108007</v>
      </c>
      <c r="F534" s="1" t="s">
        <v>16</v>
      </c>
      <c r="G534" s="10">
        <v>30196.61</v>
      </c>
      <c r="H534" s="1" t="s">
        <v>12</v>
      </c>
      <c r="I534" t="s">
        <v>13</v>
      </c>
      <c r="J534" t="s">
        <v>14</v>
      </c>
    </row>
    <row r="535" spans="1:10" x14ac:dyDescent="0.35">
      <c r="A535">
        <v>534</v>
      </c>
      <c r="B535" s="1" t="s">
        <v>20</v>
      </c>
      <c r="C535">
        <v>2001</v>
      </c>
      <c r="D535" s="4">
        <v>3.9</v>
      </c>
      <c r="E535" s="5">
        <v>46104</v>
      </c>
      <c r="F535" s="1" t="s">
        <v>15</v>
      </c>
      <c r="G535" s="10">
        <v>17291.189999999999</v>
      </c>
      <c r="H535" s="1" t="s">
        <v>39</v>
      </c>
      <c r="I535" t="s">
        <v>52</v>
      </c>
      <c r="J535" t="s">
        <v>22</v>
      </c>
    </row>
    <row r="536" spans="1:10" x14ac:dyDescent="0.35">
      <c r="A536">
        <v>535</v>
      </c>
      <c r="B536" s="1" t="s">
        <v>25</v>
      </c>
      <c r="C536">
        <v>2019</v>
      </c>
      <c r="D536" s="4">
        <v>1.9</v>
      </c>
      <c r="E536" s="5">
        <v>40934</v>
      </c>
      <c r="F536" s="1" t="s">
        <v>11</v>
      </c>
      <c r="G536" s="10">
        <v>53545.84</v>
      </c>
      <c r="H536" s="1" t="s">
        <v>41</v>
      </c>
      <c r="I536" t="s">
        <v>53</v>
      </c>
      <c r="J536" t="s">
        <v>14</v>
      </c>
    </row>
    <row r="537" spans="1:10" x14ac:dyDescent="0.35">
      <c r="A537">
        <v>536</v>
      </c>
      <c r="B537" s="1" t="s">
        <v>20</v>
      </c>
      <c r="C537">
        <v>2015</v>
      </c>
      <c r="D537" s="4">
        <v>2.4</v>
      </c>
      <c r="E537" s="5">
        <v>254606</v>
      </c>
      <c r="F537" s="1" t="s">
        <v>15</v>
      </c>
      <c r="G537" s="10">
        <v>19599.060000000001</v>
      </c>
      <c r="H537" s="1" t="s">
        <v>46</v>
      </c>
      <c r="I537" t="s">
        <v>51</v>
      </c>
      <c r="J537" t="s">
        <v>22</v>
      </c>
    </row>
    <row r="538" spans="1:10" x14ac:dyDescent="0.35">
      <c r="A538">
        <v>537</v>
      </c>
      <c r="B538" s="1" t="s">
        <v>25</v>
      </c>
      <c r="C538">
        <v>2017</v>
      </c>
      <c r="D538" s="4">
        <v>2.1</v>
      </c>
      <c r="E538" s="5">
        <v>6050</v>
      </c>
      <c r="F538" s="1" t="s">
        <v>16</v>
      </c>
      <c r="G538" s="10">
        <v>63548</v>
      </c>
      <c r="H538" s="1" t="s">
        <v>49</v>
      </c>
      <c r="I538" t="s">
        <v>53</v>
      </c>
      <c r="J538" t="s">
        <v>14</v>
      </c>
    </row>
    <row r="539" spans="1:10" x14ac:dyDescent="0.35">
      <c r="A539">
        <v>538</v>
      </c>
      <c r="B539" s="1" t="s">
        <v>29</v>
      </c>
      <c r="C539">
        <v>2007</v>
      </c>
      <c r="D539" s="4">
        <v>1.9</v>
      </c>
      <c r="E539" s="5">
        <v>175024</v>
      </c>
      <c r="F539" s="1" t="s">
        <v>11</v>
      </c>
      <c r="G539" s="10">
        <v>19740.18</v>
      </c>
      <c r="H539" s="1" t="s">
        <v>30</v>
      </c>
      <c r="I539" t="s">
        <v>52</v>
      </c>
      <c r="J539" t="s">
        <v>22</v>
      </c>
    </row>
    <row r="540" spans="1:10" x14ac:dyDescent="0.35">
      <c r="A540">
        <v>539</v>
      </c>
      <c r="B540" s="1" t="s">
        <v>10</v>
      </c>
      <c r="C540">
        <v>2002</v>
      </c>
      <c r="D540" s="4">
        <v>5.0999999999999996</v>
      </c>
      <c r="E540" s="5">
        <v>270628</v>
      </c>
      <c r="F540" s="1" t="s">
        <v>11</v>
      </c>
      <c r="G540" s="10">
        <v>59783.97</v>
      </c>
      <c r="H540" s="1" t="s">
        <v>12</v>
      </c>
      <c r="I540" t="s">
        <v>13</v>
      </c>
      <c r="J540" t="s">
        <v>14</v>
      </c>
    </row>
    <row r="541" spans="1:10" x14ac:dyDescent="0.35">
      <c r="A541">
        <v>540</v>
      </c>
      <c r="B541" s="1" t="s">
        <v>10</v>
      </c>
      <c r="C541">
        <v>2008</v>
      </c>
      <c r="D541" s="4">
        <v>2.4</v>
      </c>
      <c r="E541" s="5">
        <v>184750</v>
      </c>
      <c r="F541" s="1" t="s">
        <v>16</v>
      </c>
      <c r="G541" s="10">
        <v>83495.58</v>
      </c>
      <c r="H541" s="1" t="s">
        <v>19</v>
      </c>
      <c r="I541" t="s">
        <v>13</v>
      </c>
      <c r="J541" t="s">
        <v>14</v>
      </c>
    </row>
    <row r="542" spans="1:10" x14ac:dyDescent="0.35">
      <c r="A542">
        <v>541</v>
      </c>
      <c r="B542" s="1" t="s">
        <v>35</v>
      </c>
      <c r="C542">
        <v>2019</v>
      </c>
      <c r="D542" s="4">
        <v>5.6</v>
      </c>
      <c r="E542" s="5">
        <v>31323</v>
      </c>
      <c r="F542" s="1" t="s">
        <v>11</v>
      </c>
      <c r="G542" s="10">
        <v>9039.84</v>
      </c>
      <c r="H542" s="1" t="s">
        <v>50</v>
      </c>
      <c r="I542" t="s">
        <v>53</v>
      </c>
      <c r="J542" t="s">
        <v>22</v>
      </c>
    </row>
    <row r="543" spans="1:10" x14ac:dyDescent="0.35">
      <c r="A543">
        <v>542</v>
      </c>
      <c r="B543" s="1" t="s">
        <v>27</v>
      </c>
      <c r="C543">
        <v>2005</v>
      </c>
      <c r="D543" s="4">
        <v>5.8</v>
      </c>
      <c r="E543" s="5">
        <v>86332</v>
      </c>
      <c r="F543" s="1" t="s">
        <v>15</v>
      </c>
      <c r="G543" s="10">
        <v>44875.96</v>
      </c>
      <c r="H543" s="1" t="s">
        <v>28</v>
      </c>
      <c r="I543" t="s">
        <v>13</v>
      </c>
      <c r="J543" t="s">
        <v>14</v>
      </c>
    </row>
    <row r="544" spans="1:10" x14ac:dyDescent="0.35">
      <c r="A544">
        <v>543</v>
      </c>
      <c r="B544" s="1" t="s">
        <v>25</v>
      </c>
      <c r="C544">
        <v>2009</v>
      </c>
      <c r="D544" s="4">
        <v>3.9</v>
      </c>
      <c r="E544" s="5">
        <v>255540</v>
      </c>
      <c r="F544" s="1" t="s">
        <v>16</v>
      </c>
      <c r="G544" s="10">
        <v>48799.65</v>
      </c>
      <c r="H544" s="1" t="s">
        <v>49</v>
      </c>
      <c r="I544" t="s">
        <v>13</v>
      </c>
      <c r="J544" t="s">
        <v>22</v>
      </c>
    </row>
    <row r="545" spans="1:10" x14ac:dyDescent="0.35">
      <c r="A545">
        <v>544</v>
      </c>
      <c r="B545" s="1" t="s">
        <v>35</v>
      </c>
      <c r="C545">
        <v>2020</v>
      </c>
      <c r="D545" s="4">
        <v>1.7</v>
      </c>
      <c r="E545" s="5">
        <v>254547</v>
      </c>
      <c r="F545" s="1" t="s">
        <v>16</v>
      </c>
      <c r="G545" s="10">
        <v>80151.850000000006</v>
      </c>
      <c r="H545" s="1" t="s">
        <v>36</v>
      </c>
      <c r="I545" t="s">
        <v>53</v>
      </c>
      <c r="J545" t="s">
        <v>22</v>
      </c>
    </row>
    <row r="546" spans="1:10" x14ac:dyDescent="0.35">
      <c r="A546">
        <v>545</v>
      </c>
      <c r="B546" s="1" t="s">
        <v>20</v>
      </c>
      <c r="C546">
        <v>2009</v>
      </c>
      <c r="D546" s="4">
        <v>2.9</v>
      </c>
      <c r="E546" s="5">
        <v>272459</v>
      </c>
      <c r="F546" s="1" t="s">
        <v>16</v>
      </c>
      <c r="G546" s="10">
        <v>49451.99</v>
      </c>
      <c r="H546" s="1" t="s">
        <v>33</v>
      </c>
      <c r="I546" t="s">
        <v>53</v>
      </c>
      <c r="J546" t="s">
        <v>14</v>
      </c>
    </row>
    <row r="547" spans="1:10" x14ac:dyDescent="0.35">
      <c r="A547">
        <v>546</v>
      </c>
      <c r="B547" s="1" t="s">
        <v>20</v>
      </c>
      <c r="C547">
        <v>2012</v>
      </c>
      <c r="D547" s="4">
        <v>5</v>
      </c>
      <c r="E547" s="5">
        <v>157591</v>
      </c>
      <c r="F547" s="1" t="s">
        <v>16</v>
      </c>
      <c r="G547" s="10">
        <v>58915.9</v>
      </c>
      <c r="H547" s="1" t="s">
        <v>39</v>
      </c>
      <c r="I547" t="s">
        <v>53</v>
      </c>
      <c r="J547" t="s">
        <v>22</v>
      </c>
    </row>
    <row r="548" spans="1:10" x14ac:dyDescent="0.35">
      <c r="A548">
        <v>547</v>
      </c>
      <c r="B548" s="1" t="s">
        <v>35</v>
      </c>
      <c r="C548">
        <v>2016</v>
      </c>
      <c r="D548" s="4">
        <v>2.8</v>
      </c>
      <c r="E548" s="5">
        <v>271251</v>
      </c>
      <c r="F548" s="1" t="s">
        <v>11</v>
      </c>
      <c r="G548" s="10">
        <v>80164.399999999994</v>
      </c>
      <c r="H548" s="1" t="s">
        <v>36</v>
      </c>
      <c r="I548" t="s">
        <v>51</v>
      </c>
      <c r="J548" t="s">
        <v>14</v>
      </c>
    </row>
    <row r="549" spans="1:10" x14ac:dyDescent="0.35">
      <c r="A549">
        <v>548</v>
      </c>
      <c r="B549" s="1" t="s">
        <v>10</v>
      </c>
      <c r="C549">
        <v>2008</v>
      </c>
      <c r="D549" s="4">
        <v>1.4</v>
      </c>
      <c r="E549" s="5">
        <v>55781</v>
      </c>
      <c r="F549" s="1" t="s">
        <v>16</v>
      </c>
      <c r="G549" s="10">
        <v>58177.06</v>
      </c>
      <c r="H549" s="1" t="s">
        <v>19</v>
      </c>
      <c r="I549" t="s">
        <v>13</v>
      </c>
      <c r="J549" t="s">
        <v>14</v>
      </c>
    </row>
    <row r="550" spans="1:10" x14ac:dyDescent="0.35">
      <c r="A550">
        <v>549</v>
      </c>
      <c r="B550" s="1" t="s">
        <v>20</v>
      </c>
      <c r="C550">
        <v>2016</v>
      </c>
      <c r="D550" s="4">
        <v>3.8</v>
      </c>
      <c r="E550" s="5">
        <v>266013</v>
      </c>
      <c r="F550" s="1" t="s">
        <v>16</v>
      </c>
      <c r="G550" s="10">
        <v>39038.44</v>
      </c>
      <c r="H550" s="1" t="s">
        <v>39</v>
      </c>
      <c r="I550" t="s">
        <v>52</v>
      </c>
      <c r="J550" t="s">
        <v>14</v>
      </c>
    </row>
    <row r="551" spans="1:10" x14ac:dyDescent="0.35">
      <c r="A551">
        <v>550</v>
      </c>
      <c r="B551" s="1" t="s">
        <v>29</v>
      </c>
      <c r="C551">
        <v>2023</v>
      </c>
      <c r="D551" s="4">
        <v>5.2</v>
      </c>
      <c r="E551" s="5">
        <v>7971</v>
      </c>
      <c r="F551" s="1" t="s">
        <v>11</v>
      </c>
      <c r="G551" s="10">
        <v>13155.02</v>
      </c>
      <c r="H551" s="1" t="s">
        <v>31</v>
      </c>
      <c r="I551" t="s">
        <v>52</v>
      </c>
      <c r="J551" t="s">
        <v>22</v>
      </c>
    </row>
    <row r="552" spans="1:10" x14ac:dyDescent="0.35">
      <c r="A552">
        <v>551</v>
      </c>
      <c r="B552" s="1" t="s">
        <v>29</v>
      </c>
      <c r="C552">
        <v>2008</v>
      </c>
      <c r="D552" s="4">
        <v>5</v>
      </c>
      <c r="E552" s="5">
        <v>254927</v>
      </c>
      <c r="F552" s="1" t="s">
        <v>16</v>
      </c>
      <c r="G552" s="10">
        <v>74341.98</v>
      </c>
      <c r="H552" s="1" t="s">
        <v>38</v>
      </c>
      <c r="I552" t="s">
        <v>53</v>
      </c>
      <c r="J552" t="s">
        <v>22</v>
      </c>
    </row>
    <row r="553" spans="1:10" x14ac:dyDescent="0.35">
      <c r="A553">
        <v>552</v>
      </c>
      <c r="B553" s="1" t="s">
        <v>35</v>
      </c>
      <c r="C553">
        <v>2008</v>
      </c>
      <c r="D553" s="4">
        <v>1.9</v>
      </c>
      <c r="E553" s="5">
        <v>287795</v>
      </c>
      <c r="F553" s="1" t="s">
        <v>11</v>
      </c>
      <c r="G553" s="10">
        <v>87758.12</v>
      </c>
      <c r="H553" s="1" t="s">
        <v>50</v>
      </c>
      <c r="I553" t="s">
        <v>52</v>
      </c>
      <c r="J553" t="s">
        <v>22</v>
      </c>
    </row>
    <row r="554" spans="1:10" x14ac:dyDescent="0.35">
      <c r="A554">
        <v>553</v>
      </c>
      <c r="B554" s="1" t="s">
        <v>25</v>
      </c>
      <c r="C554">
        <v>2000</v>
      </c>
      <c r="D554" s="4">
        <v>4.4000000000000004</v>
      </c>
      <c r="E554" s="5">
        <v>23446</v>
      </c>
      <c r="F554" s="1" t="s">
        <v>11</v>
      </c>
      <c r="G554" s="10">
        <v>97156.13</v>
      </c>
      <c r="H554" s="1" t="s">
        <v>41</v>
      </c>
      <c r="I554" t="s">
        <v>53</v>
      </c>
      <c r="J554" t="s">
        <v>14</v>
      </c>
    </row>
    <row r="555" spans="1:10" x14ac:dyDescent="0.35">
      <c r="A555">
        <v>554</v>
      </c>
      <c r="B555" s="1" t="s">
        <v>25</v>
      </c>
      <c r="C555">
        <v>2001</v>
      </c>
      <c r="D555" s="4">
        <v>2.1</v>
      </c>
      <c r="E555" s="5">
        <v>257419</v>
      </c>
      <c r="F555" s="1" t="s">
        <v>16</v>
      </c>
      <c r="G555" s="10">
        <v>93026.99</v>
      </c>
      <c r="H555" s="1" t="s">
        <v>41</v>
      </c>
      <c r="I555" t="s">
        <v>51</v>
      </c>
      <c r="J555" t="s">
        <v>14</v>
      </c>
    </row>
    <row r="556" spans="1:10" x14ac:dyDescent="0.35">
      <c r="A556">
        <v>555</v>
      </c>
      <c r="B556" s="1" t="s">
        <v>35</v>
      </c>
      <c r="C556">
        <v>2015</v>
      </c>
      <c r="D556" s="4">
        <v>2.1</v>
      </c>
      <c r="E556" s="5">
        <v>169180</v>
      </c>
      <c r="F556" s="1" t="s">
        <v>15</v>
      </c>
      <c r="G556" s="10">
        <v>80754.7</v>
      </c>
      <c r="H556" s="1" t="s">
        <v>45</v>
      </c>
      <c r="I556" t="s">
        <v>13</v>
      </c>
      <c r="J556" t="s">
        <v>22</v>
      </c>
    </row>
    <row r="557" spans="1:10" x14ac:dyDescent="0.35">
      <c r="A557">
        <v>556</v>
      </c>
      <c r="B557" s="1" t="s">
        <v>25</v>
      </c>
      <c r="C557">
        <v>2000</v>
      </c>
      <c r="D557" s="4">
        <v>5.4</v>
      </c>
      <c r="E557" s="5">
        <v>3823</v>
      </c>
      <c r="F557" s="1" t="s">
        <v>16</v>
      </c>
      <c r="G557" s="10">
        <v>66129.83</v>
      </c>
      <c r="H557" s="1" t="s">
        <v>44</v>
      </c>
      <c r="I557" t="s">
        <v>53</v>
      </c>
      <c r="J557" t="s">
        <v>22</v>
      </c>
    </row>
    <row r="558" spans="1:10" x14ac:dyDescent="0.35">
      <c r="A558">
        <v>557</v>
      </c>
      <c r="B558" s="1" t="s">
        <v>10</v>
      </c>
      <c r="C558">
        <v>2009</v>
      </c>
      <c r="D558" s="4">
        <v>2.2000000000000002</v>
      </c>
      <c r="E558" s="5">
        <v>144526</v>
      </c>
      <c r="F558" s="1" t="s">
        <v>15</v>
      </c>
      <c r="G558" s="10">
        <v>79238.710000000006</v>
      </c>
      <c r="H558" s="1" t="s">
        <v>12</v>
      </c>
      <c r="I558" t="s">
        <v>13</v>
      </c>
      <c r="J558" t="s">
        <v>14</v>
      </c>
    </row>
    <row r="559" spans="1:10" x14ac:dyDescent="0.35">
      <c r="A559">
        <v>558</v>
      </c>
      <c r="B559" s="1" t="s">
        <v>10</v>
      </c>
      <c r="C559">
        <v>2017</v>
      </c>
      <c r="D559" s="4">
        <v>2.2999999999999998</v>
      </c>
      <c r="E559" s="5">
        <v>135004</v>
      </c>
      <c r="F559" s="1" t="s">
        <v>11</v>
      </c>
      <c r="G559" s="10">
        <v>46047.95</v>
      </c>
      <c r="H559" s="1" t="s">
        <v>12</v>
      </c>
      <c r="I559" t="s">
        <v>13</v>
      </c>
      <c r="J559" t="s">
        <v>14</v>
      </c>
    </row>
    <row r="560" spans="1:10" x14ac:dyDescent="0.35">
      <c r="A560">
        <v>559</v>
      </c>
      <c r="B560" s="1" t="s">
        <v>25</v>
      </c>
      <c r="C560">
        <v>2007</v>
      </c>
      <c r="D560" s="4">
        <v>1</v>
      </c>
      <c r="E560" s="5">
        <v>205162</v>
      </c>
      <c r="F560" s="1" t="s">
        <v>15</v>
      </c>
      <c r="G560" s="10">
        <v>61503.74</v>
      </c>
      <c r="H560" s="1" t="s">
        <v>41</v>
      </c>
      <c r="I560" t="s">
        <v>13</v>
      </c>
      <c r="J560" t="s">
        <v>14</v>
      </c>
    </row>
    <row r="561" spans="1:10" x14ac:dyDescent="0.35">
      <c r="A561">
        <v>560</v>
      </c>
      <c r="B561" s="1" t="s">
        <v>29</v>
      </c>
      <c r="C561">
        <v>2020</v>
      </c>
      <c r="D561" s="4">
        <v>5.4</v>
      </c>
      <c r="E561" s="5">
        <v>67965</v>
      </c>
      <c r="F561" s="1" t="s">
        <v>16</v>
      </c>
      <c r="G561" s="10">
        <v>38126.480000000003</v>
      </c>
      <c r="H561" s="1" t="s">
        <v>43</v>
      </c>
      <c r="I561" t="s">
        <v>51</v>
      </c>
      <c r="J561" t="s">
        <v>22</v>
      </c>
    </row>
    <row r="562" spans="1:10" x14ac:dyDescent="0.35">
      <c r="A562">
        <v>561</v>
      </c>
      <c r="B562" s="1" t="s">
        <v>25</v>
      </c>
      <c r="C562">
        <v>2010</v>
      </c>
      <c r="D562" s="4">
        <v>5</v>
      </c>
      <c r="E562" s="5">
        <v>272654</v>
      </c>
      <c r="F562" s="1" t="s">
        <v>16</v>
      </c>
      <c r="G562" s="10">
        <v>36037.379999999997</v>
      </c>
      <c r="H562" s="1" t="s">
        <v>26</v>
      </c>
      <c r="I562" t="s">
        <v>52</v>
      </c>
      <c r="J562" t="s">
        <v>14</v>
      </c>
    </row>
    <row r="563" spans="1:10" x14ac:dyDescent="0.35">
      <c r="A563">
        <v>562</v>
      </c>
      <c r="B563" s="1" t="s">
        <v>10</v>
      </c>
      <c r="C563">
        <v>2022</v>
      </c>
      <c r="D563" s="4">
        <v>4.0999999999999996</v>
      </c>
      <c r="E563" s="5">
        <v>141609</v>
      </c>
      <c r="F563" s="1" t="s">
        <v>15</v>
      </c>
      <c r="G563" s="10">
        <v>76885.72</v>
      </c>
      <c r="H563" s="1" t="s">
        <v>12</v>
      </c>
      <c r="I563" t="s">
        <v>13</v>
      </c>
      <c r="J563" t="s">
        <v>14</v>
      </c>
    </row>
    <row r="564" spans="1:10" x14ac:dyDescent="0.35">
      <c r="A564">
        <v>563</v>
      </c>
      <c r="B564" s="1" t="s">
        <v>23</v>
      </c>
      <c r="C564">
        <v>2001</v>
      </c>
      <c r="D564" s="4">
        <v>4.8</v>
      </c>
      <c r="E564" s="5">
        <v>105935</v>
      </c>
      <c r="F564" s="1" t="s">
        <v>16</v>
      </c>
      <c r="G564" s="10">
        <v>48123.61</v>
      </c>
      <c r="H564" s="1" t="s">
        <v>24</v>
      </c>
      <c r="I564" t="s">
        <v>52</v>
      </c>
      <c r="J564" t="s">
        <v>22</v>
      </c>
    </row>
    <row r="565" spans="1:10" x14ac:dyDescent="0.35">
      <c r="A565">
        <v>564</v>
      </c>
      <c r="B565" s="1" t="s">
        <v>27</v>
      </c>
      <c r="C565">
        <v>2007</v>
      </c>
      <c r="D565" s="4">
        <v>1.8</v>
      </c>
      <c r="E565" s="5">
        <v>233705</v>
      </c>
      <c r="F565" s="1" t="s">
        <v>15</v>
      </c>
      <c r="G565" s="10">
        <v>25155.32</v>
      </c>
      <c r="H565" s="1" t="s">
        <v>40</v>
      </c>
      <c r="I565" t="s">
        <v>53</v>
      </c>
      <c r="J565" t="s">
        <v>14</v>
      </c>
    </row>
    <row r="566" spans="1:10" x14ac:dyDescent="0.35">
      <c r="A566">
        <v>565</v>
      </c>
      <c r="B566" s="1" t="s">
        <v>20</v>
      </c>
      <c r="C566">
        <v>2021</v>
      </c>
      <c r="D566" s="4">
        <v>3.3</v>
      </c>
      <c r="E566" s="5">
        <v>253978</v>
      </c>
      <c r="F566" s="1" t="s">
        <v>11</v>
      </c>
      <c r="G566" s="10">
        <v>24184.13</v>
      </c>
      <c r="H566" s="1" t="s">
        <v>33</v>
      </c>
      <c r="I566" t="s">
        <v>51</v>
      </c>
      <c r="J566" t="s">
        <v>14</v>
      </c>
    </row>
    <row r="567" spans="1:10" x14ac:dyDescent="0.35">
      <c r="A567">
        <v>566</v>
      </c>
      <c r="B567" s="1" t="s">
        <v>23</v>
      </c>
      <c r="C567">
        <v>2007</v>
      </c>
      <c r="D567" s="4">
        <v>2.8</v>
      </c>
      <c r="E567" s="5">
        <v>144854</v>
      </c>
      <c r="F567" s="1" t="s">
        <v>15</v>
      </c>
      <c r="G567" s="10">
        <v>86621.37</v>
      </c>
      <c r="H567" s="1" t="s">
        <v>32</v>
      </c>
      <c r="I567" t="s">
        <v>13</v>
      </c>
      <c r="J567" t="s">
        <v>14</v>
      </c>
    </row>
    <row r="568" spans="1:10" x14ac:dyDescent="0.35">
      <c r="A568">
        <v>567</v>
      </c>
      <c r="B568" s="1" t="s">
        <v>25</v>
      </c>
      <c r="C568">
        <v>2016</v>
      </c>
      <c r="D568" s="4">
        <v>1.5</v>
      </c>
      <c r="E568" s="5">
        <v>78004</v>
      </c>
      <c r="F568" s="1" t="s">
        <v>15</v>
      </c>
      <c r="G568" s="10">
        <v>69387.25</v>
      </c>
      <c r="H568" s="1" t="s">
        <v>41</v>
      </c>
      <c r="I568" t="s">
        <v>51</v>
      </c>
      <c r="J568" t="s">
        <v>22</v>
      </c>
    </row>
    <row r="569" spans="1:10" x14ac:dyDescent="0.35">
      <c r="A569">
        <v>568</v>
      </c>
      <c r="B569" s="1" t="s">
        <v>29</v>
      </c>
      <c r="C569">
        <v>2014</v>
      </c>
      <c r="D569" s="4">
        <v>3.4</v>
      </c>
      <c r="E569" s="5">
        <v>22072</v>
      </c>
      <c r="F569" s="1" t="s">
        <v>15</v>
      </c>
      <c r="G569" s="10">
        <v>56874.38</v>
      </c>
      <c r="H569" s="1" t="s">
        <v>38</v>
      </c>
      <c r="I569" t="s">
        <v>13</v>
      </c>
      <c r="J569" t="s">
        <v>14</v>
      </c>
    </row>
    <row r="570" spans="1:10" x14ac:dyDescent="0.35">
      <c r="A570">
        <v>569</v>
      </c>
      <c r="B570" s="1" t="s">
        <v>35</v>
      </c>
      <c r="C570">
        <v>2016</v>
      </c>
      <c r="D570" s="4">
        <v>5.6</v>
      </c>
      <c r="E570" s="5">
        <v>81015</v>
      </c>
      <c r="F570" s="1" t="s">
        <v>15</v>
      </c>
      <c r="G570" s="10">
        <v>43089.18</v>
      </c>
      <c r="H570" s="1" t="s">
        <v>45</v>
      </c>
      <c r="I570" t="s">
        <v>52</v>
      </c>
      <c r="J570" t="s">
        <v>14</v>
      </c>
    </row>
    <row r="571" spans="1:10" x14ac:dyDescent="0.35">
      <c r="A571">
        <v>570</v>
      </c>
      <c r="B571" s="1" t="s">
        <v>25</v>
      </c>
      <c r="C571">
        <v>2022</v>
      </c>
      <c r="D571" s="4">
        <v>1.2</v>
      </c>
      <c r="E571" s="5">
        <v>225075</v>
      </c>
      <c r="F571" s="1" t="s">
        <v>11</v>
      </c>
      <c r="G571" s="10">
        <v>45927.65</v>
      </c>
      <c r="H571" s="1" t="s">
        <v>44</v>
      </c>
      <c r="I571" t="s">
        <v>52</v>
      </c>
      <c r="J571" t="s">
        <v>22</v>
      </c>
    </row>
    <row r="572" spans="1:10" x14ac:dyDescent="0.35">
      <c r="A572">
        <v>571</v>
      </c>
      <c r="B572" s="1" t="s">
        <v>29</v>
      </c>
      <c r="C572">
        <v>2023</v>
      </c>
      <c r="D572" s="4">
        <v>2.5</v>
      </c>
      <c r="E572" s="5">
        <v>220010</v>
      </c>
      <c r="F572" s="1" t="s">
        <v>11</v>
      </c>
      <c r="G572" s="10">
        <v>10456.34</v>
      </c>
      <c r="H572" s="1" t="s">
        <v>43</v>
      </c>
      <c r="I572" t="s">
        <v>51</v>
      </c>
      <c r="J572" t="s">
        <v>14</v>
      </c>
    </row>
    <row r="573" spans="1:10" x14ac:dyDescent="0.35">
      <c r="A573">
        <v>572</v>
      </c>
      <c r="B573" s="1" t="s">
        <v>27</v>
      </c>
      <c r="C573">
        <v>2012</v>
      </c>
      <c r="D573" s="4">
        <v>2</v>
      </c>
      <c r="E573" s="5">
        <v>72746</v>
      </c>
      <c r="F573" s="1" t="s">
        <v>11</v>
      </c>
      <c r="G573" s="10">
        <v>48216.46</v>
      </c>
      <c r="H573" s="1" t="s">
        <v>37</v>
      </c>
      <c r="I573" t="s">
        <v>13</v>
      </c>
      <c r="J573" t="s">
        <v>14</v>
      </c>
    </row>
    <row r="574" spans="1:10" x14ac:dyDescent="0.35">
      <c r="A574">
        <v>573</v>
      </c>
      <c r="B574" s="1" t="s">
        <v>25</v>
      </c>
      <c r="C574">
        <v>2018</v>
      </c>
      <c r="D574" s="4">
        <v>2.2000000000000002</v>
      </c>
      <c r="E574" s="5">
        <v>176774</v>
      </c>
      <c r="F574" s="1" t="s">
        <v>15</v>
      </c>
      <c r="G574" s="10">
        <v>80568.22</v>
      </c>
      <c r="H574" s="1" t="s">
        <v>44</v>
      </c>
      <c r="I574" t="s">
        <v>51</v>
      </c>
      <c r="J574" t="s">
        <v>14</v>
      </c>
    </row>
    <row r="575" spans="1:10" x14ac:dyDescent="0.35">
      <c r="A575">
        <v>574</v>
      </c>
      <c r="B575" s="1" t="s">
        <v>10</v>
      </c>
      <c r="C575">
        <v>2004</v>
      </c>
      <c r="D575" s="4">
        <v>5.5</v>
      </c>
      <c r="E575" s="5">
        <v>128259</v>
      </c>
      <c r="F575" s="1" t="s">
        <v>11</v>
      </c>
      <c r="G575" s="10">
        <v>41858.720000000001</v>
      </c>
      <c r="H575" s="1" t="s">
        <v>12</v>
      </c>
      <c r="I575" t="s">
        <v>13</v>
      </c>
      <c r="J575" t="s">
        <v>14</v>
      </c>
    </row>
    <row r="576" spans="1:10" x14ac:dyDescent="0.35">
      <c r="A576">
        <v>575</v>
      </c>
      <c r="B576" s="1" t="s">
        <v>35</v>
      </c>
      <c r="C576">
        <v>2011</v>
      </c>
      <c r="D576" s="4">
        <v>3.3</v>
      </c>
      <c r="E576" s="5">
        <v>30916</v>
      </c>
      <c r="F576" s="1" t="s">
        <v>16</v>
      </c>
      <c r="G576" s="10">
        <v>41440.22</v>
      </c>
      <c r="H576" s="1" t="s">
        <v>47</v>
      </c>
      <c r="I576" t="s">
        <v>13</v>
      </c>
      <c r="J576" t="s">
        <v>22</v>
      </c>
    </row>
    <row r="577" spans="1:10" x14ac:dyDescent="0.35">
      <c r="A577">
        <v>576</v>
      </c>
      <c r="B577" s="1" t="s">
        <v>29</v>
      </c>
      <c r="C577">
        <v>2000</v>
      </c>
      <c r="D577" s="4">
        <v>3.3</v>
      </c>
      <c r="E577" s="5">
        <v>27268</v>
      </c>
      <c r="F577" s="1" t="s">
        <v>11</v>
      </c>
      <c r="G577" s="10">
        <v>6493.08</v>
      </c>
      <c r="H577" s="1" t="s">
        <v>43</v>
      </c>
      <c r="I577" t="s">
        <v>52</v>
      </c>
      <c r="J577" t="s">
        <v>22</v>
      </c>
    </row>
    <row r="578" spans="1:10" x14ac:dyDescent="0.35">
      <c r="A578">
        <v>577</v>
      </c>
      <c r="B578" s="1" t="s">
        <v>29</v>
      </c>
      <c r="C578">
        <v>2022</v>
      </c>
      <c r="D578" s="4">
        <v>4.8</v>
      </c>
      <c r="E578" s="5">
        <v>175050</v>
      </c>
      <c r="F578" s="1" t="s">
        <v>15</v>
      </c>
      <c r="G578" s="10">
        <v>48494.35</v>
      </c>
      <c r="H578" s="1" t="s">
        <v>30</v>
      </c>
      <c r="I578" t="s">
        <v>52</v>
      </c>
      <c r="J578" t="s">
        <v>14</v>
      </c>
    </row>
    <row r="579" spans="1:10" x14ac:dyDescent="0.35">
      <c r="A579">
        <v>578</v>
      </c>
      <c r="B579" s="1" t="s">
        <v>29</v>
      </c>
      <c r="C579">
        <v>2004</v>
      </c>
      <c r="D579" s="4">
        <v>1.8</v>
      </c>
      <c r="E579" s="5">
        <v>243966</v>
      </c>
      <c r="F579" s="1" t="s">
        <v>16</v>
      </c>
      <c r="G579" s="10">
        <v>7407.08</v>
      </c>
      <c r="H579" s="1" t="s">
        <v>31</v>
      </c>
      <c r="I579" t="s">
        <v>13</v>
      </c>
      <c r="J579" t="s">
        <v>22</v>
      </c>
    </row>
    <row r="580" spans="1:10" x14ac:dyDescent="0.35">
      <c r="A580">
        <v>579</v>
      </c>
      <c r="B580" s="1" t="s">
        <v>27</v>
      </c>
      <c r="C580">
        <v>2007</v>
      </c>
      <c r="D580" s="4">
        <v>3.4</v>
      </c>
      <c r="E580" s="5">
        <v>23259</v>
      </c>
      <c r="F580" s="1" t="s">
        <v>15</v>
      </c>
      <c r="G580" s="10">
        <v>59183.199999999997</v>
      </c>
      <c r="H580" s="1" t="s">
        <v>28</v>
      </c>
      <c r="I580" t="s">
        <v>13</v>
      </c>
      <c r="J580" t="s">
        <v>14</v>
      </c>
    </row>
    <row r="581" spans="1:10" x14ac:dyDescent="0.35">
      <c r="A581">
        <v>580</v>
      </c>
      <c r="B581" s="1" t="s">
        <v>25</v>
      </c>
      <c r="C581">
        <v>2012</v>
      </c>
      <c r="D581" s="4">
        <v>3.1</v>
      </c>
      <c r="E581" s="5">
        <v>79400</v>
      </c>
      <c r="F581" s="1" t="s">
        <v>16</v>
      </c>
      <c r="G581" s="10">
        <v>53144.42</v>
      </c>
      <c r="H581" s="1" t="s">
        <v>44</v>
      </c>
      <c r="I581" t="s">
        <v>13</v>
      </c>
      <c r="J581" t="s">
        <v>14</v>
      </c>
    </row>
    <row r="582" spans="1:10" x14ac:dyDescent="0.35">
      <c r="A582">
        <v>581</v>
      </c>
      <c r="B582" s="1" t="s">
        <v>27</v>
      </c>
      <c r="C582">
        <v>2007</v>
      </c>
      <c r="D582" s="4">
        <v>4</v>
      </c>
      <c r="E582" s="5">
        <v>296437</v>
      </c>
      <c r="F582" s="1" t="s">
        <v>15</v>
      </c>
      <c r="G582" s="10">
        <v>84800.81</v>
      </c>
      <c r="H582" s="1" t="s">
        <v>37</v>
      </c>
      <c r="I582" t="s">
        <v>52</v>
      </c>
      <c r="J582" t="s">
        <v>14</v>
      </c>
    </row>
    <row r="583" spans="1:10" x14ac:dyDescent="0.35">
      <c r="A583">
        <v>582</v>
      </c>
      <c r="B583" s="1" t="s">
        <v>20</v>
      </c>
      <c r="C583">
        <v>2022</v>
      </c>
      <c r="D583" s="4">
        <v>6</v>
      </c>
      <c r="E583" s="5">
        <v>111581</v>
      </c>
      <c r="F583" s="1" t="s">
        <v>15</v>
      </c>
      <c r="G583" s="10">
        <v>60269.16</v>
      </c>
      <c r="H583" s="1" t="s">
        <v>39</v>
      </c>
      <c r="I583" t="s">
        <v>52</v>
      </c>
      <c r="J583" t="s">
        <v>22</v>
      </c>
    </row>
    <row r="584" spans="1:10" x14ac:dyDescent="0.35">
      <c r="A584">
        <v>583</v>
      </c>
      <c r="B584" s="1" t="s">
        <v>20</v>
      </c>
      <c r="C584">
        <v>2010</v>
      </c>
      <c r="D584" s="4">
        <v>4.8</v>
      </c>
      <c r="E584" s="5">
        <v>7043</v>
      </c>
      <c r="F584" s="1" t="s">
        <v>16</v>
      </c>
      <c r="G584" s="10">
        <v>35725.599999999999</v>
      </c>
      <c r="H584" s="1" t="s">
        <v>39</v>
      </c>
      <c r="I584" t="s">
        <v>53</v>
      </c>
      <c r="J584" t="s">
        <v>22</v>
      </c>
    </row>
    <row r="585" spans="1:10" x14ac:dyDescent="0.35">
      <c r="A585">
        <v>584</v>
      </c>
      <c r="B585" s="1" t="s">
        <v>25</v>
      </c>
      <c r="C585">
        <v>2000</v>
      </c>
      <c r="D585" s="4">
        <v>3</v>
      </c>
      <c r="E585" s="5">
        <v>181502</v>
      </c>
      <c r="F585" s="1" t="s">
        <v>11</v>
      </c>
      <c r="G585" s="10">
        <v>54041.95</v>
      </c>
      <c r="H585" s="1" t="s">
        <v>26</v>
      </c>
      <c r="I585" t="s">
        <v>13</v>
      </c>
      <c r="J585" t="s">
        <v>14</v>
      </c>
    </row>
    <row r="586" spans="1:10" x14ac:dyDescent="0.35">
      <c r="A586">
        <v>585</v>
      </c>
      <c r="B586" s="1" t="s">
        <v>10</v>
      </c>
      <c r="C586">
        <v>2012</v>
      </c>
      <c r="D586" s="4">
        <v>5.0999999999999996</v>
      </c>
      <c r="E586" s="5">
        <v>107009</v>
      </c>
      <c r="F586" s="1" t="s">
        <v>16</v>
      </c>
      <c r="G586" s="10">
        <v>71472.100000000006</v>
      </c>
      <c r="H586" s="1" t="s">
        <v>17</v>
      </c>
      <c r="I586" t="s">
        <v>13</v>
      </c>
      <c r="J586" t="s">
        <v>14</v>
      </c>
    </row>
    <row r="587" spans="1:10" x14ac:dyDescent="0.35">
      <c r="A587">
        <v>586</v>
      </c>
      <c r="B587" s="1" t="s">
        <v>27</v>
      </c>
      <c r="C587">
        <v>2018</v>
      </c>
      <c r="D587" s="4">
        <v>1.9</v>
      </c>
      <c r="E587" s="5">
        <v>209137</v>
      </c>
      <c r="F587" s="1" t="s">
        <v>16</v>
      </c>
      <c r="G587" s="10">
        <v>13926.56</v>
      </c>
      <c r="H587" s="1" t="s">
        <v>40</v>
      </c>
      <c r="I587" t="s">
        <v>13</v>
      </c>
      <c r="J587" t="s">
        <v>22</v>
      </c>
    </row>
    <row r="588" spans="1:10" x14ac:dyDescent="0.35">
      <c r="A588">
        <v>587</v>
      </c>
      <c r="B588" s="1" t="s">
        <v>35</v>
      </c>
      <c r="C588">
        <v>2023</v>
      </c>
      <c r="D588" s="4">
        <v>1.2</v>
      </c>
      <c r="E588" s="5">
        <v>161940</v>
      </c>
      <c r="F588" s="1" t="s">
        <v>16</v>
      </c>
      <c r="G588" s="10">
        <v>64002.04</v>
      </c>
      <c r="H588" s="1" t="s">
        <v>50</v>
      </c>
      <c r="I588" t="s">
        <v>52</v>
      </c>
      <c r="J588" t="s">
        <v>22</v>
      </c>
    </row>
    <row r="589" spans="1:10" x14ac:dyDescent="0.35">
      <c r="A589">
        <v>588</v>
      </c>
      <c r="B589" s="1" t="s">
        <v>29</v>
      </c>
      <c r="C589">
        <v>2002</v>
      </c>
      <c r="D589" s="4">
        <v>2</v>
      </c>
      <c r="E589" s="5">
        <v>288453</v>
      </c>
      <c r="F589" s="1" t="s">
        <v>16</v>
      </c>
      <c r="G589" s="10">
        <v>92079.5</v>
      </c>
      <c r="H589" s="1" t="s">
        <v>30</v>
      </c>
      <c r="I589" t="s">
        <v>53</v>
      </c>
      <c r="J589" t="s">
        <v>22</v>
      </c>
    </row>
    <row r="590" spans="1:10" x14ac:dyDescent="0.35">
      <c r="A590">
        <v>589</v>
      </c>
      <c r="B590" s="1" t="s">
        <v>29</v>
      </c>
      <c r="C590">
        <v>2023</v>
      </c>
      <c r="D590" s="4">
        <v>2.7</v>
      </c>
      <c r="E590" s="5">
        <v>285428</v>
      </c>
      <c r="F590" s="1" t="s">
        <v>16</v>
      </c>
      <c r="G590" s="10">
        <v>33417.379999999997</v>
      </c>
      <c r="H590" s="1" t="s">
        <v>38</v>
      </c>
      <c r="I590" t="s">
        <v>53</v>
      </c>
      <c r="J590" t="s">
        <v>14</v>
      </c>
    </row>
    <row r="591" spans="1:10" x14ac:dyDescent="0.35">
      <c r="A591">
        <v>590</v>
      </c>
      <c r="B591" s="1" t="s">
        <v>25</v>
      </c>
      <c r="C591">
        <v>2016</v>
      </c>
      <c r="D591" s="4">
        <v>3.6</v>
      </c>
      <c r="E591" s="5">
        <v>113259</v>
      </c>
      <c r="F591" s="1" t="s">
        <v>15</v>
      </c>
      <c r="G591" s="10">
        <v>64529.38</v>
      </c>
      <c r="H591" s="1" t="s">
        <v>41</v>
      </c>
      <c r="I591" t="s">
        <v>51</v>
      </c>
      <c r="J591" t="s">
        <v>22</v>
      </c>
    </row>
    <row r="592" spans="1:10" x14ac:dyDescent="0.35">
      <c r="A592">
        <v>591</v>
      </c>
      <c r="B592" s="1" t="s">
        <v>10</v>
      </c>
      <c r="C592">
        <v>2004</v>
      </c>
      <c r="D592" s="4">
        <v>4.0999999999999996</v>
      </c>
      <c r="E592" s="5">
        <v>100804</v>
      </c>
      <c r="F592" s="1" t="s">
        <v>15</v>
      </c>
      <c r="G592" s="10">
        <v>83026.3</v>
      </c>
      <c r="H592" s="1" t="s">
        <v>18</v>
      </c>
      <c r="I592" t="s">
        <v>13</v>
      </c>
      <c r="J592" t="s">
        <v>14</v>
      </c>
    </row>
    <row r="593" spans="1:10" x14ac:dyDescent="0.35">
      <c r="A593">
        <v>592</v>
      </c>
      <c r="B593" s="1" t="s">
        <v>20</v>
      </c>
      <c r="C593">
        <v>2019</v>
      </c>
      <c r="D593" s="4">
        <v>5.6</v>
      </c>
      <c r="E593" s="5">
        <v>69000</v>
      </c>
      <c r="F593" s="1" t="s">
        <v>11</v>
      </c>
      <c r="G593" s="10">
        <v>53621.61</v>
      </c>
      <c r="H593" s="1" t="s">
        <v>39</v>
      </c>
      <c r="I593" t="s">
        <v>52</v>
      </c>
      <c r="J593" t="s">
        <v>22</v>
      </c>
    </row>
    <row r="594" spans="1:10" x14ac:dyDescent="0.35">
      <c r="A594">
        <v>593</v>
      </c>
      <c r="B594" s="1" t="s">
        <v>20</v>
      </c>
      <c r="C594">
        <v>2020</v>
      </c>
      <c r="D594" s="4">
        <v>3.5</v>
      </c>
      <c r="E594" s="5">
        <v>84179</v>
      </c>
      <c r="F594" s="1" t="s">
        <v>11</v>
      </c>
      <c r="G594" s="10">
        <v>73208.06</v>
      </c>
      <c r="H594" s="1" t="s">
        <v>39</v>
      </c>
      <c r="I594" t="s">
        <v>51</v>
      </c>
      <c r="J594" t="s">
        <v>14</v>
      </c>
    </row>
    <row r="595" spans="1:10" x14ac:dyDescent="0.35">
      <c r="A595">
        <v>594</v>
      </c>
      <c r="B595" s="1" t="s">
        <v>29</v>
      </c>
      <c r="C595">
        <v>2007</v>
      </c>
      <c r="D595" s="4">
        <v>3.5</v>
      </c>
      <c r="E595" s="5">
        <v>291409</v>
      </c>
      <c r="F595" s="1" t="s">
        <v>16</v>
      </c>
      <c r="G595" s="10">
        <v>34545.980000000003</v>
      </c>
      <c r="H595" s="1" t="s">
        <v>31</v>
      </c>
      <c r="I595" t="s">
        <v>51</v>
      </c>
      <c r="J595" t="s">
        <v>22</v>
      </c>
    </row>
    <row r="596" spans="1:10" x14ac:dyDescent="0.35">
      <c r="A596">
        <v>595</v>
      </c>
      <c r="B596" s="1" t="s">
        <v>25</v>
      </c>
      <c r="C596">
        <v>2013</v>
      </c>
      <c r="D596" s="4">
        <v>1.3</v>
      </c>
      <c r="E596" s="5">
        <v>260226</v>
      </c>
      <c r="F596" s="1" t="s">
        <v>11</v>
      </c>
      <c r="G596" s="10">
        <v>34075.550000000003</v>
      </c>
      <c r="H596" s="1" t="s">
        <v>49</v>
      </c>
      <c r="I596" t="s">
        <v>13</v>
      </c>
      <c r="J596" t="s">
        <v>14</v>
      </c>
    </row>
    <row r="597" spans="1:10" x14ac:dyDescent="0.35">
      <c r="A597">
        <v>596</v>
      </c>
      <c r="B597" s="1" t="s">
        <v>27</v>
      </c>
      <c r="C597">
        <v>2003</v>
      </c>
      <c r="D597" s="4">
        <v>1.2</v>
      </c>
      <c r="E597" s="5">
        <v>23880</v>
      </c>
      <c r="F597" s="1" t="s">
        <v>11</v>
      </c>
      <c r="G597" s="10">
        <v>68420.479999999996</v>
      </c>
      <c r="H597" s="1" t="s">
        <v>48</v>
      </c>
      <c r="I597" t="s">
        <v>51</v>
      </c>
      <c r="J597" t="s">
        <v>14</v>
      </c>
    </row>
    <row r="598" spans="1:10" x14ac:dyDescent="0.35">
      <c r="A598">
        <v>597</v>
      </c>
      <c r="B598" s="1" t="s">
        <v>20</v>
      </c>
      <c r="C598">
        <v>2010</v>
      </c>
      <c r="D598" s="4">
        <v>3.8</v>
      </c>
      <c r="E598" s="5">
        <v>201264</v>
      </c>
      <c r="F598" s="1" t="s">
        <v>16</v>
      </c>
      <c r="G598" s="10">
        <v>72013.84</v>
      </c>
      <c r="H598" s="1" t="s">
        <v>21</v>
      </c>
      <c r="I598" t="s">
        <v>13</v>
      </c>
      <c r="J598" t="s">
        <v>14</v>
      </c>
    </row>
    <row r="599" spans="1:10" x14ac:dyDescent="0.35">
      <c r="A599">
        <v>598</v>
      </c>
      <c r="B599" s="1" t="s">
        <v>27</v>
      </c>
      <c r="C599">
        <v>2019</v>
      </c>
      <c r="D599" s="4">
        <v>3.2</v>
      </c>
      <c r="E599" s="5">
        <v>172438</v>
      </c>
      <c r="F599" s="1" t="s">
        <v>15</v>
      </c>
      <c r="G599" s="10">
        <v>94015.92</v>
      </c>
      <c r="H599" s="1" t="s">
        <v>40</v>
      </c>
      <c r="I599" t="s">
        <v>51</v>
      </c>
      <c r="J599" t="s">
        <v>22</v>
      </c>
    </row>
    <row r="600" spans="1:10" x14ac:dyDescent="0.35">
      <c r="A600">
        <v>599</v>
      </c>
      <c r="B600" s="1" t="s">
        <v>10</v>
      </c>
      <c r="C600">
        <v>2014</v>
      </c>
      <c r="D600" s="4">
        <v>5.2</v>
      </c>
      <c r="E600" s="5">
        <v>245352</v>
      </c>
      <c r="F600" s="1" t="s">
        <v>15</v>
      </c>
      <c r="G600" s="10">
        <v>26359.66</v>
      </c>
      <c r="H600" s="1" t="s">
        <v>17</v>
      </c>
      <c r="I600" t="s">
        <v>13</v>
      </c>
      <c r="J600" t="s">
        <v>14</v>
      </c>
    </row>
    <row r="601" spans="1:10" x14ac:dyDescent="0.35">
      <c r="A601">
        <v>600</v>
      </c>
      <c r="B601" s="1" t="s">
        <v>20</v>
      </c>
      <c r="C601">
        <v>2018</v>
      </c>
      <c r="D601" s="4">
        <v>1.8</v>
      </c>
      <c r="E601" s="5">
        <v>67396</v>
      </c>
      <c r="F601" s="1" t="s">
        <v>11</v>
      </c>
      <c r="G601" s="10">
        <v>49480.67</v>
      </c>
      <c r="H601" s="1" t="s">
        <v>21</v>
      </c>
      <c r="I601" t="s">
        <v>52</v>
      </c>
      <c r="J601" t="s">
        <v>22</v>
      </c>
    </row>
    <row r="602" spans="1:10" x14ac:dyDescent="0.35">
      <c r="A602">
        <v>601</v>
      </c>
      <c r="B602" s="1" t="s">
        <v>20</v>
      </c>
      <c r="C602">
        <v>2006</v>
      </c>
      <c r="D602" s="4">
        <v>1.1000000000000001</v>
      </c>
      <c r="E602" s="5">
        <v>279250</v>
      </c>
      <c r="F602" s="1" t="s">
        <v>15</v>
      </c>
      <c r="G602" s="10">
        <v>28798.78</v>
      </c>
      <c r="H602" s="1" t="s">
        <v>33</v>
      </c>
      <c r="I602" t="s">
        <v>13</v>
      </c>
      <c r="J602" t="s">
        <v>14</v>
      </c>
    </row>
    <row r="603" spans="1:10" x14ac:dyDescent="0.35">
      <c r="A603">
        <v>602</v>
      </c>
      <c r="B603" s="1" t="s">
        <v>23</v>
      </c>
      <c r="C603">
        <v>2018</v>
      </c>
      <c r="D603" s="4">
        <v>3.2</v>
      </c>
      <c r="E603" s="5">
        <v>56731</v>
      </c>
      <c r="F603" s="1" t="s">
        <v>15</v>
      </c>
      <c r="G603" s="10">
        <v>12608.76</v>
      </c>
      <c r="H603" s="1" t="s">
        <v>34</v>
      </c>
      <c r="I603" t="s">
        <v>13</v>
      </c>
      <c r="J603" t="s">
        <v>22</v>
      </c>
    </row>
    <row r="604" spans="1:10" x14ac:dyDescent="0.35">
      <c r="A604">
        <v>603</v>
      </c>
      <c r="B604" s="1" t="s">
        <v>20</v>
      </c>
      <c r="C604">
        <v>2018</v>
      </c>
      <c r="D604" s="4">
        <v>2.2000000000000002</v>
      </c>
      <c r="E604" s="5">
        <v>75010</v>
      </c>
      <c r="F604" s="1" t="s">
        <v>11</v>
      </c>
      <c r="G604" s="10">
        <v>43306.9</v>
      </c>
      <c r="H604" s="1" t="s">
        <v>46</v>
      </c>
      <c r="I604" t="s">
        <v>53</v>
      </c>
      <c r="J604" t="s">
        <v>14</v>
      </c>
    </row>
    <row r="605" spans="1:10" x14ac:dyDescent="0.35">
      <c r="A605">
        <v>604</v>
      </c>
      <c r="B605" s="1" t="s">
        <v>35</v>
      </c>
      <c r="C605">
        <v>2010</v>
      </c>
      <c r="D605" s="4">
        <v>1.2</v>
      </c>
      <c r="E605" s="5">
        <v>249091</v>
      </c>
      <c r="F605" s="1" t="s">
        <v>16</v>
      </c>
      <c r="G605" s="10">
        <v>40537.67</v>
      </c>
      <c r="H605" s="1" t="s">
        <v>36</v>
      </c>
      <c r="I605" t="s">
        <v>52</v>
      </c>
      <c r="J605" t="s">
        <v>22</v>
      </c>
    </row>
    <row r="606" spans="1:10" x14ac:dyDescent="0.35">
      <c r="A606">
        <v>605</v>
      </c>
      <c r="B606" s="1" t="s">
        <v>25</v>
      </c>
      <c r="C606">
        <v>2004</v>
      </c>
      <c r="D606" s="4">
        <v>4.5999999999999996</v>
      </c>
      <c r="E606" s="5">
        <v>294743</v>
      </c>
      <c r="F606" s="1" t="s">
        <v>11</v>
      </c>
      <c r="G606" s="10">
        <v>30691.24</v>
      </c>
      <c r="H606" s="1" t="s">
        <v>41</v>
      </c>
      <c r="I606" t="s">
        <v>52</v>
      </c>
      <c r="J606" t="s">
        <v>22</v>
      </c>
    </row>
    <row r="607" spans="1:10" x14ac:dyDescent="0.35">
      <c r="A607">
        <v>606</v>
      </c>
      <c r="B607" s="1" t="s">
        <v>25</v>
      </c>
      <c r="C607">
        <v>2004</v>
      </c>
      <c r="D607" s="4">
        <v>1.6</v>
      </c>
      <c r="E607" s="5">
        <v>71326</v>
      </c>
      <c r="F607" s="1" t="s">
        <v>11</v>
      </c>
      <c r="G607" s="10">
        <v>33214.51</v>
      </c>
      <c r="H607" s="1" t="s">
        <v>41</v>
      </c>
      <c r="I607" t="s">
        <v>52</v>
      </c>
      <c r="J607" t="s">
        <v>22</v>
      </c>
    </row>
    <row r="608" spans="1:10" x14ac:dyDescent="0.35">
      <c r="A608">
        <v>607</v>
      </c>
      <c r="B608" s="1" t="s">
        <v>27</v>
      </c>
      <c r="C608">
        <v>2021</v>
      </c>
      <c r="D608" s="4">
        <v>4</v>
      </c>
      <c r="E608" s="5">
        <v>248876</v>
      </c>
      <c r="F608" s="1" t="s">
        <v>11</v>
      </c>
      <c r="G608" s="10">
        <v>39239.120000000003</v>
      </c>
      <c r="H608" s="1" t="s">
        <v>37</v>
      </c>
      <c r="I608" t="s">
        <v>51</v>
      </c>
      <c r="J608" t="s">
        <v>22</v>
      </c>
    </row>
    <row r="609" spans="1:10" x14ac:dyDescent="0.35">
      <c r="A609">
        <v>608</v>
      </c>
      <c r="B609" s="1" t="s">
        <v>10</v>
      </c>
      <c r="C609">
        <v>2007</v>
      </c>
      <c r="D609" s="4">
        <v>2.4</v>
      </c>
      <c r="E609" s="5">
        <v>9004</v>
      </c>
      <c r="F609" s="1" t="s">
        <v>16</v>
      </c>
      <c r="G609" s="10">
        <v>98939.58</v>
      </c>
      <c r="H609" s="1" t="s">
        <v>18</v>
      </c>
      <c r="I609" t="s">
        <v>13</v>
      </c>
      <c r="J609" t="s">
        <v>14</v>
      </c>
    </row>
    <row r="610" spans="1:10" x14ac:dyDescent="0.35">
      <c r="A610">
        <v>609</v>
      </c>
      <c r="B610" s="1" t="s">
        <v>20</v>
      </c>
      <c r="C610">
        <v>2009</v>
      </c>
      <c r="D610" s="4">
        <v>1.9</v>
      </c>
      <c r="E610" s="5">
        <v>115018</v>
      </c>
      <c r="F610" s="1" t="s">
        <v>16</v>
      </c>
      <c r="G610" s="10">
        <v>79380.990000000005</v>
      </c>
      <c r="H610" s="1" t="s">
        <v>21</v>
      </c>
      <c r="I610" t="s">
        <v>52</v>
      </c>
      <c r="J610" t="s">
        <v>14</v>
      </c>
    </row>
    <row r="611" spans="1:10" x14ac:dyDescent="0.35">
      <c r="A611">
        <v>610</v>
      </c>
      <c r="B611" s="1" t="s">
        <v>35</v>
      </c>
      <c r="C611">
        <v>2005</v>
      </c>
      <c r="D611" s="4">
        <v>2.9</v>
      </c>
      <c r="E611" s="5">
        <v>25792</v>
      </c>
      <c r="F611" s="1" t="s">
        <v>16</v>
      </c>
      <c r="G611" s="10">
        <v>11783.11</v>
      </c>
      <c r="H611" s="1" t="s">
        <v>36</v>
      </c>
      <c r="I611" t="s">
        <v>51</v>
      </c>
      <c r="J611" t="s">
        <v>14</v>
      </c>
    </row>
    <row r="612" spans="1:10" x14ac:dyDescent="0.35">
      <c r="A612">
        <v>611</v>
      </c>
      <c r="B612" s="1" t="s">
        <v>27</v>
      </c>
      <c r="C612">
        <v>2014</v>
      </c>
      <c r="D612" s="4">
        <v>5</v>
      </c>
      <c r="E612" s="5">
        <v>54645</v>
      </c>
      <c r="F612" s="1" t="s">
        <v>16</v>
      </c>
      <c r="G612" s="10">
        <v>87879.25</v>
      </c>
      <c r="H612" s="1" t="s">
        <v>28</v>
      </c>
      <c r="I612" t="s">
        <v>51</v>
      </c>
      <c r="J612" t="s">
        <v>14</v>
      </c>
    </row>
    <row r="613" spans="1:10" x14ac:dyDescent="0.35">
      <c r="A613">
        <v>612</v>
      </c>
      <c r="B613" s="1" t="s">
        <v>23</v>
      </c>
      <c r="C613">
        <v>2015</v>
      </c>
      <c r="D613" s="4">
        <v>3</v>
      </c>
      <c r="E613" s="5">
        <v>7232</v>
      </c>
      <c r="F613" s="1" t="s">
        <v>11</v>
      </c>
      <c r="G613" s="10">
        <v>65163.82</v>
      </c>
      <c r="H613" s="1" t="s">
        <v>42</v>
      </c>
      <c r="I613" t="s">
        <v>51</v>
      </c>
      <c r="J613" t="s">
        <v>22</v>
      </c>
    </row>
    <row r="614" spans="1:10" x14ac:dyDescent="0.35">
      <c r="A614">
        <v>613</v>
      </c>
      <c r="B614" s="1" t="s">
        <v>27</v>
      </c>
      <c r="C614">
        <v>2016</v>
      </c>
      <c r="D614" s="4">
        <v>4.8</v>
      </c>
      <c r="E614" s="5">
        <v>54766</v>
      </c>
      <c r="F614" s="1" t="s">
        <v>15</v>
      </c>
      <c r="G614" s="10">
        <v>89606.41</v>
      </c>
      <c r="H614" s="1" t="s">
        <v>40</v>
      </c>
      <c r="I614" t="s">
        <v>53</v>
      </c>
      <c r="J614" t="s">
        <v>14</v>
      </c>
    </row>
    <row r="615" spans="1:10" x14ac:dyDescent="0.35">
      <c r="A615">
        <v>614</v>
      </c>
      <c r="B615" s="1" t="s">
        <v>27</v>
      </c>
      <c r="C615">
        <v>2007</v>
      </c>
      <c r="D615" s="4">
        <v>1.6</v>
      </c>
      <c r="E615" s="5">
        <v>120601</v>
      </c>
      <c r="F615" s="1" t="s">
        <v>11</v>
      </c>
      <c r="G615" s="10">
        <v>37462.42</v>
      </c>
      <c r="H615" s="1" t="s">
        <v>40</v>
      </c>
      <c r="I615" t="s">
        <v>51</v>
      </c>
      <c r="J615" t="s">
        <v>14</v>
      </c>
    </row>
    <row r="616" spans="1:10" x14ac:dyDescent="0.35">
      <c r="A616">
        <v>615</v>
      </c>
      <c r="B616" s="1" t="s">
        <v>20</v>
      </c>
      <c r="C616">
        <v>2007</v>
      </c>
      <c r="D616" s="4">
        <v>4.9000000000000004</v>
      </c>
      <c r="E616" s="5">
        <v>81588</v>
      </c>
      <c r="F616" s="1" t="s">
        <v>16</v>
      </c>
      <c r="G616" s="10">
        <v>49129.29</v>
      </c>
      <c r="H616" s="1" t="s">
        <v>46</v>
      </c>
      <c r="I616" t="s">
        <v>53</v>
      </c>
      <c r="J616" t="s">
        <v>14</v>
      </c>
    </row>
    <row r="617" spans="1:10" x14ac:dyDescent="0.35">
      <c r="A617">
        <v>616</v>
      </c>
      <c r="B617" s="1" t="s">
        <v>23</v>
      </c>
      <c r="C617">
        <v>2008</v>
      </c>
      <c r="D617" s="4">
        <v>2.2000000000000002</v>
      </c>
      <c r="E617" s="5">
        <v>179614</v>
      </c>
      <c r="F617" s="1" t="s">
        <v>15</v>
      </c>
      <c r="G617" s="10">
        <v>90141.57</v>
      </c>
      <c r="H617" s="1" t="s">
        <v>34</v>
      </c>
      <c r="I617" t="s">
        <v>13</v>
      </c>
      <c r="J617" t="s">
        <v>22</v>
      </c>
    </row>
    <row r="618" spans="1:10" x14ac:dyDescent="0.35">
      <c r="A618">
        <v>617</v>
      </c>
      <c r="B618" s="1" t="s">
        <v>27</v>
      </c>
      <c r="C618">
        <v>2001</v>
      </c>
      <c r="D618" s="4">
        <v>4.4000000000000004</v>
      </c>
      <c r="E618" s="5">
        <v>5913</v>
      </c>
      <c r="F618" s="1" t="s">
        <v>11</v>
      </c>
      <c r="G618" s="10">
        <v>30894.45</v>
      </c>
      <c r="H618" s="1" t="s">
        <v>48</v>
      </c>
      <c r="I618" t="s">
        <v>51</v>
      </c>
      <c r="J618" t="s">
        <v>14</v>
      </c>
    </row>
    <row r="619" spans="1:10" x14ac:dyDescent="0.35">
      <c r="A619">
        <v>618</v>
      </c>
      <c r="B619" s="1" t="s">
        <v>35</v>
      </c>
      <c r="C619">
        <v>2014</v>
      </c>
      <c r="D619" s="4">
        <v>3.8</v>
      </c>
      <c r="E619" s="5">
        <v>112406</v>
      </c>
      <c r="F619" s="1" t="s">
        <v>15</v>
      </c>
      <c r="G619" s="10">
        <v>91972.58</v>
      </c>
      <c r="H619" s="1" t="s">
        <v>50</v>
      </c>
      <c r="I619" t="s">
        <v>52</v>
      </c>
      <c r="J619" t="s">
        <v>14</v>
      </c>
    </row>
    <row r="620" spans="1:10" x14ac:dyDescent="0.35">
      <c r="A620">
        <v>619</v>
      </c>
      <c r="B620" s="1" t="s">
        <v>35</v>
      </c>
      <c r="C620">
        <v>2017</v>
      </c>
      <c r="D620" s="4">
        <v>5.6</v>
      </c>
      <c r="E620" s="5">
        <v>113693</v>
      </c>
      <c r="F620" s="1" t="s">
        <v>16</v>
      </c>
      <c r="G620" s="10">
        <v>83707.47</v>
      </c>
      <c r="H620" s="1" t="s">
        <v>47</v>
      </c>
      <c r="I620" t="s">
        <v>51</v>
      </c>
      <c r="J620" t="s">
        <v>22</v>
      </c>
    </row>
    <row r="621" spans="1:10" x14ac:dyDescent="0.35">
      <c r="A621">
        <v>620</v>
      </c>
      <c r="B621" s="1" t="s">
        <v>25</v>
      </c>
      <c r="C621">
        <v>2002</v>
      </c>
      <c r="D621" s="4">
        <v>2.9</v>
      </c>
      <c r="E621" s="5">
        <v>93449</v>
      </c>
      <c r="F621" s="1" t="s">
        <v>15</v>
      </c>
      <c r="G621" s="10">
        <v>98153</v>
      </c>
      <c r="H621" s="1" t="s">
        <v>26</v>
      </c>
      <c r="I621" t="s">
        <v>13</v>
      </c>
      <c r="J621" t="s">
        <v>22</v>
      </c>
    </row>
    <row r="622" spans="1:10" x14ac:dyDescent="0.35">
      <c r="A622">
        <v>621</v>
      </c>
      <c r="B622" s="1" t="s">
        <v>23</v>
      </c>
      <c r="C622">
        <v>2016</v>
      </c>
      <c r="D622" s="4">
        <v>1.3</v>
      </c>
      <c r="E622" s="5">
        <v>10567</v>
      </c>
      <c r="F622" s="1" t="s">
        <v>15</v>
      </c>
      <c r="G622" s="10">
        <v>35804.47</v>
      </c>
      <c r="H622" s="1" t="s">
        <v>32</v>
      </c>
      <c r="I622" t="s">
        <v>13</v>
      </c>
      <c r="J622" t="s">
        <v>14</v>
      </c>
    </row>
    <row r="623" spans="1:10" x14ac:dyDescent="0.35">
      <c r="A623">
        <v>622</v>
      </c>
      <c r="B623" s="1" t="s">
        <v>23</v>
      </c>
      <c r="C623">
        <v>2003</v>
      </c>
      <c r="D623" s="4">
        <v>1.1000000000000001</v>
      </c>
      <c r="E623" s="5">
        <v>38379</v>
      </c>
      <c r="F623" s="1" t="s">
        <v>16</v>
      </c>
      <c r="G623" s="10">
        <v>27396.55</v>
      </c>
      <c r="H623" s="1" t="s">
        <v>34</v>
      </c>
      <c r="I623" t="s">
        <v>51</v>
      </c>
      <c r="J623" t="s">
        <v>14</v>
      </c>
    </row>
    <row r="624" spans="1:10" x14ac:dyDescent="0.35">
      <c r="A624">
        <v>623</v>
      </c>
      <c r="B624" s="1" t="s">
        <v>25</v>
      </c>
      <c r="C624">
        <v>2003</v>
      </c>
      <c r="D624" s="4">
        <v>5.0999999999999996</v>
      </c>
      <c r="E624" s="5">
        <v>206040</v>
      </c>
      <c r="F624" s="1" t="s">
        <v>15</v>
      </c>
      <c r="G624" s="10">
        <v>36432.36</v>
      </c>
      <c r="H624" s="1" t="s">
        <v>26</v>
      </c>
      <c r="I624" t="s">
        <v>13</v>
      </c>
      <c r="J624" t="s">
        <v>22</v>
      </c>
    </row>
    <row r="625" spans="1:10" x14ac:dyDescent="0.35">
      <c r="A625">
        <v>624</v>
      </c>
      <c r="B625" s="1" t="s">
        <v>27</v>
      </c>
      <c r="C625">
        <v>2013</v>
      </c>
      <c r="D625" s="4">
        <v>3.6</v>
      </c>
      <c r="E625" s="5">
        <v>262463</v>
      </c>
      <c r="F625" s="1" t="s">
        <v>11</v>
      </c>
      <c r="G625" s="10">
        <v>95691.73</v>
      </c>
      <c r="H625" s="1" t="s">
        <v>37</v>
      </c>
      <c r="I625" t="s">
        <v>53</v>
      </c>
      <c r="J625" t="s">
        <v>14</v>
      </c>
    </row>
    <row r="626" spans="1:10" x14ac:dyDescent="0.35">
      <c r="A626">
        <v>625</v>
      </c>
      <c r="B626" s="1" t="s">
        <v>23</v>
      </c>
      <c r="C626">
        <v>2008</v>
      </c>
      <c r="D626" s="4">
        <v>4.9000000000000004</v>
      </c>
      <c r="E626" s="5">
        <v>90005</v>
      </c>
      <c r="F626" s="1" t="s">
        <v>15</v>
      </c>
      <c r="G626" s="10">
        <v>36641.96</v>
      </c>
      <c r="H626" s="1" t="s">
        <v>42</v>
      </c>
      <c r="I626" t="s">
        <v>53</v>
      </c>
      <c r="J626" t="s">
        <v>22</v>
      </c>
    </row>
    <row r="627" spans="1:10" x14ac:dyDescent="0.35">
      <c r="A627">
        <v>626</v>
      </c>
      <c r="B627" s="1" t="s">
        <v>35</v>
      </c>
      <c r="C627">
        <v>2008</v>
      </c>
      <c r="D627" s="4">
        <v>2.2000000000000002</v>
      </c>
      <c r="E627" s="5">
        <v>223098</v>
      </c>
      <c r="F627" s="1" t="s">
        <v>11</v>
      </c>
      <c r="G627" s="10">
        <v>58695.12</v>
      </c>
      <c r="H627" s="1" t="s">
        <v>36</v>
      </c>
      <c r="I627" t="s">
        <v>51</v>
      </c>
      <c r="J627" t="s">
        <v>14</v>
      </c>
    </row>
    <row r="628" spans="1:10" x14ac:dyDescent="0.35">
      <c r="A628">
        <v>627</v>
      </c>
      <c r="B628" s="1" t="s">
        <v>35</v>
      </c>
      <c r="C628">
        <v>2022</v>
      </c>
      <c r="D628" s="4">
        <v>2.7</v>
      </c>
      <c r="E628" s="5">
        <v>4791</v>
      </c>
      <c r="F628" s="1" t="s">
        <v>15</v>
      </c>
      <c r="G628" s="10">
        <v>43349.53</v>
      </c>
      <c r="H628" s="1" t="s">
        <v>47</v>
      </c>
      <c r="I628" t="s">
        <v>53</v>
      </c>
      <c r="J628" t="s">
        <v>14</v>
      </c>
    </row>
    <row r="629" spans="1:10" x14ac:dyDescent="0.35">
      <c r="A629">
        <v>628</v>
      </c>
      <c r="B629" s="1" t="s">
        <v>20</v>
      </c>
      <c r="C629">
        <v>2017</v>
      </c>
      <c r="D629" s="4">
        <v>1.2</v>
      </c>
      <c r="E629" s="5">
        <v>131401</v>
      </c>
      <c r="F629" s="1" t="s">
        <v>15</v>
      </c>
      <c r="G629" s="10">
        <v>42640.91</v>
      </c>
      <c r="H629" s="1" t="s">
        <v>46</v>
      </c>
      <c r="I629" t="s">
        <v>53</v>
      </c>
      <c r="J629" t="s">
        <v>14</v>
      </c>
    </row>
    <row r="630" spans="1:10" x14ac:dyDescent="0.35">
      <c r="A630">
        <v>629</v>
      </c>
      <c r="B630" s="1" t="s">
        <v>23</v>
      </c>
      <c r="C630">
        <v>2009</v>
      </c>
      <c r="D630" s="4">
        <v>5.8</v>
      </c>
      <c r="E630" s="5">
        <v>205459</v>
      </c>
      <c r="F630" s="1" t="s">
        <v>16</v>
      </c>
      <c r="G630" s="10">
        <v>23370.97</v>
      </c>
      <c r="H630" s="1" t="s">
        <v>24</v>
      </c>
      <c r="I630" t="s">
        <v>52</v>
      </c>
      <c r="J630" t="s">
        <v>14</v>
      </c>
    </row>
    <row r="631" spans="1:10" x14ac:dyDescent="0.35">
      <c r="A631">
        <v>630</v>
      </c>
      <c r="B631" s="1" t="s">
        <v>27</v>
      </c>
      <c r="C631">
        <v>2020</v>
      </c>
      <c r="D631" s="4">
        <v>4.3</v>
      </c>
      <c r="E631" s="5">
        <v>61032</v>
      </c>
      <c r="F631" s="1" t="s">
        <v>16</v>
      </c>
      <c r="G631" s="10">
        <v>56022.559999999998</v>
      </c>
      <c r="H631" s="1" t="s">
        <v>40</v>
      </c>
      <c r="I631" t="s">
        <v>51</v>
      </c>
      <c r="J631" t="s">
        <v>14</v>
      </c>
    </row>
    <row r="632" spans="1:10" x14ac:dyDescent="0.35">
      <c r="A632">
        <v>631</v>
      </c>
      <c r="B632" s="1" t="s">
        <v>25</v>
      </c>
      <c r="C632">
        <v>2003</v>
      </c>
      <c r="D632" s="4">
        <v>5.7</v>
      </c>
      <c r="E632" s="5">
        <v>175150</v>
      </c>
      <c r="F632" s="1" t="s">
        <v>11</v>
      </c>
      <c r="G632" s="10">
        <v>85693.4</v>
      </c>
      <c r="H632" s="1" t="s">
        <v>41</v>
      </c>
      <c r="I632" t="s">
        <v>13</v>
      </c>
      <c r="J632" t="s">
        <v>22</v>
      </c>
    </row>
    <row r="633" spans="1:10" x14ac:dyDescent="0.35">
      <c r="A633">
        <v>632</v>
      </c>
      <c r="B633" s="1" t="s">
        <v>25</v>
      </c>
      <c r="C633">
        <v>2011</v>
      </c>
      <c r="D633" s="4">
        <v>2.2999999999999998</v>
      </c>
      <c r="E633" s="5">
        <v>21300</v>
      </c>
      <c r="F633" s="1" t="s">
        <v>16</v>
      </c>
      <c r="G633" s="10">
        <v>9701.08</v>
      </c>
      <c r="H633" s="1" t="s">
        <v>26</v>
      </c>
      <c r="I633" t="s">
        <v>51</v>
      </c>
      <c r="J633" t="s">
        <v>22</v>
      </c>
    </row>
    <row r="634" spans="1:10" x14ac:dyDescent="0.35">
      <c r="A634">
        <v>633</v>
      </c>
      <c r="B634" s="1" t="s">
        <v>27</v>
      </c>
      <c r="C634">
        <v>2007</v>
      </c>
      <c r="D634" s="4">
        <v>4.0999999999999996</v>
      </c>
      <c r="E634" s="5">
        <v>55609</v>
      </c>
      <c r="F634" s="1" t="s">
        <v>16</v>
      </c>
      <c r="G634" s="10">
        <v>89476.53</v>
      </c>
      <c r="H634" s="1" t="s">
        <v>48</v>
      </c>
      <c r="I634" t="s">
        <v>53</v>
      </c>
      <c r="J634" t="s">
        <v>14</v>
      </c>
    </row>
    <row r="635" spans="1:10" x14ac:dyDescent="0.35">
      <c r="A635">
        <v>634</v>
      </c>
      <c r="B635" s="1" t="s">
        <v>10</v>
      </c>
      <c r="C635">
        <v>2001</v>
      </c>
      <c r="D635" s="4">
        <v>4.4000000000000004</v>
      </c>
      <c r="E635" s="5">
        <v>191634</v>
      </c>
      <c r="F635" s="1" t="s">
        <v>16</v>
      </c>
      <c r="G635" s="10">
        <v>68219.929999999993</v>
      </c>
      <c r="H635" s="1" t="s">
        <v>18</v>
      </c>
      <c r="I635" t="s">
        <v>13</v>
      </c>
      <c r="J635" t="s">
        <v>14</v>
      </c>
    </row>
    <row r="636" spans="1:10" x14ac:dyDescent="0.35">
      <c r="A636">
        <v>635</v>
      </c>
      <c r="B636" s="1" t="s">
        <v>29</v>
      </c>
      <c r="C636">
        <v>2021</v>
      </c>
      <c r="D636" s="4">
        <v>2.6</v>
      </c>
      <c r="E636" s="5">
        <v>90045</v>
      </c>
      <c r="F636" s="1" t="s">
        <v>16</v>
      </c>
      <c r="G636" s="10">
        <v>63590.12</v>
      </c>
      <c r="H636" s="1" t="s">
        <v>43</v>
      </c>
      <c r="I636" t="s">
        <v>51</v>
      </c>
      <c r="J636" t="s">
        <v>14</v>
      </c>
    </row>
    <row r="637" spans="1:10" x14ac:dyDescent="0.35">
      <c r="A637">
        <v>636</v>
      </c>
      <c r="B637" s="1" t="s">
        <v>20</v>
      </c>
      <c r="C637">
        <v>2012</v>
      </c>
      <c r="D637" s="4">
        <v>5.2</v>
      </c>
      <c r="E637" s="5">
        <v>267847</v>
      </c>
      <c r="F637" s="1" t="s">
        <v>16</v>
      </c>
      <c r="G637" s="10">
        <v>64460.52</v>
      </c>
      <c r="H637" s="1" t="s">
        <v>21</v>
      </c>
      <c r="I637" t="s">
        <v>51</v>
      </c>
      <c r="J637" t="s">
        <v>22</v>
      </c>
    </row>
    <row r="638" spans="1:10" x14ac:dyDescent="0.35">
      <c r="A638">
        <v>637</v>
      </c>
      <c r="B638" s="1" t="s">
        <v>25</v>
      </c>
      <c r="C638">
        <v>2020</v>
      </c>
      <c r="D638" s="4">
        <v>5.7</v>
      </c>
      <c r="E638" s="5">
        <v>223717</v>
      </c>
      <c r="F638" s="1" t="s">
        <v>11</v>
      </c>
      <c r="G638" s="10">
        <v>33145.629999999997</v>
      </c>
      <c r="H638" s="1" t="s">
        <v>26</v>
      </c>
      <c r="I638" t="s">
        <v>53</v>
      </c>
      <c r="J638" t="s">
        <v>22</v>
      </c>
    </row>
    <row r="639" spans="1:10" x14ac:dyDescent="0.35">
      <c r="A639">
        <v>638</v>
      </c>
      <c r="B639" s="1" t="s">
        <v>23</v>
      </c>
      <c r="C639">
        <v>2015</v>
      </c>
      <c r="D639" s="4">
        <v>5.4</v>
      </c>
      <c r="E639" s="5">
        <v>219162</v>
      </c>
      <c r="F639" s="1" t="s">
        <v>11</v>
      </c>
      <c r="G639" s="10">
        <v>44438.73</v>
      </c>
      <c r="H639" s="1" t="s">
        <v>34</v>
      </c>
      <c r="I639" t="s">
        <v>53</v>
      </c>
      <c r="J639" t="s">
        <v>22</v>
      </c>
    </row>
    <row r="640" spans="1:10" x14ac:dyDescent="0.35">
      <c r="A640">
        <v>639</v>
      </c>
      <c r="B640" s="1" t="s">
        <v>20</v>
      </c>
      <c r="C640">
        <v>2001</v>
      </c>
      <c r="D640" s="4">
        <v>4.7</v>
      </c>
      <c r="E640" s="5">
        <v>27676</v>
      </c>
      <c r="F640" s="1" t="s">
        <v>16</v>
      </c>
      <c r="G640" s="10">
        <v>80932.55</v>
      </c>
      <c r="H640" s="1" t="s">
        <v>21</v>
      </c>
      <c r="I640" t="s">
        <v>51</v>
      </c>
      <c r="J640" t="s">
        <v>22</v>
      </c>
    </row>
    <row r="641" spans="1:10" x14ac:dyDescent="0.35">
      <c r="A641">
        <v>640</v>
      </c>
      <c r="B641" s="1" t="s">
        <v>23</v>
      </c>
      <c r="C641">
        <v>2010</v>
      </c>
      <c r="D641" s="4">
        <v>2.4</v>
      </c>
      <c r="E641" s="5">
        <v>220412</v>
      </c>
      <c r="F641" s="1" t="s">
        <v>16</v>
      </c>
      <c r="G641" s="10">
        <v>34106.199999999997</v>
      </c>
      <c r="H641" s="1" t="s">
        <v>34</v>
      </c>
      <c r="I641" t="s">
        <v>53</v>
      </c>
      <c r="J641" t="s">
        <v>22</v>
      </c>
    </row>
    <row r="642" spans="1:10" x14ac:dyDescent="0.35">
      <c r="A642">
        <v>641</v>
      </c>
      <c r="B642" s="1" t="s">
        <v>10</v>
      </c>
      <c r="C642">
        <v>2009</v>
      </c>
      <c r="D642" s="4">
        <v>2.4</v>
      </c>
      <c r="E642" s="5">
        <v>176512</v>
      </c>
      <c r="F642" s="1" t="s">
        <v>11</v>
      </c>
      <c r="G642" s="10">
        <v>49651.92</v>
      </c>
      <c r="H642" s="1" t="s">
        <v>12</v>
      </c>
      <c r="I642" t="s">
        <v>13</v>
      </c>
      <c r="J642" t="s">
        <v>14</v>
      </c>
    </row>
    <row r="643" spans="1:10" x14ac:dyDescent="0.35">
      <c r="A643">
        <v>642</v>
      </c>
      <c r="B643" s="1" t="s">
        <v>35</v>
      </c>
      <c r="C643">
        <v>2014</v>
      </c>
      <c r="D643" s="4">
        <v>5.8</v>
      </c>
      <c r="E643" s="5">
        <v>167995</v>
      </c>
      <c r="F643" s="1" t="s">
        <v>15</v>
      </c>
      <c r="G643" s="10">
        <v>6865.07</v>
      </c>
      <c r="H643" s="1" t="s">
        <v>45</v>
      </c>
      <c r="I643" t="s">
        <v>53</v>
      </c>
      <c r="J643" t="s">
        <v>22</v>
      </c>
    </row>
    <row r="644" spans="1:10" x14ac:dyDescent="0.35">
      <c r="A644">
        <v>643</v>
      </c>
      <c r="B644" s="1" t="s">
        <v>20</v>
      </c>
      <c r="C644">
        <v>2016</v>
      </c>
      <c r="D644" s="4">
        <v>1.1000000000000001</v>
      </c>
      <c r="E644" s="5">
        <v>291946</v>
      </c>
      <c r="F644" s="1" t="s">
        <v>11</v>
      </c>
      <c r="G644" s="10">
        <v>74688.039999999994</v>
      </c>
      <c r="H644" s="1" t="s">
        <v>33</v>
      </c>
      <c r="I644" t="s">
        <v>53</v>
      </c>
      <c r="J644" t="s">
        <v>22</v>
      </c>
    </row>
    <row r="645" spans="1:10" x14ac:dyDescent="0.35">
      <c r="A645">
        <v>644</v>
      </c>
      <c r="B645" s="1" t="s">
        <v>25</v>
      </c>
      <c r="C645">
        <v>2007</v>
      </c>
      <c r="D645" s="4">
        <v>4.5999999999999996</v>
      </c>
      <c r="E645" s="5">
        <v>124786</v>
      </c>
      <c r="F645" s="1" t="s">
        <v>15</v>
      </c>
      <c r="G645" s="10">
        <v>44681.71</v>
      </c>
      <c r="H645" s="1" t="s">
        <v>41</v>
      </c>
      <c r="I645" t="s">
        <v>53</v>
      </c>
      <c r="J645" t="s">
        <v>14</v>
      </c>
    </row>
    <row r="646" spans="1:10" x14ac:dyDescent="0.35">
      <c r="A646">
        <v>645</v>
      </c>
      <c r="B646" s="1" t="s">
        <v>20</v>
      </c>
      <c r="C646">
        <v>2017</v>
      </c>
      <c r="D646" s="4">
        <v>4.5</v>
      </c>
      <c r="E646" s="5">
        <v>68147</v>
      </c>
      <c r="F646" s="1" t="s">
        <v>16</v>
      </c>
      <c r="G646" s="10">
        <v>54909.08</v>
      </c>
      <c r="H646" s="1" t="s">
        <v>39</v>
      </c>
      <c r="I646" t="s">
        <v>52</v>
      </c>
      <c r="J646" t="s">
        <v>22</v>
      </c>
    </row>
    <row r="647" spans="1:10" x14ac:dyDescent="0.35">
      <c r="A647">
        <v>646</v>
      </c>
      <c r="B647" s="1" t="s">
        <v>20</v>
      </c>
      <c r="C647">
        <v>2022</v>
      </c>
      <c r="D647" s="4">
        <v>4.0999999999999996</v>
      </c>
      <c r="E647" s="5">
        <v>22075</v>
      </c>
      <c r="F647" s="1" t="s">
        <v>16</v>
      </c>
      <c r="G647" s="10">
        <v>15895.49</v>
      </c>
      <c r="H647" s="1" t="s">
        <v>21</v>
      </c>
      <c r="I647" t="s">
        <v>53</v>
      </c>
      <c r="J647" t="s">
        <v>22</v>
      </c>
    </row>
    <row r="648" spans="1:10" x14ac:dyDescent="0.35">
      <c r="A648">
        <v>647</v>
      </c>
      <c r="B648" s="1" t="s">
        <v>20</v>
      </c>
      <c r="C648">
        <v>2008</v>
      </c>
      <c r="D648" s="4">
        <v>6</v>
      </c>
      <c r="E648" s="5">
        <v>205788</v>
      </c>
      <c r="F648" s="1" t="s">
        <v>11</v>
      </c>
      <c r="G648" s="10">
        <v>99212.85</v>
      </c>
      <c r="H648" s="1" t="s">
        <v>39</v>
      </c>
      <c r="I648" t="s">
        <v>13</v>
      </c>
      <c r="J648" t="s">
        <v>22</v>
      </c>
    </row>
    <row r="649" spans="1:10" x14ac:dyDescent="0.35">
      <c r="A649">
        <v>648</v>
      </c>
      <c r="B649" s="1" t="s">
        <v>29</v>
      </c>
      <c r="C649">
        <v>2007</v>
      </c>
      <c r="D649" s="4">
        <v>2.6</v>
      </c>
      <c r="E649" s="5">
        <v>9304</v>
      </c>
      <c r="F649" s="1" t="s">
        <v>16</v>
      </c>
      <c r="G649" s="10">
        <v>33734.44</v>
      </c>
      <c r="H649" s="1" t="s">
        <v>43</v>
      </c>
      <c r="I649" t="s">
        <v>51</v>
      </c>
      <c r="J649" t="s">
        <v>22</v>
      </c>
    </row>
    <row r="650" spans="1:10" x14ac:dyDescent="0.35">
      <c r="A650">
        <v>649</v>
      </c>
      <c r="B650" s="1" t="s">
        <v>20</v>
      </c>
      <c r="C650">
        <v>2013</v>
      </c>
      <c r="D650" s="4">
        <v>2.7</v>
      </c>
      <c r="E650" s="5">
        <v>129851</v>
      </c>
      <c r="F650" s="1" t="s">
        <v>15</v>
      </c>
      <c r="G650" s="10">
        <v>65324.02</v>
      </c>
      <c r="H650" s="1" t="s">
        <v>21</v>
      </c>
      <c r="I650" t="s">
        <v>52</v>
      </c>
      <c r="J650" t="s">
        <v>14</v>
      </c>
    </row>
    <row r="651" spans="1:10" x14ac:dyDescent="0.35">
      <c r="A651">
        <v>650</v>
      </c>
      <c r="B651" s="1" t="s">
        <v>23</v>
      </c>
      <c r="C651">
        <v>2017</v>
      </c>
      <c r="D651" s="4">
        <v>1.4</v>
      </c>
      <c r="E651" s="5">
        <v>59622</v>
      </c>
      <c r="F651" s="1" t="s">
        <v>15</v>
      </c>
      <c r="G651" s="10">
        <v>60217.45</v>
      </c>
      <c r="H651" s="1" t="s">
        <v>42</v>
      </c>
      <c r="I651" t="s">
        <v>52</v>
      </c>
      <c r="J651" t="s">
        <v>22</v>
      </c>
    </row>
    <row r="652" spans="1:10" x14ac:dyDescent="0.35">
      <c r="A652">
        <v>651</v>
      </c>
      <c r="B652" s="1" t="s">
        <v>35</v>
      </c>
      <c r="C652">
        <v>2021</v>
      </c>
      <c r="D652" s="4">
        <v>3.2</v>
      </c>
      <c r="E652" s="5">
        <v>108654</v>
      </c>
      <c r="F652" s="1" t="s">
        <v>11</v>
      </c>
      <c r="G652" s="10">
        <v>79583.759999999995</v>
      </c>
      <c r="H652" s="1" t="s">
        <v>47</v>
      </c>
      <c r="I652" t="s">
        <v>53</v>
      </c>
      <c r="J652" t="s">
        <v>14</v>
      </c>
    </row>
    <row r="653" spans="1:10" x14ac:dyDescent="0.35">
      <c r="A653">
        <v>652</v>
      </c>
      <c r="B653" s="1" t="s">
        <v>10</v>
      </c>
      <c r="C653">
        <v>2019</v>
      </c>
      <c r="D653" s="4">
        <v>2.2999999999999998</v>
      </c>
      <c r="E653" s="5">
        <v>249109</v>
      </c>
      <c r="F653" s="1" t="s">
        <v>15</v>
      </c>
      <c r="G653" s="10">
        <v>32914.51</v>
      </c>
      <c r="H653" s="1" t="s">
        <v>19</v>
      </c>
      <c r="I653" t="s">
        <v>13</v>
      </c>
      <c r="J653" t="s">
        <v>14</v>
      </c>
    </row>
    <row r="654" spans="1:10" x14ac:dyDescent="0.35">
      <c r="A654">
        <v>653</v>
      </c>
      <c r="B654" s="1" t="s">
        <v>27</v>
      </c>
      <c r="C654">
        <v>2019</v>
      </c>
      <c r="D654" s="4">
        <v>2.7</v>
      </c>
      <c r="E654" s="5">
        <v>286172</v>
      </c>
      <c r="F654" s="1" t="s">
        <v>11</v>
      </c>
      <c r="G654" s="10">
        <v>76813.100000000006</v>
      </c>
      <c r="H654" s="1" t="s">
        <v>48</v>
      </c>
      <c r="I654" t="s">
        <v>13</v>
      </c>
      <c r="J654" t="s">
        <v>14</v>
      </c>
    </row>
    <row r="655" spans="1:10" x14ac:dyDescent="0.35">
      <c r="A655">
        <v>654</v>
      </c>
      <c r="B655" s="1" t="s">
        <v>20</v>
      </c>
      <c r="C655">
        <v>2020</v>
      </c>
      <c r="D655" s="4">
        <v>5.2</v>
      </c>
      <c r="E655" s="5">
        <v>39328</v>
      </c>
      <c r="F655" s="1" t="s">
        <v>11</v>
      </c>
      <c r="G655" s="10">
        <v>41337.660000000003</v>
      </c>
      <c r="H655" s="1" t="s">
        <v>33</v>
      </c>
      <c r="I655" t="s">
        <v>53</v>
      </c>
      <c r="J655" t="s">
        <v>22</v>
      </c>
    </row>
    <row r="656" spans="1:10" x14ac:dyDescent="0.35">
      <c r="A656">
        <v>655</v>
      </c>
      <c r="B656" s="1" t="s">
        <v>25</v>
      </c>
      <c r="C656">
        <v>2011</v>
      </c>
      <c r="D656" s="4">
        <v>5.7</v>
      </c>
      <c r="E656" s="5">
        <v>289445</v>
      </c>
      <c r="F656" s="1" t="s">
        <v>15</v>
      </c>
      <c r="G656" s="10">
        <v>44060.29</v>
      </c>
      <c r="H656" s="1" t="s">
        <v>44</v>
      </c>
      <c r="I656" t="s">
        <v>51</v>
      </c>
      <c r="J656" t="s">
        <v>22</v>
      </c>
    </row>
    <row r="657" spans="1:10" x14ac:dyDescent="0.35">
      <c r="A657">
        <v>656</v>
      </c>
      <c r="B657" s="1" t="s">
        <v>20</v>
      </c>
      <c r="C657">
        <v>2018</v>
      </c>
      <c r="D657" s="4">
        <v>1.9</v>
      </c>
      <c r="E657" s="5">
        <v>218348</v>
      </c>
      <c r="F657" s="1" t="s">
        <v>15</v>
      </c>
      <c r="G657" s="10">
        <v>68907.69</v>
      </c>
      <c r="H657" s="1" t="s">
        <v>39</v>
      </c>
      <c r="I657" t="s">
        <v>53</v>
      </c>
      <c r="J657" t="s">
        <v>22</v>
      </c>
    </row>
    <row r="658" spans="1:10" x14ac:dyDescent="0.35">
      <c r="A658">
        <v>657</v>
      </c>
      <c r="B658" s="1" t="s">
        <v>25</v>
      </c>
      <c r="C658">
        <v>2013</v>
      </c>
      <c r="D658" s="4">
        <v>2.9</v>
      </c>
      <c r="E658" s="5">
        <v>36845</v>
      </c>
      <c r="F658" s="1" t="s">
        <v>15</v>
      </c>
      <c r="G658" s="10">
        <v>79507.149999999994</v>
      </c>
      <c r="H658" s="1" t="s">
        <v>49</v>
      </c>
      <c r="I658" t="s">
        <v>53</v>
      </c>
      <c r="J658" t="s">
        <v>14</v>
      </c>
    </row>
    <row r="659" spans="1:10" x14ac:dyDescent="0.35">
      <c r="A659">
        <v>658</v>
      </c>
      <c r="B659" s="1" t="s">
        <v>23</v>
      </c>
      <c r="C659">
        <v>2016</v>
      </c>
      <c r="D659" s="4">
        <v>5.6</v>
      </c>
      <c r="E659" s="5">
        <v>76394</v>
      </c>
      <c r="F659" s="1" t="s">
        <v>15</v>
      </c>
      <c r="G659" s="10">
        <v>68352.33</v>
      </c>
      <c r="H659" s="1" t="s">
        <v>24</v>
      </c>
      <c r="I659" t="s">
        <v>53</v>
      </c>
      <c r="J659" t="s">
        <v>14</v>
      </c>
    </row>
    <row r="660" spans="1:10" x14ac:dyDescent="0.35">
      <c r="A660">
        <v>659</v>
      </c>
      <c r="B660" s="1" t="s">
        <v>25</v>
      </c>
      <c r="C660">
        <v>2023</v>
      </c>
      <c r="D660" s="4">
        <v>1.3</v>
      </c>
      <c r="E660" s="5">
        <v>175231</v>
      </c>
      <c r="F660" s="1" t="s">
        <v>15</v>
      </c>
      <c r="G660" s="10">
        <v>90488.55</v>
      </c>
      <c r="H660" s="1" t="s">
        <v>26</v>
      </c>
      <c r="I660" t="s">
        <v>53</v>
      </c>
      <c r="J660" t="s">
        <v>14</v>
      </c>
    </row>
    <row r="661" spans="1:10" x14ac:dyDescent="0.35">
      <c r="A661">
        <v>660</v>
      </c>
      <c r="B661" s="1" t="s">
        <v>27</v>
      </c>
      <c r="C661">
        <v>2020</v>
      </c>
      <c r="D661" s="4">
        <v>1.5</v>
      </c>
      <c r="E661" s="5">
        <v>80722</v>
      </c>
      <c r="F661" s="1" t="s">
        <v>15</v>
      </c>
      <c r="G661" s="10">
        <v>32090.11</v>
      </c>
      <c r="H661" s="1" t="s">
        <v>37</v>
      </c>
      <c r="I661" t="s">
        <v>53</v>
      </c>
      <c r="J661" t="s">
        <v>14</v>
      </c>
    </row>
    <row r="662" spans="1:10" x14ac:dyDescent="0.35">
      <c r="A662">
        <v>661</v>
      </c>
      <c r="B662" s="1" t="s">
        <v>35</v>
      </c>
      <c r="C662">
        <v>2002</v>
      </c>
      <c r="D662" s="4">
        <v>1.8</v>
      </c>
      <c r="E662" s="5">
        <v>287374</v>
      </c>
      <c r="F662" s="1" t="s">
        <v>15</v>
      </c>
      <c r="G662" s="10">
        <v>90558.59</v>
      </c>
      <c r="H662" s="1" t="s">
        <v>45</v>
      </c>
      <c r="I662" t="s">
        <v>53</v>
      </c>
      <c r="J662" t="s">
        <v>22</v>
      </c>
    </row>
    <row r="663" spans="1:10" x14ac:dyDescent="0.35">
      <c r="A663">
        <v>662</v>
      </c>
      <c r="B663" s="1" t="s">
        <v>25</v>
      </c>
      <c r="C663">
        <v>2022</v>
      </c>
      <c r="D663" s="4">
        <v>4</v>
      </c>
      <c r="E663" s="5">
        <v>92554</v>
      </c>
      <c r="F663" s="1" t="s">
        <v>16</v>
      </c>
      <c r="G663" s="10">
        <v>17432.03</v>
      </c>
      <c r="H663" s="1" t="s">
        <v>41</v>
      </c>
      <c r="I663" t="s">
        <v>53</v>
      </c>
      <c r="J663" t="s">
        <v>22</v>
      </c>
    </row>
    <row r="664" spans="1:10" x14ac:dyDescent="0.35">
      <c r="A664">
        <v>663</v>
      </c>
      <c r="B664" s="1" t="s">
        <v>25</v>
      </c>
      <c r="C664">
        <v>2006</v>
      </c>
      <c r="D664" s="4">
        <v>1.8</v>
      </c>
      <c r="E664" s="5">
        <v>49262</v>
      </c>
      <c r="F664" s="1" t="s">
        <v>11</v>
      </c>
      <c r="G664" s="10">
        <v>67655.38</v>
      </c>
      <c r="H664" s="1" t="s">
        <v>41</v>
      </c>
      <c r="I664" t="s">
        <v>13</v>
      </c>
      <c r="J664" t="s">
        <v>22</v>
      </c>
    </row>
    <row r="665" spans="1:10" x14ac:dyDescent="0.35">
      <c r="A665">
        <v>664</v>
      </c>
      <c r="B665" s="1" t="s">
        <v>35</v>
      </c>
      <c r="C665">
        <v>2016</v>
      </c>
      <c r="D665" s="4">
        <v>5.8</v>
      </c>
      <c r="E665" s="5">
        <v>41722</v>
      </c>
      <c r="F665" s="1" t="s">
        <v>11</v>
      </c>
      <c r="G665" s="10">
        <v>57024.91</v>
      </c>
      <c r="H665" s="1" t="s">
        <v>45</v>
      </c>
      <c r="I665" t="s">
        <v>52</v>
      </c>
      <c r="J665" t="s">
        <v>14</v>
      </c>
    </row>
    <row r="666" spans="1:10" x14ac:dyDescent="0.35">
      <c r="A666">
        <v>665</v>
      </c>
      <c r="B666" s="1" t="s">
        <v>27</v>
      </c>
      <c r="C666">
        <v>2011</v>
      </c>
      <c r="D666" s="4">
        <v>3.2</v>
      </c>
      <c r="E666" s="5">
        <v>171231</v>
      </c>
      <c r="F666" s="1" t="s">
        <v>15</v>
      </c>
      <c r="G666" s="10">
        <v>51990.41</v>
      </c>
      <c r="H666" s="1" t="s">
        <v>40</v>
      </c>
      <c r="I666" t="s">
        <v>13</v>
      </c>
      <c r="J666" t="s">
        <v>14</v>
      </c>
    </row>
    <row r="667" spans="1:10" x14ac:dyDescent="0.35">
      <c r="A667">
        <v>666</v>
      </c>
      <c r="B667" s="1" t="s">
        <v>20</v>
      </c>
      <c r="C667">
        <v>2008</v>
      </c>
      <c r="D667" s="4">
        <v>3.5</v>
      </c>
      <c r="E667" s="5">
        <v>240740</v>
      </c>
      <c r="F667" s="1" t="s">
        <v>11</v>
      </c>
      <c r="G667" s="10">
        <v>34536.639999999999</v>
      </c>
      <c r="H667" s="1" t="s">
        <v>21</v>
      </c>
      <c r="I667" t="s">
        <v>53</v>
      </c>
      <c r="J667" t="s">
        <v>22</v>
      </c>
    </row>
    <row r="668" spans="1:10" x14ac:dyDescent="0.35">
      <c r="A668">
        <v>667</v>
      </c>
      <c r="B668" s="1" t="s">
        <v>25</v>
      </c>
      <c r="C668">
        <v>2014</v>
      </c>
      <c r="D668" s="4">
        <v>2.2000000000000002</v>
      </c>
      <c r="E668" s="5">
        <v>87052</v>
      </c>
      <c r="F668" s="1" t="s">
        <v>15</v>
      </c>
      <c r="G668" s="10">
        <v>52854.61</v>
      </c>
      <c r="H668" s="1" t="s">
        <v>49</v>
      </c>
      <c r="I668" t="s">
        <v>53</v>
      </c>
      <c r="J668" t="s">
        <v>22</v>
      </c>
    </row>
    <row r="669" spans="1:10" x14ac:dyDescent="0.35">
      <c r="A669">
        <v>668</v>
      </c>
      <c r="B669" s="1" t="s">
        <v>35</v>
      </c>
      <c r="C669">
        <v>2017</v>
      </c>
      <c r="D669" s="4">
        <v>3.4</v>
      </c>
      <c r="E669" s="5">
        <v>100808</v>
      </c>
      <c r="F669" s="1" t="s">
        <v>16</v>
      </c>
      <c r="G669" s="10">
        <v>20368.47</v>
      </c>
      <c r="H669" s="1" t="s">
        <v>47</v>
      </c>
      <c r="I669" t="s">
        <v>13</v>
      </c>
      <c r="J669" t="s">
        <v>14</v>
      </c>
    </row>
    <row r="670" spans="1:10" x14ac:dyDescent="0.35">
      <c r="A670">
        <v>669</v>
      </c>
      <c r="B670" s="1" t="s">
        <v>23</v>
      </c>
      <c r="C670">
        <v>2020</v>
      </c>
      <c r="D670" s="4">
        <v>4.3</v>
      </c>
      <c r="E670" s="5">
        <v>255416</v>
      </c>
      <c r="F670" s="1" t="s">
        <v>11</v>
      </c>
      <c r="G670" s="10">
        <v>40085.49</v>
      </c>
      <c r="H670" s="1" t="s">
        <v>24</v>
      </c>
      <c r="I670" t="s">
        <v>13</v>
      </c>
      <c r="J670" t="s">
        <v>22</v>
      </c>
    </row>
    <row r="671" spans="1:10" x14ac:dyDescent="0.35">
      <c r="A671">
        <v>670</v>
      </c>
      <c r="B671" s="1" t="s">
        <v>35</v>
      </c>
      <c r="C671">
        <v>2012</v>
      </c>
      <c r="D671" s="4">
        <v>4.8</v>
      </c>
      <c r="E671" s="5">
        <v>262128</v>
      </c>
      <c r="F671" s="1" t="s">
        <v>11</v>
      </c>
      <c r="G671" s="10">
        <v>14374.69</v>
      </c>
      <c r="H671" s="1" t="s">
        <v>47</v>
      </c>
      <c r="I671" t="s">
        <v>52</v>
      </c>
      <c r="J671" t="s">
        <v>22</v>
      </c>
    </row>
    <row r="672" spans="1:10" x14ac:dyDescent="0.35">
      <c r="A672">
        <v>671</v>
      </c>
      <c r="B672" s="1" t="s">
        <v>23</v>
      </c>
      <c r="C672">
        <v>2020</v>
      </c>
      <c r="D672" s="4">
        <v>4.8</v>
      </c>
      <c r="E672" s="5">
        <v>221281</v>
      </c>
      <c r="F672" s="1" t="s">
        <v>16</v>
      </c>
      <c r="G672" s="10">
        <v>59325.43</v>
      </c>
      <c r="H672" s="1" t="s">
        <v>34</v>
      </c>
      <c r="I672" t="s">
        <v>13</v>
      </c>
      <c r="J672" t="s">
        <v>14</v>
      </c>
    </row>
    <row r="673" spans="1:10" x14ac:dyDescent="0.35">
      <c r="A673">
        <v>672</v>
      </c>
      <c r="B673" s="1" t="s">
        <v>27</v>
      </c>
      <c r="C673">
        <v>2007</v>
      </c>
      <c r="D673" s="4">
        <v>3.9</v>
      </c>
      <c r="E673" s="5">
        <v>246052</v>
      </c>
      <c r="F673" s="1" t="s">
        <v>16</v>
      </c>
      <c r="G673" s="10">
        <v>14097.95</v>
      </c>
      <c r="H673" s="1" t="s">
        <v>40</v>
      </c>
      <c r="I673" t="s">
        <v>52</v>
      </c>
      <c r="J673" t="s">
        <v>14</v>
      </c>
    </row>
    <row r="674" spans="1:10" x14ac:dyDescent="0.35">
      <c r="A674">
        <v>673</v>
      </c>
      <c r="B674" s="1" t="s">
        <v>20</v>
      </c>
      <c r="C674">
        <v>2013</v>
      </c>
      <c r="D674" s="4">
        <v>5.5</v>
      </c>
      <c r="E674" s="5">
        <v>104697</v>
      </c>
      <c r="F674" s="1" t="s">
        <v>16</v>
      </c>
      <c r="G674" s="10">
        <v>20232.740000000002</v>
      </c>
      <c r="H674" s="1" t="s">
        <v>46</v>
      </c>
      <c r="I674" t="s">
        <v>53</v>
      </c>
      <c r="J674" t="s">
        <v>14</v>
      </c>
    </row>
    <row r="675" spans="1:10" x14ac:dyDescent="0.35">
      <c r="A675">
        <v>674</v>
      </c>
      <c r="B675" s="1" t="s">
        <v>35</v>
      </c>
      <c r="C675">
        <v>2007</v>
      </c>
      <c r="D675" s="4">
        <v>5.0999999999999996</v>
      </c>
      <c r="E675" s="5">
        <v>231572</v>
      </c>
      <c r="F675" s="1" t="s">
        <v>11</v>
      </c>
      <c r="G675" s="10">
        <v>13119.35</v>
      </c>
      <c r="H675" s="1" t="s">
        <v>50</v>
      </c>
      <c r="I675" t="s">
        <v>51</v>
      </c>
      <c r="J675" t="s">
        <v>22</v>
      </c>
    </row>
    <row r="676" spans="1:10" x14ac:dyDescent="0.35">
      <c r="A676">
        <v>675</v>
      </c>
      <c r="B676" s="1" t="s">
        <v>10</v>
      </c>
      <c r="C676">
        <v>2013</v>
      </c>
      <c r="D676" s="4">
        <v>4.8</v>
      </c>
      <c r="E676" s="5">
        <v>232842</v>
      </c>
      <c r="F676" s="1" t="s">
        <v>11</v>
      </c>
      <c r="G676" s="10">
        <v>41224.51</v>
      </c>
      <c r="H676" s="1" t="s">
        <v>12</v>
      </c>
      <c r="I676" t="s">
        <v>13</v>
      </c>
      <c r="J676" t="s">
        <v>14</v>
      </c>
    </row>
    <row r="677" spans="1:10" x14ac:dyDescent="0.35">
      <c r="A677">
        <v>676</v>
      </c>
      <c r="B677" s="1" t="s">
        <v>10</v>
      </c>
      <c r="C677">
        <v>2006</v>
      </c>
      <c r="D677" s="4">
        <v>1.3</v>
      </c>
      <c r="E677" s="5">
        <v>96299</v>
      </c>
      <c r="F677" s="1" t="s">
        <v>16</v>
      </c>
      <c r="G677" s="10">
        <v>84986.05</v>
      </c>
      <c r="H677" s="1" t="s">
        <v>17</v>
      </c>
      <c r="I677" t="s">
        <v>13</v>
      </c>
      <c r="J677" t="s">
        <v>14</v>
      </c>
    </row>
    <row r="678" spans="1:10" x14ac:dyDescent="0.35">
      <c r="A678">
        <v>677</v>
      </c>
      <c r="B678" s="1" t="s">
        <v>29</v>
      </c>
      <c r="C678">
        <v>2022</v>
      </c>
      <c r="D678" s="4">
        <v>1</v>
      </c>
      <c r="E678" s="5">
        <v>165746</v>
      </c>
      <c r="F678" s="1" t="s">
        <v>16</v>
      </c>
      <c r="G678" s="10">
        <v>91155.16</v>
      </c>
      <c r="H678" s="1" t="s">
        <v>38</v>
      </c>
      <c r="I678" t="s">
        <v>51</v>
      </c>
      <c r="J678" t="s">
        <v>22</v>
      </c>
    </row>
    <row r="679" spans="1:10" x14ac:dyDescent="0.35">
      <c r="A679">
        <v>678</v>
      </c>
      <c r="B679" s="1" t="s">
        <v>25</v>
      </c>
      <c r="C679">
        <v>2011</v>
      </c>
      <c r="D679" s="4">
        <v>2.1</v>
      </c>
      <c r="E679" s="5">
        <v>149177</v>
      </c>
      <c r="F679" s="1" t="s">
        <v>16</v>
      </c>
      <c r="G679" s="10">
        <v>11829.5</v>
      </c>
      <c r="H679" s="1" t="s">
        <v>49</v>
      </c>
      <c r="I679" t="s">
        <v>53</v>
      </c>
      <c r="J679" t="s">
        <v>14</v>
      </c>
    </row>
    <row r="680" spans="1:10" x14ac:dyDescent="0.35">
      <c r="A680">
        <v>679</v>
      </c>
      <c r="B680" s="1" t="s">
        <v>27</v>
      </c>
      <c r="C680">
        <v>2010</v>
      </c>
      <c r="D680" s="4">
        <v>4.3</v>
      </c>
      <c r="E680" s="5">
        <v>160811</v>
      </c>
      <c r="F680" s="1" t="s">
        <v>16</v>
      </c>
      <c r="G680" s="10">
        <v>65282.26</v>
      </c>
      <c r="H680" s="1" t="s">
        <v>40</v>
      </c>
      <c r="I680" t="s">
        <v>51</v>
      </c>
      <c r="J680" t="s">
        <v>22</v>
      </c>
    </row>
    <row r="681" spans="1:10" x14ac:dyDescent="0.35">
      <c r="A681">
        <v>680</v>
      </c>
      <c r="B681" s="1" t="s">
        <v>35</v>
      </c>
      <c r="C681">
        <v>2021</v>
      </c>
      <c r="D681" s="4">
        <v>3.1</v>
      </c>
      <c r="E681" s="5">
        <v>163041</v>
      </c>
      <c r="F681" s="1" t="s">
        <v>16</v>
      </c>
      <c r="G681" s="10">
        <v>70016.62</v>
      </c>
      <c r="H681" s="1" t="s">
        <v>36</v>
      </c>
      <c r="I681" t="s">
        <v>13</v>
      </c>
      <c r="J681" t="s">
        <v>14</v>
      </c>
    </row>
    <row r="682" spans="1:10" x14ac:dyDescent="0.35">
      <c r="A682">
        <v>681</v>
      </c>
      <c r="B682" s="1" t="s">
        <v>10</v>
      </c>
      <c r="C682">
        <v>2021</v>
      </c>
      <c r="D682" s="4">
        <v>3</v>
      </c>
      <c r="E682" s="5">
        <v>14497</v>
      </c>
      <c r="F682" s="1" t="s">
        <v>15</v>
      </c>
      <c r="G682" s="10">
        <v>55708.14</v>
      </c>
      <c r="H682" s="1" t="s">
        <v>12</v>
      </c>
      <c r="I682" t="s">
        <v>13</v>
      </c>
      <c r="J682" t="s">
        <v>14</v>
      </c>
    </row>
    <row r="683" spans="1:10" x14ac:dyDescent="0.35">
      <c r="A683">
        <v>682</v>
      </c>
      <c r="B683" s="1" t="s">
        <v>25</v>
      </c>
      <c r="C683">
        <v>2010</v>
      </c>
      <c r="D683" s="4">
        <v>5.4</v>
      </c>
      <c r="E683" s="5">
        <v>254204</v>
      </c>
      <c r="F683" s="1" t="s">
        <v>16</v>
      </c>
      <c r="G683" s="10">
        <v>68363.56</v>
      </c>
      <c r="H683" s="1" t="s">
        <v>44</v>
      </c>
      <c r="I683" t="s">
        <v>51</v>
      </c>
      <c r="J683" t="s">
        <v>22</v>
      </c>
    </row>
    <row r="684" spans="1:10" x14ac:dyDescent="0.35">
      <c r="A684">
        <v>683</v>
      </c>
      <c r="B684" s="1" t="s">
        <v>10</v>
      </c>
      <c r="C684">
        <v>2021</v>
      </c>
      <c r="D684" s="4">
        <v>5.5</v>
      </c>
      <c r="E684" s="5">
        <v>257471</v>
      </c>
      <c r="F684" s="1" t="s">
        <v>15</v>
      </c>
      <c r="G684" s="10">
        <v>27200.62</v>
      </c>
      <c r="H684" s="1" t="s">
        <v>17</v>
      </c>
      <c r="I684" t="s">
        <v>13</v>
      </c>
      <c r="J684" t="s">
        <v>14</v>
      </c>
    </row>
    <row r="685" spans="1:10" x14ac:dyDescent="0.35">
      <c r="A685">
        <v>684</v>
      </c>
      <c r="B685" s="1" t="s">
        <v>35</v>
      </c>
      <c r="C685">
        <v>2012</v>
      </c>
      <c r="D685" s="4">
        <v>5.5</v>
      </c>
      <c r="E685" s="5">
        <v>92019</v>
      </c>
      <c r="F685" s="1" t="s">
        <v>11</v>
      </c>
      <c r="G685" s="10">
        <v>51516.2</v>
      </c>
      <c r="H685" s="1" t="s">
        <v>50</v>
      </c>
      <c r="I685" t="s">
        <v>52</v>
      </c>
      <c r="J685" t="s">
        <v>14</v>
      </c>
    </row>
    <row r="686" spans="1:10" x14ac:dyDescent="0.35">
      <c r="A686">
        <v>685</v>
      </c>
      <c r="B686" s="1" t="s">
        <v>23</v>
      </c>
      <c r="C686">
        <v>2017</v>
      </c>
      <c r="D686" s="4">
        <v>2.6</v>
      </c>
      <c r="E686" s="5">
        <v>190326</v>
      </c>
      <c r="F686" s="1" t="s">
        <v>11</v>
      </c>
      <c r="G686" s="10">
        <v>42133.21</v>
      </c>
      <c r="H686" s="1" t="s">
        <v>24</v>
      </c>
      <c r="I686" t="s">
        <v>53</v>
      </c>
      <c r="J686" t="s">
        <v>14</v>
      </c>
    </row>
    <row r="687" spans="1:10" x14ac:dyDescent="0.35">
      <c r="A687">
        <v>686</v>
      </c>
      <c r="B687" s="1" t="s">
        <v>35</v>
      </c>
      <c r="C687">
        <v>2001</v>
      </c>
      <c r="D687" s="4">
        <v>4.5</v>
      </c>
      <c r="E687" s="5">
        <v>109017</v>
      </c>
      <c r="F687" s="1" t="s">
        <v>15</v>
      </c>
      <c r="G687" s="10">
        <v>13522.26</v>
      </c>
      <c r="H687" s="1" t="s">
        <v>36</v>
      </c>
      <c r="I687" t="s">
        <v>51</v>
      </c>
      <c r="J687" t="s">
        <v>14</v>
      </c>
    </row>
    <row r="688" spans="1:10" x14ac:dyDescent="0.35">
      <c r="A688">
        <v>687</v>
      </c>
      <c r="B688" s="1" t="s">
        <v>29</v>
      </c>
      <c r="C688">
        <v>2020</v>
      </c>
      <c r="D688" s="4">
        <v>2.4</v>
      </c>
      <c r="E688" s="5">
        <v>218220</v>
      </c>
      <c r="F688" s="1" t="s">
        <v>16</v>
      </c>
      <c r="G688" s="10">
        <v>64427.86</v>
      </c>
      <c r="H688" s="1" t="s">
        <v>31</v>
      </c>
      <c r="I688" t="s">
        <v>51</v>
      </c>
      <c r="J688" t="s">
        <v>14</v>
      </c>
    </row>
    <row r="689" spans="1:10" x14ac:dyDescent="0.35">
      <c r="A689">
        <v>688</v>
      </c>
      <c r="B689" s="1" t="s">
        <v>35</v>
      </c>
      <c r="C689">
        <v>2014</v>
      </c>
      <c r="D689" s="4">
        <v>2</v>
      </c>
      <c r="E689" s="5">
        <v>105153</v>
      </c>
      <c r="F689" s="1" t="s">
        <v>11</v>
      </c>
      <c r="G689" s="10">
        <v>52045.440000000002</v>
      </c>
      <c r="H689" s="1" t="s">
        <v>45</v>
      </c>
      <c r="I689" t="s">
        <v>53</v>
      </c>
      <c r="J689" t="s">
        <v>14</v>
      </c>
    </row>
    <row r="690" spans="1:10" x14ac:dyDescent="0.35">
      <c r="A690">
        <v>689</v>
      </c>
      <c r="B690" s="1" t="s">
        <v>35</v>
      </c>
      <c r="C690">
        <v>2019</v>
      </c>
      <c r="D690" s="4">
        <v>1.9</v>
      </c>
      <c r="E690" s="5">
        <v>33826</v>
      </c>
      <c r="F690" s="1" t="s">
        <v>16</v>
      </c>
      <c r="G690" s="10">
        <v>31141.53</v>
      </c>
      <c r="H690" s="1" t="s">
        <v>50</v>
      </c>
      <c r="I690" t="s">
        <v>13</v>
      </c>
      <c r="J690" t="s">
        <v>14</v>
      </c>
    </row>
    <row r="691" spans="1:10" x14ac:dyDescent="0.35">
      <c r="A691">
        <v>690</v>
      </c>
      <c r="B691" s="1" t="s">
        <v>29</v>
      </c>
      <c r="C691">
        <v>2017</v>
      </c>
      <c r="D691" s="4">
        <v>2.7</v>
      </c>
      <c r="E691" s="5">
        <v>110034</v>
      </c>
      <c r="F691" s="1" t="s">
        <v>16</v>
      </c>
      <c r="G691" s="10">
        <v>50000.1</v>
      </c>
      <c r="H691" s="1" t="s">
        <v>31</v>
      </c>
      <c r="I691" t="s">
        <v>53</v>
      </c>
      <c r="J691" t="s">
        <v>22</v>
      </c>
    </row>
    <row r="692" spans="1:10" x14ac:dyDescent="0.35">
      <c r="A692">
        <v>691</v>
      </c>
      <c r="B692" s="1" t="s">
        <v>27</v>
      </c>
      <c r="C692">
        <v>2014</v>
      </c>
      <c r="D692" s="4">
        <v>3.1</v>
      </c>
      <c r="E692" s="5">
        <v>84242</v>
      </c>
      <c r="F692" s="1" t="s">
        <v>15</v>
      </c>
      <c r="G692" s="10">
        <v>78653.31</v>
      </c>
      <c r="H692" s="1" t="s">
        <v>28</v>
      </c>
      <c r="I692" t="s">
        <v>53</v>
      </c>
      <c r="J692" t="s">
        <v>22</v>
      </c>
    </row>
    <row r="693" spans="1:10" x14ac:dyDescent="0.35">
      <c r="A693">
        <v>692</v>
      </c>
      <c r="B693" s="1" t="s">
        <v>35</v>
      </c>
      <c r="C693">
        <v>2018</v>
      </c>
      <c r="D693" s="4">
        <v>5.2</v>
      </c>
      <c r="E693" s="5">
        <v>50100</v>
      </c>
      <c r="F693" s="1" t="s">
        <v>11</v>
      </c>
      <c r="G693" s="10">
        <v>81157.490000000005</v>
      </c>
      <c r="H693" s="1" t="s">
        <v>50</v>
      </c>
      <c r="I693" t="s">
        <v>13</v>
      </c>
      <c r="J693" t="s">
        <v>22</v>
      </c>
    </row>
    <row r="694" spans="1:10" x14ac:dyDescent="0.35">
      <c r="A694">
        <v>693</v>
      </c>
      <c r="B694" s="1" t="s">
        <v>29</v>
      </c>
      <c r="C694">
        <v>2022</v>
      </c>
      <c r="D694" s="4">
        <v>1.6</v>
      </c>
      <c r="E694" s="5">
        <v>221171</v>
      </c>
      <c r="F694" s="1" t="s">
        <v>11</v>
      </c>
      <c r="G694" s="10">
        <v>66704.98</v>
      </c>
      <c r="H694" s="1" t="s">
        <v>38</v>
      </c>
      <c r="I694" t="s">
        <v>53</v>
      </c>
      <c r="J694" t="s">
        <v>22</v>
      </c>
    </row>
    <row r="695" spans="1:10" x14ac:dyDescent="0.35">
      <c r="A695">
        <v>694</v>
      </c>
      <c r="B695" s="1" t="s">
        <v>25</v>
      </c>
      <c r="C695">
        <v>2023</v>
      </c>
      <c r="D695" s="4">
        <v>4.7</v>
      </c>
      <c r="E695" s="5">
        <v>12809</v>
      </c>
      <c r="F695" s="1" t="s">
        <v>15</v>
      </c>
      <c r="G695" s="10">
        <v>49436.04</v>
      </c>
      <c r="H695" s="1" t="s">
        <v>44</v>
      </c>
      <c r="I695" t="s">
        <v>13</v>
      </c>
      <c r="J695" t="s">
        <v>14</v>
      </c>
    </row>
    <row r="696" spans="1:10" x14ac:dyDescent="0.35">
      <c r="A696">
        <v>695</v>
      </c>
      <c r="B696" s="1" t="s">
        <v>23</v>
      </c>
      <c r="C696">
        <v>2011</v>
      </c>
      <c r="D696" s="4">
        <v>3.7</v>
      </c>
      <c r="E696" s="5">
        <v>64450</v>
      </c>
      <c r="F696" s="1" t="s">
        <v>16</v>
      </c>
      <c r="G696" s="10">
        <v>59696.22</v>
      </c>
      <c r="H696" s="1" t="s">
        <v>24</v>
      </c>
      <c r="I696" t="s">
        <v>13</v>
      </c>
      <c r="J696" t="s">
        <v>22</v>
      </c>
    </row>
    <row r="697" spans="1:10" x14ac:dyDescent="0.35">
      <c r="A697">
        <v>696</v>
      </c>
      <c r="B697" s="1" t="s">
        <v>23</v>
      </c>
      <c r="C697">
        <v>2012</v>
      </c>
      <c r="D697" s="4">
        <v>2.4</v>
      </c>
      <c r="E697" s="5">
        <v>111126</v>
      </c>
      <c r="F697" s="1" t="s">
        <v>16</v>
      </c>
      <c r="G697" s="10">
        <v>41576.46</v>
      </c>
      <c r="H697" s="1" t="s">
        <v>34</v>
      </c>
      <c r="I697" t="s">
        <v>53</v>
      </c>
      <c r="J697" t="s">
        <v>22</v>
      </c>
    </row>
    <row r="698" spans="1:10" x14ac:dyDescent="0.35">
      <c r="A698">
        <v>697</v>
      </c>
      <c r="B698" s="1" t="s">
        <v>35</v>
      </c>
      <c r="C698">
        <v>2021</v>
      </c>
      <c r="D698" s="4">
        <v>3.5</v>
      </c>
      <c r="E698" s="5">
        <v>264237</v>
      </c>
      <c r="F698" s="1" t="s">
        <v>11</v>
      </c>
      <c r="G698" s="10">
        <v>17022.849999999999</v>
      </c>
      <c r="H698" s="1" t="s">
        <v>50</v>
      </c>
      <c r="I698" t="s">
        <v>52</v>
      </c>
      <c r="J698" t="s">
        <v>14</v>
      </c>
    </row>
    <row r="699" spans="1:10" x14ac:dyDescent="0.35">
      <c r="A699">
        <v>698</v>
      </c>
      <c r="B699" s="1" t="s">
        <v>27</v>
      </c>
      <c r="C699">
        <v>2010</v>
      </c>
      <c r="D699" s="4">
        <v>2.5</v>
      </c>
      <c r="E699" s="5">
        <v>44498</v>
      </c>
      <c r="F699" s="1" t="s">
        <v>15</v>
      </c>
      <c r="G699" s="10">
        <v>41633.96</v>
      </c>
      <c r="H699" s="1" t="s">
        <v>40</v>
      </c>
      <c r="I699" t="s">
        <v>13</v>
      </c>
      <c r="J699" t="s">
        <v>22</v>
      </c>
    </row>
    <row r="700" spans="1:10" x14ac:dyDescent="0.35">
      <c r="A700">
        <v>699</v>
      </c>
      <c r="B700" s="1" t="s">
        <v>27</v>
      </c>
      <c r="C700">
        <v>2004</v>
      </c>
      <c r="D700" s="4">
        <v>4</v>
      </c>
      <c r="E700" s="5">
        <v>116251</v>
      </c>
      <c r="F700" s="1" t="s">
        <v>15</v>
      </c>
      <c r="G700" s="10">
        <v>55381.61</v>
      </c>
      <c r="H700" s="1" t="s">
        <v>48</v>
      </c>
      <c r="I700" t="s">
        <v>53</v>
      </c>
      <c r="J700" t="s">
        <v>14</v>
      </c>
    </row>
    <row r="701" spans="1:10" x14ac:dyDescent="0.35">
      <c r="A701">
        <v>700</v>
      </c>
      <c r="B701" s="1" t="s">
        <v>25</v>
      </c>
      <c r="C701">
        <v>2000</v>
      </c>
      <c r="D701" s="4">
        <v>3.2</v>
      </c>
      <c r="E701" s="5">
        <v>40985</v>
      </c>
      <c r="F701" s="1" t="s">
        <v>16</v>
      </c>
      <c r="G701" s="10">
        <v>61889.23</v>
      </c>
      <c r="H701" s="1" t="s">
        <v>26</v>
      </c>
      <c r="I701" t="s">
        <v>13</v>
      </c>
      <c r="J701" t="s">
        <v>14</v>
      </c>
    </row>
    <row r="702" spans="1:10" x14ac:dyDescent="0.35">
      <c r="A702">
        <v>701</v>
      </c>
      <c r="B702" s="1" t="s">
        <v>35</v>
      </c>
      <c r="C702">
        <v>2023</v>
      </c>
      <c r="D702" s="4">
        <v>1.8</v>
      </c>
      <c r="E702" s="5">
        <v>294153</v>
      </c>
      <c r="F702" s="1" t="s">
        <v>16</v>
      </c>
      <c r="G702" s="10">
        <v>93901.09</v>
      </c>
      <c r="H702" s="1" t="s">
        <v>45</v>
      </c>
      <c r="I702" t="s">
        <v>52</v>
      </c>
      <c r="J702" t="s">
        <v>14</v>
      </c>
    </row>
    <row r="703" spans="1:10" x14ac:dyDescent="0.35">
      <c r="A703">
        <v>702</v>
      </c>
      <c r="B703" s="1" t="s">
        <v>23</v>
      </c>
      <c r="C703">
        <v>2002</v>
      </c>
      <c r="D703" s="4">
        <v>1.6</v>
      </c>
      <c r="E703" s="5">
        <v>17718</v>
      </c>
      <c r="F703" s="1" t="s">
        <v>15</v>
      </c>
      <c r="G703" s="10">
        <v>78846.679999999993</v>
      </c>
      <c r="H703" s="1" t="s">
        <v>42</v>
      </c>
      <c r="I703" t="s">
        <v>52</v>
      </c>
      <c r="J703" t="s">
        <v>14</v>
      </c>
    </row>
    <row r="704" spans="1:10" x14ac:dyDescent="0.35">
      <c r="A704">
        <v>703</v>
      </c>
      <c r="B704" s="1" t="s">
        <v>27</v>
      </c>
      <c r="C704">
        <v>2021</v>
      </c>
      <c r="D704" s="4">
        <v>3.7</v>
      </c>
      <c r="E704" s="5">
        <v>278849</v>
      </c>
      <c r="F704" s="1" t="s">
        <v>11</v>
      </c>
      <c r="G704" s="10">
        <v>19439.29</v>
      </c>
      <c r="H704" s="1" t="s">
        <v>48</v>
      </c>
      <c r="I704" t="s">
        <v>51</v>
      </c>
      <c r="J704" t="s">
        <v>14</v>
      </c>
    </row>
    <row r="705" spans="1:10" x14ac:dyDescent="0.35">
      <c r="A705">
        <v>704</v>
      </c>
      <c r="B705" s="1" t="s">
        <v>35</v>
      </c>
      <c r="C705">
        <v>2018</v>
      </c>
      <c r="D705" s="4">
        <v>5.5</v>
      </c>
      <c r="E705" s="5">
        <v>62598</v>
      </c>
      <c r="F705" s="1" t="s">
        <v>16</v>
      </c>
      <c r="G705" s="10">
        <v>21547.31</v>
      </c>
      <c r="H705" s="1" t="s">
        <v>36</v>
      </c>
      <c r="I705" t="s">
        <v>13</v>
      </c>
      <c r="J705" t="s">
        <v>22</v>
      </c>
    </row>
    <row r="706" spans="1:10" x14ac:dyDescent="0.35">
      <c r="A706">
        <v>705</v>
      </c>
      <c r="B706" s="1" t="s">
        <v>10</v>
      </c>
      <c r="C706">
        <v>2022</v>
      </c>
      <c r="D706" s="4">
        <v>2.7</v>
      </c>
      <c r="E706" s="5">
        <v>274383</v>
      </c>
      <c r="F706" s="1" t="s">
        <v>15</v>
      </c>
      <c r="G706" s="10">
        <v>14547</v>
      </c>
      <c r="H706" s="1" t="s">
        <v>18</v>
      </c>
      <c r="I706" t="s">
        <v>13</v>
      </c>
      <c r="J706" t="s">
        <v>14</v>
      </c>
    </row>
    <row r="707" spans="1:10" x14ac:dyDescent="0.35">
      <c r="A707">
        <v>706</v>
      </c>
      <c r="B707" s="1" t="s">
        <v>27</v>
      </c>
      <c r="C707">
        <v>2006</v>
      </c>
      <c r="D707" s="4">
        <v>4.7</v>
      </c>
      <c r="E707" s="5">
        <v>46665</v>
      </c>
      <c r="F707" s="1" t="s">
        <v>15</v>
      </c>
      <c r="G707" s="10">
        <v>75127.259999999995</v>
      </c>
      <c r="H707" s="1" t="s">
        <v>37</v>
      </c>
      <c r="I707" t="s">
        <v>53</v>
      </c>
      <c r="J707" t="s">
        <v>22</v>
      </c>
    </row>
    <row r="708" spans="1:10" x14ac:dyDescent="0.35">
      <c r="A708">
        <v>707</v>
      </c>
      <c r="B708" s="1" t="s">
        <v>29</v>
      </c>
      <c r="C708">
        <v>2011</v>
      </c>
      <c r="D708" s="4">
        <v>4.3</v>
      </c>
      <c r="E708" s="5">
        <v>294418</v>
      </c>
      <c r="F708" s="1" t="s">
        <v>15</v>
      </c>
      <c r="G708" s="10">
        <v>72081.62</v>
      </c>
      <c r="H708" s="1" t="s">
        <v>31</v>
      </c>
      <c r="I708" t="s">
        <v>13</v>
      </c>
      <c r="J708" t="s">
        <v>14</v>
      </c>
    </row>
    <row r="709" spans="1:10" x14ac:dyDescent="0.35">
      <c r="A709">
        <v>708</v>
      </c>
      <c r="B709" s="1" t="s">
        <v>10</v>
      </c>
      <c r="C709">
        <v>2014</v>
      </c>
      <c r="D709" s="4">
        <v>5.7</v>
      </c>
      <c r="E709" s="5">
        <v>146075</v>
      </c>
      <c r="F709" s="1" t="s">
        <v>11</v>
      </c>
      <c r="G709" s="10">
        <v>98704.48</v>
      </c>
      <c r="H709" s="1" t="s">
        <v>18</v>
      </c>
      <c r="I709" t="s">
        <v>13</v>
      </c>
      <c r="J709" t="s">
        <v>14</v>
      </c>
    </row>
    <row r="710" spans="1:10" x14ac:dyDescent="0.35">
      <c r="A710">
        <v>709</v>
      </c>
      <c r="B710" s="1" t="s">
        <v>27</v>
      </c>
      <c r="C710">
        <v>2004</v>
      </c>
      <c r="D710" s="4">
        <v>5.0999999999999996</v>
      </c>
      <c r="E710" s="5">
        <v>161938</v>
      </c>
      <c r="F710" s="1" t="s">
        <v>16</v>
      </c>
      <c r="G710" s="10">
        <v>54592.22</v>
      </c>
      <c r="H710" s="1" t="s">
        <v>40</v>
      </c>
      <c r="I710" t="s">
        <v>52</v>
      </c>
      <c r="J710" t="s">
        <v>22</v>
      </c>
    </row>
    <row r="711" spans="1:10" x14ac:dyDescent="0.35">
      <c r="A711">
        <v>710</v>
      </c>
      <c r="B711" s="1" t="s">
        <v>23</v>
      </c>
      <c r="C711">
        <v>2014</v>
      </c>
      <c r="D711" s="4">
        <v>3.8</v>
      </c>
      <c r="E711" s="5">
        <v>153060</v>
      </c>
      <c r="F711" s="1" t="s">
        <v>16</v>
      </c>
      <c r="G711" s="10">
        <v>83509.42</v>
      </c>
      <c r="H711" s="1" t="s">
        <v>34</v>
      </c>
      <c r="I711" t="s">
        <v>52</v>
      </c>
      <c r="J711" t="s">
        <v>22</v>
      </c>
    </row>
    <row r="712" spans="1:10" x14ac:dyDescent="0.35">
      <c r="A712">
        <v>711</v>
      </c>
      <c r="B712" s="1" t="s">
        <v>20</v>
      </c>
      <c r="C712">
        <v>2007</v>
      </c>
      <c r="D712" s="4">
        <v>4.3</v>
      </c>
      <c r="E712" s="5">
        <v>221516</v>
      </c>
      <c r="F712" s="1" t="s">
        <v>16</v>
      </c>
      <c r="G712" s="10">
        <v>59761.79</v>
      </c>
      <c r="H712" s="1" t="s">
        <v>33</v>
      </c>
      <c r="I712" t="s">
        <v>51</v>
      </c>
      <c r="J712" t="s">
        <v>22</v>
      </c>
    </row>
    <row r="713" spans="1:10" x14ac:dyDescent="0.35">
      <c r="A713">
        <v>712</v>
      </c>
      <c r="B713" s="1" t="s">
        <v>10</v>
      </c>
      <c r="C713">
        <v>2009</v>
      </c>
      <c r="D713" s="4">
        <v>5.5</v>
      </c>
      <c r="E713" s="5">
        <v>136746</v>
      </c>
      <c r="F713" s="1" t="s">
        <v>11</v>
      </c>
      <c r="G713" s="10">
        <v>88038.24</v>
      </c>
      <c r="H713" s="1" t="s">
        <v>17</v>
      </c>
      <c r="I713" t="s">
        <v>13</v>
      </c>
      <c r="J713" t="s">
        <v>14</v>
      </c>
    </row>
    <row r="714" spans="1:10" x14ac:dyDescent="0.35">
      <c r="A714">
        <v>713</v>
      </c>
      <c r="B714" s="1" t="s">
        <v>25</v>
      </c>
      <c r="C714">
        <v>2015</v>
      </c>
      <c r="D714" s="4">
        <v>3</v>
      </c>
      <c r="E714" s="5">
        <v>201610</v>
      </c>
      <c r="F714" s="1" t="s">
        <v>16</v>
      </c>
      <c r="G714" s="10">
        <v>73497</v>
      </c>
      <c r="H714" s="1" t="s">
        <v>41</v>
      </c>
      <c r="I714" t="s">
        <v>13</v>
      </c>
      <c r="J714" t="s">
        <v>22</v>
      </c>
    </row>
    <row r="715" spans="1:10" x14ac:dyDescent="0.35">
      <c r="A715">
        <v>714</v>
      </c>
      <c r="B715" s="1" t="s">
        <v>25</v>
      </c>
      <c r="C715">
        <v>2007</v>
      </c>
      <c r="D715" s="4">
        <v>2.6</v>
      </c>
      <c r="E715" s="5">
        <v>66446</v>
      </c>
      <c r="F715" s="1" t="s">
        <v>16</v>
      </c>
      <c r="G715" s="10">
        <v>66073.98</v>
      </c>
      <c r="H715" s="1" t="s">
        <v>49</v>
      </c>
      <c r="I715" t="s">
        <v>51</v>
      </c>
      <c r="J715" t="s">
        <v>14</v>
      </c>
    </row>
    <row r="716" spans="1:10" x14ac:dyDescent="0.35">
      <c r="A716">
        <v>715</v>
      </c>
      <c r="B716" s="1" t="s">
        <v>23</v>
      </c>
      <c r="C716">
        <v>2000</v>
      </c>
      <c r="D716" s="4">
        <v>1.1000000000000001</v>
      </c>
      <c r="E716" s="5">
        <v>29072</v>
      </c>
      <c r="F716" s="1" t="s">
        <v>16</v>
      </c>
      <c r="G716" s="10">
        <v>58686.65</v>
      </c>
      <c r="H716" s="1" t="s">
        <v>32</v>
      </c>
      <c r="I716" t="s">
        <v>53</v>
      </c>
      <c r="J716" t="s">
        <v>14</v>
      </c>
    </row>
    <row r="717" spans="1:10" x14ac:dyDescent="0.35">
      <c r="A717">
        <v>716</v>
      </c>
      <c r="B717" s="1" t="s">
        <v>27</v>
      </c>
      <c r="C717">
        <v>2011</v>
      </c>
      <c r="D717" s="4">
        <v>5.0999999999999996</v>
      </c>
      <c r="E717" s="5">
        <v>33717</v>
      </c>
      <c r="F717" s="1" t="s">
        <v>16</v>
      </c>
      <c r="G717" s="10">
        <v>73682.2</v>
      </c>
      <c r="H717" s="1" t="s">
        <v>37</v>
      </c>
      <c r="I717" t="s">
        <v>52</v>
      </c>
      <c r="J717" t="s">
        <v>22</v>
      </c>
    </row>
    <row r="718" spans="1:10" x14ac:dyDescent="0.35">
      <c r="A718">
        <v>717</v>
      </c>
      <c r="B718" s="1" t="s">
        <v>35</v>
      </c>
      <c r="C718">
        <v>2004</v>
      </c>
      <c r="D718" s="4">
        <v>5</v>
      </c>
      <c r="E718" s="5">
        <v>218417</v>
      </c>
      <c r="F718" s="1" t="s">
        <v>11</v>
      </c>
      <c r="G718" s="10">
        <v>44867.12</v>
      </c>
      <c r="H718" s="1" t="s">
        <v>36</v>
      </c>
      <c r="I718" t="s">
        <v>51</v>
      </c>
      <c r="J718" t="s">
        <v>14</v>
      </c>
    </row>
    <row r="719" spans="1:10" x14ac:dyDescent="0.35">
      <c r="A719">
        <v>718</v>
      </c>
      <c r="B719" s="1" t="s">
        <v>27</v>
      </c>
      <c r="C719">
        <v>2002</v>
      </c>
      <c r="D719" s="4">
        <v>1.5</v>
      </c>
      <c r="E719" s="5">
        <v>157723</v>
      </c>
      <c r="F719" s="1" t="s">
        <v>15</v>
      </c>
      <c r="G719" s="10">
        <v>14174.78</v>
      </c>
      <c r="H719" s="1" t="s">
        <v>48</v>
      </c>
      <c r="I719" t="s">
        <v>51</v>
      </c>
      <c r="J719" t="s">
        <v>14</v>
      </c>
    </row>
    <row r="720" spans="1:10" x14ac:dyDescent="0.35">
      <c r="A720">
        <v>719</v>
      </c>
      <c r="B720" s="1" t="s">
        <v>23</v>
      </c>
      <c r="C720">
        <v>2000</v>
      </c>
      <c r="D720" s="4">
        <v>3.9</v>
      </c>
      <c r="E720" s="5">
        <v>109525</v>
      </c>
      <c r="F720" s="1" t="s">
        <v>15</v>
      </c>
      <c r="G720" s="10">
        <v>8798.68</v>
      </c>
      <c r="H720" s="1" t="s">
        <v>34</v>
      </c>
      <c r="I720" t="s">
        <v>13</v>
      </c>
      <c r="J720" t="s">
        <v>14</v>
      </c>
    </row>
    <row r="721" spans="1:10" x14ac:dyDescent="0.35">
      <c r="A721">
        <v>720</v>
      </c>
      <c r="B721" s="1" t="s">
        <v>25</v>
      </c>
      <c r="C721">
        <v>2003</v>
      </c>
      <c r="D721" s="4">
        <v>3.3</v>
      </c>
      <c r="E721" s="5">
        <v>213092</v>
      </c>
      <c r="F721" s="1" t="s">
        <v>16</v>
      </c>
      <c r="G721" s="10">
        <v>50507.25</v>
      </c>
      <c r="H721" s="1" t="s">
        <v>26</v>
      </c>
      <c r="I721" t="s">
        <v>52</v>
      </c>
      <c r="J721" t="s">
        <v>14</v>
      </c>
    </row>
    <row r="722" spans="1:10" x14ac:dyDescent="0.35">
      <c r="A722">
        <v>721</v>
      </c>
      <c r="B722" s="1" t="s">
        <v>27</v>
      </c>
      <c r="C722">
        <v>2007</v>
      </c>
      <c r="D722" s="4">
        <v>1.6</v>
      </c>
      <c r="E722" s="5">
        <v>4646</v>
      </c>
      <c r="F722" s="1" t="s">
        <v>16</v>
      </c>
      <c r="G722" s="10">
        <v>61932.7</v>
      </c>
      <c r="H722" s="1" t="s">
        <v>37</v>
      </c>
      <c r="I722" t="s">
        <v>13</v>
      </c>
      <c r="J722" t="s">
        <v>14</v>
      </c>
    </row>
    <row r="723" spans="1:10" x14ac:dyDescent="0.35">
      <c r="A723">
        <v>722</v>
      </c>
      <c r="B723" s="1" t="s">
        <v>25</v>
      </c>
      <c r="C723">
        <v>2002</v>
      </c>
      <c r="D723" s="4">
        <v>5.9</v>
      </c>
      <c r="E723" s="5">
        <v>175403</v>
      </c>
      <c r="F723" s="1" t="s">
        <v>16</v>
      </c>
      <c r="G723" s="10">
        <v>12490.66</v>
      </c>
      <c r="H723" s="1" t="s">
        <v>49</v>
      </c>
      <c r="I723" t="s">
        <v>51</v>
      </c>
      <c r="J723" t="s">
        <v>14</v>
      </c>
    </row>
    <row r="724" spans="1:10" x14ac:dyDescent="0.35">
      <c r="A724">
        <v>723</v>
      </c>
      <c r="B724" s="1" t="s">
        <v>10</v>
      </c>
      <c r="C724">
        <v>2009</v>
      </c>
      <c r="D724" s="4">
        <v>2.1</v>
      </c>
      <c r="E724" s="5">
        <v>284329</v>
      </c>
      <c r="F724" s="1" t="s">
        <v>11</v>
      </c>
      <c r="G724" s="10">
        <v>32255.84</v>
      </c>
      <c r="H724" s="1" t="s">
        <v>19</v>
      </c>
      <c r="I724" t="s">
        <v>13</v>
      </c>
      <c r="J724" t="s">
        <v>14</v>
      </c>
    </row>
    <row r="725" spans="1:10" x14ac:dyDescent="0.35">
      <c r="A725">
        <v>724</v>
      </c>
      <c r="B725" s="1" t="s">
        <v>35</v>
      </c>
      <c r="C725">
        <v>2001</v>
      </c>
      <c r="D725" s="4">
        <v>1.3</v>
      </c>
      <c r="E725" s="5">
        <v>229728</v>
      </c>
      <c r="F725" s="1" t="s">
        <v>16</v>
      </c>
      <c r="G725" s="10">
        <v>35593.06</v>
      </c>
      <c r="H725" s="1" t="s">
        <v>45</v>
      </c>
      <c r="I725" t="s">
        <v>52</v>
      </c>
      <c r="J725" t="s">
        <v>22</v>
      </c>
    </row>
    <row r="726" spans="1:10" x14ac:dyDescent="0.35">
      <c r="A726">
        <v>725</v>
      </c>
      <c r="B726" s="1" t="s">
        <v>10</v>
      </c>
      <c r="C726">
        <v>2010</v>
      </c>
      <c r="D726" s="4">
        <v>4</v>
      </c>
      <c r="E726" s="5">
        <v>52107</v>
      </c>
      <c r="F726" s="1" t="s">
        <v>11</v>
      </c>
      <c r="G726" s="10">
        <v>58465.58</v>
      </c>
      <c r="H726" s="1" t="s">
        <v>17</v>
      </c>
      <c r="I726" t="s">
        <v>13</v>
      </c>
      <c r="J726" t="s">
        <v>14</v>
      </c>
    </row>
    <row r="727" spans="1:10" x14ac:dyDescent="0.35">
      <c r="A727">
        <v>726</v>
      </c>
      <c r="B727" s="1" t="s">
        <v>25</v>
      </c>
      <c r="C727">
        <v>2009</v>
      </c>
      <c r="D727" s="4">
        <v>4.7</v>
      </c>
      <c r="E727" s="5">
        <v>244865</v>
      </c>
      <c r="F727" s="1" t="s">
        <v>16</v>
      </c>
      <c r="G727" s="10">
        <v>31455.83</v>
      </c>
      <c r="H727" s="1" t="s">
        <v>44</v>
      </c>
      <c r="I727" t="s">
        <v>51</v>
      </c>
      <c r="J727" t="s">
        <v>14</v>
      </c>
    </row>
    <row r="728" spans="1:10" x14ac:dyDescent="0.35">
      <c r="A728">
        <v>727</v>
      </c>
      <c r="B728" s="1" t="s">
        <v>25</v>
      </c>
      <c r="C728">
        <v>2020</v>
      </c>
      <c r="D728" s="4">
        <v>1.2</v>
      </c>
      <c r="E728" s="5">
        <v>279707</v>
      </c>
      <c r="F728" s="1" t="s">
        <v>16</v>
      </c>
      <c r="G728" s="10">
        <v>14086.62</v>
      </c>
      <c r="H728" s="1" t="s">
        <v>49</v>
      </c>
      <c r="I728" t="s">
        <v>53</v>
      </c>
      <c r="J728" t="s">
        <v>14</v>
      </c>
    </row>
    <row r="729" spans="1:10" x14ac:dyDescent="0.35">
      <c r="A729">
        <v>728</v>
      </c>
      <c r="B729" s="1" t="s">
        <v>20</v>
      </c>
      <c r="C729">
        <v>2013</v>
      </c>
      <c r="D729" s="4">
        <v>4.3</v>
      </c>
      <c r="E729" s="5">
        <v>70729</v>
      </c>
      <c r="F729" s="1" t="s">
        <v>15</v>
      </c>
      <c r="G729" s="10">
        <v>20661.39</v>
      </c>
      <c r="H729" s="1" t="s">
        <v>39</v>
      </c>
      <c r="I729" t="s">
        <v>51</v>
      </c>
      <c r="J729" t="s">
        <v>22</v>
      </c>
    </row>
    <row r="730" spans="1:10" x14ac:dyDescent="0.35">
      <c r="A730">
        <v>729</v>
      </c>
      <c r="B730" s="1" t="s">
        <v>20</v>
      </c>
      <c r="C730">
        <v>2006</v>
      </c>
      <c r="D730" s="4">
        <v>3.7</v>
      </c>
      <c r="E730" s="5">
        <v>277845</v>
      </c>
      <c r="F730" s="1" t="s">
        <v>16</v>
      </c>
      <c r="G730" s="10">
        <v>21525.040000000001</v>
      </c>
      <c r="H730" s="1" t="s">
        <v>21</v>
      </c>
      <c r="I730" t="s">
        <v>51</v>
      </c>
      <c r="J730" t="s">
        <v>22</v>
      </c>
    </row>
    <row r="731" spans="1:10" x14ac:dyDescent="0.35">
      <c r="A731">
        <v>730</v>
      </c>
      <c r="B731" s="1" t="s">
        <v>10</v>
      </c>
      <c r="C731">
        <v>2001</v>
      </c>
      <c r="D731" s="4">
        <v>1.5</v>
      </c>
      <c r="E731" s="5">
        <v>200144</v>
      </c>
      <c r="F731" s="1" t="s">
        <v>11</v>
      </c>
      <c r="G731" s="10">
        <v>85056.02</v>
      </c>
      <c r="H731" s="1" t="s">
        <v>19</v>
      </c>
      <c r="I731" t="s">
        <v>13</v>
      </c>
      <c r="J731" t="s">
        <v>14</v>
      </c>
    </row>
    <row r="732" spans="1:10" x14ac:dyDescent="0.35">
      <c r="A732">
        <v>731</v>
      </c>
      <c r="B732" s="1" t="s">
        <v>29</v>
      </c>
      <c r="C732">
        <v>2008</v>
      </c>
      <c r="D732" s="4">
        <v>1.9</v>
      </c>
      <c r="E732" s="5">
        <v>215494</v>
      </c>
      <c r="F732" s="1" t="s">
        <v>15</v>
      </c>
      <c r="G732" s="10">
        <v>32010.37</v>
      </c>
      <c r="H732" s="1" t="s">
        <v>38</v>
      </c>
      <c r="I732" t="s">
        <v>52</v>
      </c>
      <c r="J732" t="s">
        <v>22</v>
      </c>
    </row>
    <row r="733" spans="1:10" x14ac:dyDescent="0.35">
      <c r="A733">
        <v>732</v>
      </c>
      <c r="B733" s="1" t="s">
        <v>10</v>
      </c>
      <c r="C733">
        <v>2015</v>
      </c>
      <c r="D733" s="4">
        <v>3.8</v>
      </c>
      <c r="E733" s="5">
        <v>252615</v>
      </c>
      <c r="F733" s="1" t="s">
        <v>11</v>
      </c>
      <c r="G733" s="10">
        <v>72895.710000000006</v>
      </c>
      <c r="H733" s="1" t="s">
        <v>12</v>
      </c>
      <c r="I733" t="s">
        <v>13</v>
      </c>
      <c r="J733" t="s">
        <v>14</v>
      </c>
    </row>
    <row r="734" spans="1:10" x14ac:dyDescent="0.35">
      <c r="A734">
        <v>733</v>
      </c>
      <c r="B734" s="1" t="s">
        <v>20</v>
      </c>
      <c r="C734">
        <v>2012</v>
      </c>
      <c r="D734" s="4">
        <v>2.5</v>
      </c>
      <c r="E734" s="5">
        <v>128331</v>
      </c>
      <c r="F734" s="1" t="s">
        <v>15</v>
      </c>
      <c r="G734" s="10">
        <v>58944.68</v>
      </c>
      <c r="H734" s="1" t="s">
        <v>46</v>
      </c>
      <c r="I734" t="s">
        <v>13</v>
      </c>
      <c r="J734" t="s">
        <v>14</v>
      </c>
    </row>
    <row r="735" spans="1:10" x14ac:dyDescent="0.35">
      <c r="A735">
        <v>734</v>
      </c>
      <c r="B735" s="1" t="s">
        <v>25</v>
      </c>
      <c r="C735">
        <v>2008</v>
      </c>
      <c r="D735" s="4">
        <v>5.7</v>
      </c>
      <c r="E735" s="5">
        <v>160482</v>
      </c>
      <c r="F735" s="1" t="s">
        <v>11</v>
      </c>
      <c r="G735" s="10">
        <v>97818.68</v>
      </c>
      <c r="H735" s="1" t="s">
        <v>41</v>
      </c>
      <c r="I735" t="s">
        <v>53</v>
      </c>
      <c r="J735" t="s">
        <v>22</v>
      </c>
    </row>
    <row r="736" spans="1:10" x14ac:dyDescent="0.35">
      <c r="A736">
        <v>735</v>
      </c>
      <c r="B736" s="1" t="s">
        <v>23</v>
      </c>
      <c r="C736">
        <v>2019</v>
      </c>
      <c r="D736" s="4">
        <v>5.0999999999999996</v>
      </c>
      <c r="E736" s="5">
        <v>99280</v>
      </c>
      <c r="F736" s="1" t="s">
        <v>15</v>
      </c>
      <c r="G736" s="10">
        <v>30918.15</v>
      </c>
      <c r="H736" s="1" t="s">
        <v>42</v>
      </c>
      <c r="I736" t="s">
        <v>52</v>
      </c>
      <c r="J736" t="s">
        <v>22</v>
      </c>
    </row>
    <row r="737" spans="1:10" x14ac:dyDescent="0.35">
      <c r="A737">
        <v>736</v>
      </c>
      <c r="B737" s="1" t="s">
        <v>10</v>
      </c>
      <c r="C737">
        <v>2003</v>
      </c>
      <c r="D737" s="4">
        <v>5.9</v>
      </c>
      <c r="E737" s="5">
        <v>189787</v>
      </c>
      <c r="F737" s="1" t="s">
        <v>11</v>
      </c>
      <c r="G737" s="10">
        <v>20045.439999999999</v>
      </c>
      <c r="H737" s="1" t="s">
        <v>19</v>
      </c>
      <c r="I737" t="s">
        <v>13</v>
      </c>
      <c r="J737" t="s">
        <v>14</v>
      </c>
    </row>
    <row r="738" spans="1:10" x14ac:dyDescent="0.35">
      <c r="A738">
        <v>737</v>
      </c>
      <c r="B738" s="1" t="s">
        <v>25</v>
      </c>
      <c r="C738">
        <v>2021</v>
      </c>
      <c r="D738" s="4">
        <v>2.2999999999999998</v>
      </c>
      <c r="E738" s="5">
        <v>38665</v>
      </c>
      <c r="F738" s="1" t="s">
        <v>11</v>
      </c>
      <c r="G738" s="10">
        <v>9943.59</v>
      </c>
      <c r="H738" s="1" t="s">
        <v>49</v>
      </c>
      <c r="I738" t="s">
        <v>13</v>
      </c>
      <c r="J738" t="s">
        <v>22</v>
      </c>
    </row>
    <row r="739" spans="1:10" x14ac:dyDescent="0.35">
      <c r="A739">
        <v>738</v>
      </c>
      <c r="B739" s="1" t="s">
        <v>23</v>
      </c>
      <c r="C739">
        <v>2009</v>
      </c>
      <c r="D739" s="4">
        <v>5.8</v>
      </c>
      <c r="E739" s="5">
        <v>278101</v>
      </c>
      <c r="F739" s="1" t="s">
        <v>16</v>
      </c>
      <c r="G739" s="10">
        <v>27891.17</v>
      </c>
      <c r="H739" s="1" t="s">
        <v>24</v>
      </c>
      <c r="I739" t="s">
        <v>53</v>
      </c>
      <c r="J739" t="s">
        <v>14</v>
      </c>
    </row>
    <row r="740" spans="1:10" x14ac:dyDescent="0.35">
      <c r="A740">
        <v>739</v>
      </c>
      <c r="B740" s="1" t="s">
        <v>23</v>
      </c>
      <c r="C740">
        <v>2021</v>
      </c>
      <c r="D740" s="4">
        <v>3.2</v>
      </c>
      <c r="E740" s="5">
        <v>259285</v>
      </c>
      <c r="F740" s="1" t="s">
        <v>15</v>
      </c>
      <c r="G740" s="10">
        <v>69986.73</v>
      </c>
      <c r="H740" s="1" t="s">
        <v>34</v>
      </c>
      <c r="I740" t="s">
        <v>53</v>
      </c>
      <c r="J740" t="s">
        <v>22</v>
      </c>
    </row>
    <row r="741" spans="1:10" x14ac:dyDescent="0.35">
      <c r="A741">
        <v>740</v>
      </c>
      <c r="B741" s="1" t="s">
        <v>20</v>
      </c>
      <c r="C741">
        <v>2011</v>
      </c>
      <c r="D741" s="4">
        <v>2.7</v>
      </c>
      <c r="E741" s="5">
        <v>163947</v>
      </c>
      <c r="F741" s="1" t="s">
        <v>15</v>
      </c>
      <c r="G741" s="10">
        <v>13099.53</v>
      </c>
      <c r="H741" s="1" t="s">
        <v>33</v>
      </c>
      <c r="I741" t="s">
        <v>51</v>
      </c>
      <c r="J741" t="s">
        <v>22</v>
      </c>
    </row>
    <row r="742" spans="1:10" x14ac:dyDescent="0.35">
      <c r="A742">
        <v>741</v>
      </c>
      <c r="B742" s="1" t="s">
        <v>10</v>
      </c>
      <c r="C742">
        <v>2016</v>
      </c>
      <c r="D742" s="4">
        <v>1.3</v>
      </c>
      <c r="E742" s="5">
        <v>113828</v>
      </c>
      <c r="F742" s="1" t="s">
        <v>16</v>
      </c>
      <c r="G742" s="10">
        <v>28246.68</v>
      </c>
      <c r="H742" s="1" t="s">
        <v>18</v>
      </c>
      <c r="I742" t="s">
        <v>13</v>
      </c>
      <c r="J742" t="s">
        <v>14</v>
      </c>
    </row>
    <row r="743" spans="1:10" x14ac:dyDescent="0.35">
      <c r="A743">
        <v>742</v>
      </c>
      <c r="B743" s="1" t="s">
        <v>27</v>
      </c>
      <c r="C743">
        <v>2013</v>
      </c>
      <c r="D743" s="4">
        <v>1.3</v>
      </c>
      <c r="E743" s="5">
        <v>132698</v>
      </c>
      <c r="F743" s="1" t="s">
        <v>11</v>
      </c>
      <c r="G743" s="10">
        <v>86254.29</v>
      </c>
      <c r="H743" s="1" t="s">
        <v>37</v>
      </c>
      <c r="I743" t="s">
        <v>52</v>
      </c>
      <c r="J743" t="s">
        <v>14</v>
      </c>
    </row>
    <row r="744" spans="1:10" x14ac:dyDescent="0.35">
      <c r="A744">
        <v>743</v>
      </c>
      <c r="B744" s="1" t="s">
        <v>35</v>
      </c>
      <c r="C744">
        <v>2013</v>
      </c>
      <c r="D744" s="4">
        <v>4.5</v>
      </c>
      <c r="E744" s="5">
        <v>90815</v>
      </c>
      <c r="F744" s="1" t="s">
        <v>11</v>
      </c>
      <c r="G744" s="10">
        <v>60380.53</v>
      </c>
      <c r="H744" s="1" t="s">
        <v>50</v>
      </c>
      <c r="I744" t="s">
        <v>53</v>
      </c>
      <c r="J744" t="s">
        <v>14</v>
      </c>
    </row>
    <row r="745" spans="1:10" x14ac:dyDescent="0.35">
      <c r="A745">
        <v>744</v>
      </c>
      <c r="B745" s="1" t="s">
        <v>20</v>
      </c>
      <c r="C745">
        <v>2001</v>
      </c>
      <c r="D745" s="4">
        <v>3.3</v>
      </c>
      <c r="E745" s="5">
        <v>194894</v>
      </c>
      <c r="F745" s="1" t="s">
        <v>15</v>
      </c>
      <c r="G745" s="10">
        <v>11604.55</v>
      </c>
      <c r="H745" s="1" t="s">
        <v>46</v>
      </c>
      <c r="I745" t="s">
        <v>13</v>
      </c>
      <c r="J745" t="s">
        <v>14</v>
      </c>
    </row>
    <row r="746" spans="1:10" x14ac:dyDescent="0.35">
      <c r="A746">
        <v>745</v>
      </c>
      <c r="B746" s="1" t="s">
        <v>20</v>
      </c>
      <c r="C746">
        <v>2020</v>
      </c>
      <c r="D746" s="4">
        <v>2.1</v>
      </c>
      <c r="E746" s="5">
        <v>203485</v>
      </c>
      <c r="F746" s="1" t="s">
        <v>11</v>
      </c>
      <c r="G746" s="10">
        <v>9529.9</v>
      </c>
      <c r="H746" s="1" t="s">
        <v>21</v>
      </c>
      <c r="I746" t="s">
        <v>52</v>
      </c>
      <c r="J746" t="s">
        <v>22</v>
      </c>
    </row>
    <row r="747" spans="1:10" x14ac:dyDescent="0.35">
      <c r="A747">
        <v>746</v>
      </c>
      <c r="B747" s="1" t="s">
        <v>27</v>
      </c>
      <c r="C747">
        <v>2019</v>
      </c>
      <c r="D747" s="4">
        <v>4.0999999999999996</v>
      </c>
      <c r="E747" s="5">
        <v>164714</v>
      </c>
      <c r="F747" s="1" t="s">
        <v>15</v>
      </c>
      <c r="G747" s="10">
        <v>10806.67</v>
      </c>
      <c r="H747" s="1" t="s">
        <v>40</v>
      </c>
      <c r="I747" t="s">
        <v>13</v>
      </c>
      <c r="J747" t="s">
        <v>22</v>
      </c>
    </row>
    <row r="748" spans="1:10" x14ac:dyDescent="0.35">
      <c r="A748">
        <v>747</v>
      </c>
      <c r="B748" s="1" t="s">
        <v>35</v>
      </c>
      <c r="C748">
        <v>2010</v>
      </c>
      <c r="D748" s="4">
        <v>2.2999999999999998</v>
      </c>
      <c r="E748" s="5">
        <v>32356</v>
      </c>
      <c r="F748" s="1" t="s">
        <v>15</v>
      </c>
      <c r="G748" s="10">
        <v>94478.13</v>
      </c>
      <c r="H748" s="1" t="s">
        <v>36</v>
      </c>
      <c r="I748" t="s">
        <v>53</v>
      </c>
      <c r="J748" t="s">
        <v>22</v>
      </c>
    </row>
    <row r="749" spans="1:10" x14ac:dyDescent="0.35">
      <c r="A749">
        <v>748</v>
      </c>
      <c r="B749" s="1" t="s">
        <v>25</v>
      </c>
      <c r="C749">
        <v>2015</v>
      </c>
      <c r="D749" s="4">
        <v>3.9</v>
      </c>
      <c r="E749" s="5">
        <v>265953</v>
      </c>
      <c r="F749" s="1" t="s">
        <v>11</v>
      </c>
      <c r="G749" s="10">
        <v>85737.79</v>
      </c>
      <c r="H749" s="1" t="s">
        <v>44</v>
      </c>
      <c r="I749" t="s">
        <v>51</v>
      </c>
      <c r="J749" t="s">
        <v>14</v>
      </c>
    </row>
    <row r="750" spans="1:10" x14ac:dyDescent="0.35">
      <c r="A750">
        <v>749</v>
      </c>
      <c r="B750" s="1" t="s">
        <v>29</v>
      </c>
      <c r="C750">
        <v>2018</v>
      </c>
      <c r="D750" s="4">
        <v>2.8</v>
      </c>
      <c r="E750" s="5">
        <v>297019</v>
      </c>
      <c r="F750" s="1" t="s">
        <v>11</v>
      </c>
      <c r="G750" s="10">
        <v>85269.3</v>
      </c>
      <c r="H750" s="1" t="s">
        <v>31</v>
      </c>
      <c r="I750" t="s">
        <v>13</v>
      </c>
      <c r="J750" t="s">
        <v>14</v>
      </c>
    </row>
    <row r="751" spans="1:10" x14ac:dyDescent="0.35">
      <c r="A751">
        <v>750</v>
      </c>
      <c r="B751" s="1" t="s">
        <v>10</v>
      </c>
      <c r="C751">
        <v>2022</v>
      </c>
      <c r="D751" s="4">
        <v>5.0999999999999996</v>
      </c>
      <c r="E751" s="5">
        <v>241121</v>
      </c>
      <c r="F751" s="1" t="s">
        <v>11</v>
      </c>
      <c r="G751" s="10">
        <v>92800.59</v>
      </c>
      <c r="H751" s="1" t="s">
        <v>18</v>
      </c>
      <c r="I751" t="s">
        <v>13</v>
      </c>
      <c r="J751" t="s">
        <v>14</v>
      </c>
    </row>
    <row r="752" spans="1:10" x14ac:dyDescent="0.35">
      <c r="A752">
        <v>751</v>
      </c>
      <c r="B752" s="1" t="s">
        <v>29</v>
      </c>
      <c r="C752">
        <v>2005</v>
      </c>
      <c r="D752" s="4">
        <v>5.0999999999999996</v>
      </c>
      <c r="E752" s="5">
        <v>271609</v>
      </c>
      <c r="F752" s="1" t="s">
        <v>16</v>
      </c>
      <c r="G752" s="10">
        <v>52999.26</v>
      </c>
      <c r="H752" s="1" t="s">
        <v>31</v>
      </c>
      <c r="I752" t="s">
        <v>53</v>
      </c>
      <c r="J752" t="s">
        <v>22</v>
      </c>
    </row>
    <row r="753" spans="1:10" x14ac:dyDescent="0.35">
      <c r="A753">
        <v>752</v>
      </c>
      <c r="B753" s="1" t="s">
        <v>25</v>
      </c>
      <c r="C753">
        <v>2023</v>
      </c>
      <c r="D753" s="4">
        <v>3.4</v>
      </c>
      <c r="E753" s="5">
        <v>197167</v>
      </c>
      <c r="F753" s="1" t="s">
        <v>15</v>
      </c>
      <c r="G753" s="10">
        <v>28497.74</v>
      </c>
      <c r="H753" s="1" t="s">
        <v>26</v>
      </c>
      <c r="I753" t="s">
        <v>51</v>
      </c>
      <c r="J753" t="s">
        <v>14</v>
      </c>
    </row>
    <row r="754" spans="1:10" x14ac:dyDescent="0.35">
      <c r="A754">
        <v>753</v>
      </c>
      <c r="B754" s="1" t="s">
        <v>20</v>
      </c>
      <c r="C754">
        <v>2018</v>
      </c>
      <c r="D754" s="4">
        <v>2.8</v>
      </c>
      <c r="E754" s="5">
        <v>196322</v>
      </c>
      <c r="F754" s="1" t="s">
        <v>11</v>
      </c>
      <c r="G754" s="10">
        <v>43128.06</v>
      </c>
      <c r="H754" s="1" t="s">
        <v>46</v>
      </c>
      <c r="I754" t="s">
        <v>52</v>
      </c>
      <c r="J754" t="s">
        <v>22</v>
      </c>
    </row>
    <row r="755" spans="1:10" x14ac:dyDescent="0.35">
      <c r="A755">
        <v>754</v>
      </c>
      <c r="B755" s="1" t="s">
        <v>35</v>
      </c>
      <c r="C755">
        <v>2004</v>
      </c>
      <c r="D755" s="4">
        <v>2.8</v>
      </c>
      <c r="E755" s="5">
        <v>15250</v>
      </c>
      <c r="F755" s="1" t="s">
        <v>16</v>
      </c>
      <c r="G755" s="10">
        <v>73292.09</v>
      </c>
      <c r="H755" s="1" t="s">
        <v>36</v>
      </c>
      <c r="I755" t="s">
        <v>52</v>
      </c>
      <c r="J755" t="s">
        <v>22</v>
      </c>
    </row>
    <row r="756" spans="1:10" x14ac:dyDescent="0.35">
      <c r="A756">
        <v>755</v>
      </c>
      <c r="B756" s="1" t="s">
        <v>20</v>
      </c>
      <c r="C756">
        <v>2003</v>
      </c>
      <c r="D756" s="4">
        <v>5</v>
      </c>
      <c r="E756" s="5">
        <v>46023</v>
      </c>
      <c r="F756" s="1" t="s">
        <v>11</v>
      </c>
      <c r="G756" s="10">
        <v>88223.12</v>
      </c>
      <c r="H756" s="1" t="s">
        <v>39</v>
      </c>
      <c r="I756" t="s">
        <v>52</v>
      </c>
      <c r="J756" t="s">
        <v>22</v>
      </c>
    </row>
    <row r="757" spans="1:10" x14ac:dyDescent="0.35">
      <c r="A757">
        <v>756</v>
      </c>
      <c r="B757" s="1" t="s">
        <v>23</v>
      </c>
      <c r="C757">
        <v>2014</v>
      </c>
      <c r="D757" s="4">
        <v>2.6</v>
      </c>
      <c r="E757" s="5">
        <v>101350</v>
      </c>
      <c r="F757" s="1" t="s">
        <v>15</v>
      </c>
      <c r="G757" s="10">
        <v>46333.64</v>
      </c>
      <c r="H757" s="1" t="s">
        <v>42</v>
      </c>
      <c r="I757" t="s">
        <v>13</v>
      </c>
      <c r="J757" t="s">
        <v>14</v>
      </c>
    </row>
    <row r="758" spans="1:10" x14ac:dyDescent="0.35">
      <c r="A758">
        <v>757</v>
      </c>
      <c r="B758" s="1" t="s">
        <v>20</v>
      </c>
      <c r="C758">
        <v>2003</v>
      </c>
      <c r="D758" s="4">
        <v>2</v>
      </c>
      <c r="E758" s="5">
        <v>177696</v>
      </c>
      <c r="F758" s="1" t="s">
        <v>16</v>
      </c>
      <c r="G758" s="10">
        <v>55861.19</v>
      </c>
      <c r="H758" s="1" t="s">
        <v>46</v>
      </c>
      <c r="I758" t="s">
        <v>53</v>
      </c>
      <c r="J758" t="s">
        <v>22</v>
      </c>
    </row>
    <row r="759" spans="1:10" x14ac:dyDescent="0.35">
      <c r="A759">
        <v>758</v>
      </c>
      <c r="B759" s="1" t="s">
        <v>20</v>
      </c>
      <c r="C759">
        <v>2019</v>
      </c>
      <c r="D759" s="4">
        <v>1.4</v>
      </c>
      <c r="E759" s="5">
        <v>16427</v>
      </c>
      <c r="F759" s="1" t="s">
        <v>15</v>
      </c>
      <c r="G759" s="10">
        <v>93519.38</v>
      </c>
      <c r="H759" s="1" t="s">
        <v>39</v>
      </c>
      <c r="I759" t="s">
        <v>52</v>
      </c>
      <c r="J759" t="s">
        <v>22</v>
      </c>
    </row>
    <row r="760" spans="1:10" x14ac:dyDescent="0.35">
      <c r="A760">
        <v>759</v>
      </c>
      <c r="B760" s="1" t="s">
        <v>25</v>
      </c>
      <c r="C760">
        <v>2009</v>
      </c>
      <c r="D760" s="4">
        <v>3.3</v>
      </c>
      <c r="E760" s="5">
        <v>210084</v>
      </c>
      <c r="F760" s="1" t="s">
        <v>11</v>
      </c>
      <c r="G760" s="10">
        <v>15212.37</v>
      </c>
      <c r="H760" s="1" t="s">
        <v>49</v>
      </c>
      <c r="I760" t="s">
        <v>13</v>
      </c>
      <c r="J760" t="s">
        <v>22</v>
      </c>
    </row>
    <row r="761" spans="1:10" x14ac:dyDescent="0.35">
      <c r="A761">
        <v>760</v>
      </c>
      <c r="B761" s="1" t="s">
        <v>25</v>
      </c>
      <c r="C761">
        <v>2023</v>
      </c>
      <c r="D761" s="4">
        <v>3.4</v>
      </c>
      <c r="E761" s="5">
        <v>134511</v>
      </c>
      <c r="F761" s="1" t="s">
        <v>11</v>
      </c>
      <c r="G761" s="10">
        <v>86918.43</v>
      </c>
      <c r="H761" s="1" t="s">
        <v>41</v>
      </c>
      <c r="I761" t="s">
        <v>53</v>
      </c>
      <c r="J761" t="s">
        <v>22</v>
      </c>
    </row>
    <row r="762" spans="1:10" x14ac:dyDescent="0.35">
      <c r="A762">
        <v>761</v>
      </c>
      <c r="B762" s="1" t="s">
        <v>25</v>
      </c>
      <c r="C762">
        <v>2021</v>
      </c>
      <c r="D762" s="4">
        <v>5.2</v>
      </c>
      <c r="E762" s="5">
        <v>218403</v>
      </c>
      <c r="F762" s="1" t="s">
        <v>11</v>
      </c>
      <c r="G762" s="10">
        <v>20134.21</v>
      </c>
      <c r="H762" s="1" t="s">
        <v>49</v>
      </c>
      <c r="I762" t="s">
        <v>53</v>
      </c>
      <c r="J762" t="s">
        <v>14</v>
      </c>
    </row>
    <row r="763" spans="1:10" x14ac:dyDescent="0.35">
      <c r="A763">
        <v>762</v>
      </c>
      <c r="B763" s="1" t="s">
        <v>29</v>
      </c>
      <c r="C763">
        <v>2002</v>
      </c>
      <c r="D763" s="4">
        <v>2.1</v>
      </c>
      <c r="E763" s="5">
        <v>78672</v>
      </c>
      <c r="F763" s="1" t="s">
        <v>16</v>
      </c>
      <c r="G763" s="10">
        <v>50966.83</v>
      </c>
      <c r="H763" s="1" t="s">
        <v>30</v>
      </c>
      <c r="I763" t="s">
        <v>13</v>
      </c>
      <c r="J763" t="s">
        <v>14</v>
      </c>
    </row>
    <row r="764" spans="1:10" x14ac:dyDescent="0.35">
      <c r="A764">
        <v>763</v>
      </c>
      <c r="B764" s="1" t="s">
        <v>23</v>
      </c>
      <c r="C764">
        <v>2004</v>
      </c>
      <c r="D764" s="4">
        <v>2.9</v>
      </c>
      <c r="E764" s="5">
        <v>17300</v>
      </c>
      <c r="F764" s="1" t="s">
        <v>16</v>
      </c>
      <c r="G764" s="10">
        <v>25750.2</v>
      </c>
      <c r="H764" s="1" t="s">
        <v>32</v>
      </c>
      <c r="I764" t="s">
        <v>13</v>
      </c>
      <c r="J764" t="s">
        <v>14</v>
      </c>
    </row>
    <row r="765" spans="1:10" x14ac:dyDescent="0.35">
      <c r="A765">
        <v>764</v>
      </c>
      <c r="B765" s="1" t="s">
        <v>25</v>
      </c>
      <c r="C765">
        <v>2005</v>
      </c>
      <c r="D765" s="4">
        <v>5</v>
      </c>
      <c r="E765" s="5">
        <v>19659</v>
      </c>
      <c r="F765" s="1" t="s">
        <v>16</v>
      </c>
      <c r="G765" s="10">
        <v>62280.02</v>
      </c>
      <c r="H765" s="1" t="s">
        <v>49</v>
      </c>
      <c r="I765" t="s">
        <v>52</v>
      </c>
      <c r="J765" t="s">
        <v>22</v>
      </c>
    </row>
    <row r="766" spans="1:10" x14ac:dyDescent="0.35">
      <c r="A766">
        <v>765</v>
      </c>
      <c r="B766" s="1" t="s">
        <v>35</v>
      </c>
      <c r="C766">
        <v>2020</v>
      </c>
      <c r="D766" s="4">
        <v>5.0999999999999996</v>
      </c>
      <c r="E766" s="5">
        <v>162475</v>
      </c>
      <c r="F766" s="1" t="s">
        <v>16</v>
      </c>
      <c r="G766" s="10">
        <v>58064.480000000003</v>
      </c>
      <c r="H766" s="1" t="s">
        <v>47</v>
      </c>
      <c r="I766" t="s">
        <v>53</v>
      </c>
      <c r="J766" t="s">
        <v>14</v>
      </c>
    </row>
    <row r="767" spans="1:10" x14ac:dyDescent="0.35">
      <c r="A767">
        <v>766</v>
      </c>
      <c r="B767" s="1" t="s">
        <v>29</v>
      </c>
      <c r="C767">
        <v>2021</v>
      </c>
      <c r="D767" s="4">
        <v>2.9</v>
      </c>
      <c r="E767" s="5">
        <v>245259</v>
      </c>
      <c r="F767" s="1" t="s">
        <v>11</v>
      </c>
      <c r="G767" s="10">
        <v>41100.699999999997</v>
      </c>
      <c r="H767" s="1" t="s">
        <v>38</v>
      </c>
      <c r="I767" t="s">
        <v>51</v>
      </c>
      <c r="J767" t="s">
        <v>22</v>
      </c>
    </row>
    <row r="768" spans="1:10" x14ac:dyDescent="0.35">
      <c r="A768">
        <v>767</v>
      </c>
      <c r="B768" s="1" t="s">
        <v>27</v>
      </c>
      <c r="C768">
        <v>2007</v>
      </c>
      <c r="D768" s="4">
        <v>3.3</v>
      </c>
      <c r="E768" s="5">
        <v>10360</v>
      </c>
      <c r="F768" s="1" t="s">
        <v>11</v>
      </c>
      <c r="G768" s="10">
        <v>87013.83</v>
      </c>
      <c r="H768" s="1" t="s">
        <v>48</v>
      </c>
      <c r="I768" t="s">
        <v>13</v>
      </c>
      <c r="J768" t="s">
        <v>14</v>
      </c>
    </row>
    <row r="769" spans="1:10" x14ac:dyDescent="0.35">
      <c r="A769">
        <v>768</v>
      </c>
      <c r="B769" s="1" t="s">
        <v>35</v>
      </c>
      <c r="C769">
        <v>2006</v>
      </c>
      <c r="D769" s="4">
        <v>2.5</v>
      </c>
      <c r="E769" s="5">
        <v>283568</v>
      </c>
      <c r="F769" s="1" t="s">
        <v>11</v>
      </c>
      <c r="G769" s="10">
        <v>67682.27</v>
      </c>
      <c r="H769" s="1" t="s">
        <v>47</v>
      </c>
      <c r="I769" t="s">
        <v>53</v>
      </c>
      <c r="J769" t="s">
        <v>22</v>
      </c>
    </row>
    <row r="770" spans="1:10" x14ac:dyDescent="0.35">
      <c r="A770">
        <v>769</v>
      </c>
      <c r="B770" s="1" t="s">
        <v>10</v>
      </c>
      <c r="C770">
        <v>2020</v>
      </c>
      <c r="D770" s="4">
        <v>5.7</v>
      </c>
      <c r="E770" s="5">
        <v>98035</v>
      </c>
      <c r="F770" s="1" t="s">
        <v>16</v>
      </c>
      <c r="G770" s="10">
        <v>73514.490000000005</v>
      </c>
      <c r="H770" s="1" t="s">
        <v>17</v>
      </c>
      <c r="I770" t="s">
        <v>13</v>
      </c>
      <c r="J770" t="s">
        <v>14</v>
      </c>
    </row>
    <row r="771" spans="1:10" x14ac:dyDescent="0.35">
      <c r="A771">
        <v>770</v>
      </c>
      <c r="B771" s="1" t="s">
        <v>10</v>
      </c>
      <c r="C771">
        <v>2009</v>
      </c>
      <c r="D771" s="4">
        <v>1.6</v>
      </c>
      <c r="E771" s="5">
        <v>48791</v>
      </c>
      <c r="F771" s="1" t="s">
        <v>16</v>
      </c>
      <c r="G771" s="10">
        <v>19312.68</v>
      </c>
      <c r="H771" s="1" t="s">
        <v>12</v>
      </c>
      <c r="I771" t="s">
        <v>13</v>
      </c>
      <c r="J771" t="s">
        <v>14</v>
      </c>
    </row>
    <row r="772" spans="1:10" x14ac:dyDescent="0.35">
      <c r="A772">
        <v>771</v>
      </c>
      <c r="B772" s="1" t="s">
        <v>35</v>
      </c>
      <c r="C772">
        <v>2005</v>
      </c>
      <c r="D772" s="4">
        <v>5.7</v>
      </c>
      <c r="E772" s="5">
        <v>199867</v>
      </c>
      <c r="F772" s="1" t="s">
        <v>11</v>
      </c>
      <c r="G772" s="10">
        <v>88900.74</v>
      </c>
      <c r="H772" s="1" t="s">
        <v>50</v>
      </c>
      <c r="I772" t="s">
        <v>51</v>
      </c>
      <c r="J772" t="s">
        <v>14</v>
      </c>
    </row>
    <row r="773" spans="1:10" x14ac:dyDescent="0.35">
      <c r="A773">
        <v>772</v>
      </c>
      <c r="B773" s="1" t="s">
        <v>25</v>
      </c>
      <c r="C773">
        <v>2013</v>
      </c>
      <c r="D773" s="4">
        <v>4.4000000000000004</v>
      </c>
      <c r="E773" s="5">
        <v>274444</v>
      </c>
      <c r="F773" s="1" t="s">
        <v>11</v>
      </c>
      <c r="G773" s="10">
        <v>20868.82</v>
      </c>
      <c r="H773" s="1" t="s">
        <v>44</v>
      </c>
      <c r="I773" t="s">
        <v>52</v>
      </c>
      <c r="J773" t="s">
        <v>22</v>
      </c>
    </row>
    <row r="774" spans="1:10" x14ac:dyDescent="0.35">
      <c r="A774">
        <v>773</v>
      </c>
      <c r="B774" s="1" t="s">
        <v>27</v>
      </c>
      <c r="C774">
        <v>2003</v>
      </c>
      <c r="D774" s="4">
        <v>3.7</v>
      </c>
      <c r="E774" s="5">
        <v>33370</v>
      </c>
      <c r="F774" s="1" t="s">
        <v>16</v>
      </c>
      <c r="G774" s="10">
        <v>26164.57</v>
      </c>
      <c r="H774" s="1" t="s">
        <v>40</v>
      </c>
      <c r="I774" t="s">
        <v>51</v>
      </c>
      <c r="J774" t="s">
        <v>22</v>
      </c>
    </row>
    <row r="775" spans="1:10" x14ac:dyDescent="0.35">
      <c r="A775">
        <v>774</v>
      </c>
      <c r="B775" s="1" t="s">
        <v>27</v>
      </c>
      <c r="C775">
        <v>2012</v>
      </c>
      <c r="D775" s="4">
        <v>1.2</v>
      </c>
      <c r="E775" s="5">
        <v>200903</v>
      </c>
      <c r="F775" s="1" t="s">
        <v>15</v>
      </c>
      <c r="G775" s="10">
        <v>17165.240000000002</v>
      </c>
      <c r="H775" s="1" t="s">
        <v>37</v>
      </c>
      <c r="I775" t="s">
        <v>51</v>
      </c>
      <c r="J775" t="s">
        <v>22</v>
      </c>
    </row>
    <row r="776" spans="1:10" x14ac:dyDescent="0.35">
      <c r="A776">
        <v>775</v>
      </c>
      <c r="B776" s="1" t="s">
        <v>29</v>
      </c>
      <c r="C776">
        <v>2019</v>
      </c>
      <c r="D776" s="4">
        <v>3.4</v>
      </c>
      <c r="E776" s="5">
        <v>27209</v>
      </c>
      <c r="F776" s="1" t="s">
        <v>11</v>
      </c>
      <c r="G776" s="10">
        <v>46834.12</v>
      </c>
      <c r="H776" s="1" t="s">
        <v>38</v>
      </c>
      <c r="I776" t="s">
        <v>13</v>
      </c>
      <c r="J776" t="s">
        <v>14</v>
      </c>
    </row>
    <row r="777" spans="1:10" x14ac:dyDescent="0.35">
      <c r="A777">
        <v>776</v>
      </c>
      <c r="B777" s="1" t="s">
        <v>27</v>
      </c>
      <c r="C777">
        <v>2016</v>
      </c>
      <c r="D777" s="4">
        <v>3</v>
      </c>
      <c r="E777" s="5">
        <v>283071</v>
      </c>
      <c r="F777" s="1" t="s">
        <v>11</v>
      </c>
      <c r="G777" s="10">
        <v>89332.38</v>
      </c>
      <c r="H777" s="1" t="s">
        <v>28</v>
      </c>
      <c r="I777" t="s">
        <v>53</v>
      </c>
      <c r="J777" t="s">
        <v>22</v>
      </c>
    </row>
    <row r="778" spans="1:10" x14ac:dyDescent="0.35">
      <c r="A778">
        <v>777</v>
      </c>
      <c r="B778" s="1" t="s">
        <v>10</v>
      </c>
      <c r="C778">
        <v>2022</v>
      </c>
      <c r="D778" s="4">
        <v>1.8</v>
      </c>
      <c r="E778" s="5">
        <v>34579</v>
      </c>
      <c r="F778" s="1" t="s">
        <v>11</v>
      </c>
      <c r="G778" s="10">
        <v>28982.51</v>
      </c>
      <c r="H778" s="1" t="s">
        <v>18</v>
      </c>
      <c r="I778" t="s">
        <v>13</v>
      </c>
      <c r="J778" t="s">
        <v>14</v>
      </c>
    </row>
    <row r="779" spans="1:10" x14ac:dyDescent="0.35">
      <c r="A779">
        <v>778</v>
      </c>
      <c r="B779" s="1" t="s">
        <v>23</v>
      </c>
      <c r="C779">
        <v>2006</v>
      </c>
      <c r="D779" s="4">
        <v>4.3</v>
      </c>
      <c r="E779" s="5">
        <v>271176</v>
      </c>
      <c r="F779" s="1" t="s">
        <v>16</v>
      </c>
      <c r="G779" s="10">
        <v>40506.57</v>
      </c>
      <c r="H779" s="1" t="s">
        <v>32</v>
      </c>
      <c r="I779" t="s">
        <v>53</v>
      </c>
      <c r="J779" t="s">
        <v>22</v>
      </c>
    </row>
    <row r="780" spans="1:10" x14ac:dyDescent="0.35">
      <c r="A780">
        <v>779</v>
      </c>
      <c r="B780" s="1" t="s">
        <v>25</v>
      </c>
      <c r="C780">
        <v>2003</v>
      </c>
      <c r="D780" s="4">
        <v>5.9</v>
      </c>
      <c r="E780" s="5">
        <v>93254</v>
      </c>
      <c r="F780" s="1" t="s">
        <v>11</v>
      </c>
      <c r="G780" s="10">
        <v>85376.31</v>
      </c>
      <c r="H780" s="1" t="s">
        <v>49</v>
      </c>
      <c r="I780" t="s">
        <v>51</v>
      </c>
      <c r="J780" t="s">
        <v>22</v>
      </c>
    </row>
    <row r="781" spans="1:10" x14ac:dyDescent="0.35">
      <c r="A781">
        <v>780</v>
      </c>
      <c r="B781" s="1" t="s">
        <v>27</v>
      </c>
      <c r="C781">
        <v>2013</v>
      </c>
      <c r="D781" s="4">
        <v>3.8</v>
      </c>
      <c r="E781" s="5">
        <v>113528</v>
      </c>
      <c r="F781" s="1" t="s">
        <v>11</v>
      </c>
      <c r="G781" s="10">
        <v>63692.45</v>
      </c>
      <c r="H781" s="1" t="s">
        <v>37</v>
      </c>
      <c r="I781" t="s">
        <v>53</v>
      </c>
      <c r="J781" t="s">
        <v>22</v>
      </c>
    </row>
    <row r="782" spans="1:10" x14ac:dyDescent="0.35">
      <c r="A782">
        <v>781</v>
      </c>
      <c r="B782" s="1" t="s">
        <v>29</v>
      </c>
      <c r="C782">
        <v>2002</v>
      </c>
      <c r="D782" s="4">
        <v>4.5999999999999996</v>
      </c>
      <c r="E782" s="5">
        <v>223274</v>
      </c>
      <c r="F782" s="1" t="s">
        <v>11</v>
      </c>
      <c r="G782" s="10">
        <v>76403.56</v>
      </c>
      <c r="H782" s="1" t="s">
        <v>43</v>
      </c>
      <c r="I782" t="s">
        <v>13</v>
      </c>
      <c r="J782" t="s">
        <v>22</v>
      </c>
    </row>
    <row r="783" spans="1:10" x14ac:dyDescent="0.35">
      <c r="A783">
        <v>782</v>
      </c>
      <c r="B783" s="1" t="s">
        <v>10</v>
      </c>
      <c r="C783">
        <v>2023</v>
      </c>
      <c r="D783" s="4">
        <v>1.3</v>
      </c>
      <c r="E783" s="5">
        <v>238292</v>
      </c>
      <c r="F783" s="1" t="s">
        <v>11</v>
      </c>
      <c r="G783" s="10">
        <v>25330</v>
      </c>
      <c r="H783" s="1" t="s">
        <v>12</v>
      </c>
      <c r="I783" t="s">
        <v>13</v>
      </c>
      <c r="J783" t="s">
        <v>14</v>
      </c>
    </row>
    <row r="784" spans="1:10" x14ac:dyDescent="0.35">
      <c r="A784">
        <v>783</v>
      </c>
      <c r="B784" s="1" t="s">
        <v>23</v>
      </c>
      <c r="C784">
        <v>2004</v>
      </c>
      <c r="D784" s="4">
        <v>3.1</v>
      </c>
      <c r="E784" s="5">
        <v>181026</v>
      </c>
      <c r="F784" s="1" t="s">
        <v>11</v>
      </c>
      <c r="G784" s="10">
        <v>73066.539999999994</v>
      </c>
      <c r="H784" s="1" t="s">
        <v>34</v>
      </c>
      <c r="I784" t="s">
        <v>51</v>
      </c>
      <c r="J784" t="s">
        <v>14</v>
      </c>
    </row>
    <row r="785" spans="1:10" x14ac:dyDescent="0.35">
      <c r="A785">
        <v>784</v>
      </c>
      <c r="B785" s="1" t="s">
        <v>20</v>
      </c>
      <c r="C785">
        <v>2015</v>
      </c>
      <c r="D785" s="4">
        <v>1.6</v>
      </c>
      <c r="E785" s="5">
        <v>248342</v>
      </c>
      <c r="F785" s="1" t="s">
        <v>15</v>
      </c>
      <c r="G785" s="10">
        <v>26623</v>
      </c>
      <c r="H785" s="1" t="s">
        <v>33</v>
      </c>
      <c r="I785" t="s">
        <v>51</v>
      </c>
      <c r="J785" t="s">
        <v>22</v>
      </c>
    </row>
    <row r="786" spans="1:10" x14ac:dyDescent="0.35">
      <c r="A786">
        <v>785</v>
      </c>
      <c r="B786" s="1" t="s">
        <v>20</v>
      </c>
      <c r="C786">
        <v>2022</v>
      </c>
      <c r="D786" s="4">
        <v>4.0999999999999996</v>
      </c>
      <c r="E786" s="5">
        <v>219437</v>
      </c>
      <c r="F786" s="1" t="s">
        <v>15</v>
      </c>
      <c r="G786" s="10">
        <v>98794.83</v>
      </c>
      <c r="H786" s="1" t="s">
        <v>33</v>
      </c>
      <c r="I786" t="s">
        <v>51</v>
      </c>
      <c r="J786" t="s">
        <v>14</v>
      </c>
    </row>
    <row r="787" spans="1:10" x14ac:dyDescent="0.35">
      <c r="A787">
        <v>786</v>
      </c>
      <c r="B787" s="1" t="s">
        <v>23</v>
      </c>
      <c r="C787">
        <v>2019</v>
      </c>
      <c r="D787" s="4">
        <v>5.7</v>
      </c>
      <c r="E787" s="5">
        <v>278076</v>
      </c>
      <c r="F787" s="1" t="s">
        <v>11</v>
      </c>
      <c r="G787" s="10">
        <v>58189.18</v>
      </c>
      <c r="H787" s="1" t="s">
        <v>42</v>
      </c>
      <c r="I787" t="s">
        <v>13</v>
      </c>
      <c r="J787" t="s">
        <v>14</v>
      </c>
    </row>
    <row r="788" spans="1:10" x14ac:dyDescent="0.35">
      <c r="A788">
        <v>787</v>
      </c>
      <c r="B788" s="1" t="s">
        <v>10</v>
      </c>
      <c r="C788">
        <v>2003</v>
      </c>
      <c r="D788" s="4">
        <v>4.3</v>
      </c>
      <c r="E788" s="5">
        <v>287858</v>
      </c>
      <c r="F788" s="1" t="s">
        <v>11</v>
      </c>
      <c r="G788" s="10">
        <v>71085.73</v>
      </c>
      <c r="H788" s="1" t="s">
        <v>18</v>
      </c>
      <c r="I788" t="s">
        <v>13</v>
      </c>
      <c r="J788" t="s">
        <v>14</v>
      </c>
    </row>
    <row r="789" spans="1:10" x14ac:dyDescent="0.35">
      <c r="A789">
        <v>788</v>
      </c>
      <c r="B789" s="1" t="s">
        <v>29</v>
      </c>
      <c r="C789">
        <v>2023</v>
      </c>
      <c r="D789" s="4">
        <v>1.4</v>
      </c>
      <c r="E789" s="5">
        <v>57803</v>
      </c>
      <c r="F789" s="1" t="s">
        <v>11</v>
      </c>
      <c r="G789" s="10">
        <v>16248.15</v>
      </c>
      <c r="H789" s="1" t="s">
        <v>30</v>
      </c>
      <c r="I789" t="s">
        <v>13</v>
      </c>
      <c r="J789" t="s">
        <v>22</v>
      </c>
    </row>
    <row r="790" spans="1:10" x14ac:dyDescent="0.35">
      <c r="A790">
        <v>789</v>
      </c>
      <c r="B790" s="1" t="s">
        <v>23</v>
      </c>
      <c r="C790">
        <v>2023</v>
      </c>
      <c r="D790" s="4">
        <v>2.8</v>
      </c>
      <c r="E790" s="5">
        <v>133624</v>
      </c>
      <c r="F790" s="1" t="s">
        <v>11</v>
      </c>
      <c r="G790" s="10">
        <v>28812.32</v>
      </c>
      <c r="H790" s="1" t="s">
        <v>32</v>
      </c>
      <c r="I790" t="s">
        <v>53</v>
      </c>
      <c r="J790" t="s">
        <v>14</v>
      </c>
    </row>
    <row r="791" spans="1:10" x14ac:dyDescent="0.35">
      <c r="A791">
        <v>790</v>
      </c>
      <c r="B791" s="1" t="s">
        <v>25</v>
      </c>
      <c r="C791">
        <v>2001</v>
      </c>
      <c r="D791" s="4">
        <v>3.8</v>
      </c>
      <c r="E791" s="5">
        <v>56627</v>
      </c>
      <c r="F791" s="1" t="s">
        <v>16</v>
      </c>
      <c r="G791" s="10">
        <v>18275.36</v>
      </c>
      <c r="H791" s="1" t="s">
        <v>49</v>
      </c>
      <c r="I791" t="s">
        <v>13</v>
      </c>
      <c r="J791" t="s">
        <v>22</v>
      </c>
    </row>
    <row r="792" spans="1:10" x14ac:dyDescent="0.35">
      <c r="A792">
        <v>791</v>
      </c>
      <c r="B792" s="1" t="s">
        <v>25</v>
      </c>
      <c r="C792">
        <v>2017</v>
      </c>
      <c r="D792" s="4">
        <v>3</v>
      </c>
      <c r="E792" s="5">
        <v>177059</v>
      </c>
      <c r="F792" s="1" t="s">
        <v>16</v>
      </c>
      <c r="G792" s="10">
        <v>42066.22</v>
      </c>
      <c r="H792" s="1" t="s">
        <v>44</v>
      </c>
      <c r="I792" t="s">
        <v>52</v>
      </c>
      <c r="J792" t="s">
        <v>14</v>
      </c>
    </row>
    <row r="793" spans="1:10" x14ac:dyDescent="0.35">
      <c r="A793">
        <v>792</v>
      </c>
      <c r="B793" s="1" t="s">
        <v>20</v>
      </c>
      <c r="C793">
        <v>2018</v>
      </c>
      <c r="D793" s="4">
        <v>5.2</v>
      </c>
      <c r="E793" s="5">
        <v>45380</v>
      </c>
      <c r="F793" s="1" t="s">
        <v>16</v>
      </c>
      <c r="G793" s="10">
        <v>31992.91</v>
      </c>
      <c r="H793" s="1" t="s">
        <v>46</v>
      </c>
      <c r="I793" t="s">
        <v>52</v>
      </c>
      <c r="J793" t="s">
        <v>14</v>
      </c>
    </row>
    <row r="794" spans="1:10" x14ac:dyDescent="0.35">
      <c r="A794">
        <v>793</v>
      </c>
      <c r="B794" s="1" t="s">
        <v>27</v>
      </c>
      <c r="C794">
        <v>2018</v>
      </c>
      <c r="D794" s="4">
        <v>5.0999999999999996</v>
      </c>
      <c r="E794" s="5">
        <v>160322</v>
      </c>
      <c r="F794" s="1" t="s">
        <v>15</v>
      </c>
      <c r="G794" s="10">
        <v>74627.61</v>
      </c>
      <c r="H794" s="1" t="s">
        <v>28</v>
      </c>
      <c r="I794" t="s">
        <v>52</v>
      </c>
      <c r="J794" t="s">
        <v>14</v>
      </c>
    </row>
    <row r="795" spans="1:10" x14ac:dyDescent="0.35">
      <c r="A795">
        <v>794</v>
      </c>
      <c r="B795" s="1" t="s">
        <v>29</v>
      </c>
      <c r="C795">
        <v>2016</v>
      </c>
      <c r="D795" s="4">
        <v>4.0999999999999996</v>
      </c>
      <c r="E795" s="5">
        <v>199416</v>
      </c>
      <c r="F795" s="1" t="s">
        <v>11</v>
      </c>
      <c r="G795" s="10">
        <v>15327.35</v>
      </c>
      <c r="H795" s="1" t="s">
        <v>30</v>
      </c>
      <c r="I795" t="s">
        <v>52</v>
      </c>
      <c r="J795" t="s">
        <v>22</v>
      </c>
    </row>
    <row r="796" spans="1:10" x14ac:dyDescent="0.35">
      <c r="A796">
        <v>795</v>
      </c>
      <c r="B796" s="1" t="s">
        <v>20</v>
      </c>
      <c r="C796">
        <v>2013</v>
      </c>
      <c r="D796" s="4">
        <v>2.9</v>
      </c>
      <c r="E796" s="5">
        <v>146367</v>
      </c>
      <c r="F796" s="1" t="s">
        <v>16</v>
      </c>
      <c r="G796" s="10">
        <v>76445.64</v>
      </c>
      <c r="H796" s="1" t="s">
        <v>46</v>
      </c>
      <c r="I796" t="s">
        <v>51</v>
      </c>
      <c r="J796" t="s">
        <v>14</v>
      </c>
    </row>
    <row r="797" spans="1:10" x14ac:dyDescent="0.35">
      <c r="A797">
        <v>796</v>
      </c>
      <c r="B797" s="1" t="s">
        <v>27</v>
      </c>
      <c r="C797">
        <v>2018</v>
      </c>
      <c r="D797" s="4">
        <v>2.2999999999999998</v>
      </c>
      <c r="E797" s="5">
        <v>272667</v>
      </c>
      <c r="F797" s="1" t="s">
        <v>11</v>
      </c>
      <c r="G797" s="10">
        <v>9341.9599999999991</v>
      </c>
      <c r="H797" s="1" t="s">
        <v>48</v>
      </c>
      <c r="I797" t="s">
        <v>51</v>
      </c>
      <c r="J797" t="s">
        <v>22</v>
      </c>
    </row>
    <row r="798" spans="1:10" x14ac:dyDescent="0.35">
      <c r="A798">
        <v>797</v>
      </c>
      <c r="B798" s="1" t="s">
        <v>27</v>
      </c>
      <c r="C798">
        <v>2021</v>
      </c>
      <c r="D798" s="4">
        <v>1.5</v>
      </c>
      <c r="E798" s="5">
        <v>259125</v>
      </c>
      <c r="F798" s="1" t="s">
        <v>11</v>
      </c>
      <c r="G798" s="10">
        <v>24191.69</v>
      </c>
      <c r="H798" s="1" t="s">
        <v>48</v>
      </c>
      <c r="I798" t="s">
        <v>13</v>
      </c>
      <c r="J798" t="s">
        <v>22</v>
      </c>
    </row>
    <row r="799" spans="1:10" x14ac:dyDescent="0.35">
      <c r="A799">
        <v>798</v>
      </c>
      <c r="B799" s="1" t="s">
        <v>25</v>
      </c>
      <c r="C799">
        <v>2023</v>
      </c>
      <c r="D799" s="4">
        <v>2.8</v>
      </c>
      <c r="E799" s="5">
        <v>13769</v>
      </c>
      <c r="F799" s="1" t="s">
        <v>15</v>
      </c>
      <c r="G799" s="10">
        <v>80236.67</v>
      </c>
      <c r="H799" s="1" t="s">
        <v>41</v>
      </c>
      <c r="I799" t="s">
        <v>13</v>
      </c>
      <c r="J799" t="s">
        <v>22</v>
      </c>
    </row>
    <row r="800" spans="1:10" x14ac:dyDescent="0.35">
      <c r="A800">
        <v>799</v>
      </c>
      <c r="B800" s="1" t="s">
        <v>10</v>
      </c>
      <c r="C800">
        <v>2012</v>
      </c>
      <c r="D800" s="4">
        <v>3.1</v>
      </c>
      <c r="E800" s="5">
        <v>112035</v>
      </c>
      <c r="F800" s="1" t="s">
        <v>15</v>
      </c>
      <c r="G800" s="10">
        <v>75563.78</v>
      </c>
      <c r="H800" s="1" t="s">
        <v>12</v>
      </c>
      <c r="I800" t="s">
        <v>13</v>
      </c>
      <c r="J800" t="s">
        <v>14</v>
      </c>
    </row>
    <row r="801" spans="1:10" x14ac:dyDescent="0.35">
      <c r="A801">
        <v>800</v>
      </c>
      <c r="B801" s="1" t="s">
        <v>35</v>
      </c>
      <c r="C801">
        <v>2011</v>
      </c>
      <c r="D801" s="4">
        <v>4.4000000000000004</v>
      </c>
      <c r="E801" s="5">
        <v>175717</v>
      </c>
      <c r="F801" s="1" t="s">
        <v>16</v>
      </c>
      <c r="G801" s="10">
        <v>50250.98</v>
      </c>
      <c r="H801" s="1" t="s">
        <v>47</v>
      </c>
      <c r="I801" t="s">
        <v>53</v>
      </c>
      <c r="J801" t="s">
        <v>22</v>
      </c>
    </row>
    <row r="802" spans="1:10" x14ac:dyDescent="0.35">
      <c r="A802">
        <v>801</v>
      </c>
      <c r="B802" s="1" t="s">
        <v>10</v>
      </c>
      <c r="C802">
        <v>2005</v>
      </c>
      <c r="D802" s="4">
        <v>4.3</v>
      </c>
      <c r="E802" s="5">
        <v>221815</v>
      </c>
      <c r="F802" s="1" t="s">
        <v>16</v>
      </c>
      <c r="G802" s="10">
        <v>9748.36</v>
      </c>
      <c r="H802" s="1" t="s">
        <v>17</v>
      </c>
      <c r="I802" t="s">
        <v>13</v>
      </c>
      <c r="J802" t="s">
        <v>14</v>
      </c>
    </row>
    <row r="803" spans="1:10" x14ac:dyDescent="0.35">
      <c r="A803">
        <v>802</v>
      </c>
      <c r="B803" s="1" t="s">
        <v>35</v>
      </c>
      <c r="C803">
        <v>2020</v>
      </c>
      <c r="D803" s="4">
        <v>1.4</v>
      </c>
      <c r="E803" s="5">
        <v>231832</v>
      </c>
      <c r="F803" s="1" t="s">
        <v>15</v>
      </c>
      <c r="G803" s="10">
        <v>62939.91</v>
      </c>
      <c r="H803" s="1" t="s">
        <v>47</v>
      </c>
      <c r="I803" t="s">
        <v>13</v>
      </c>
      <c r="J803" t="s">
        <v>22</v>
      </c>
    </row>
    <row r="804" spans="1:10" x14ac:dyDescent="0.35">
      <c r="A804">
        <v>803</v>
      </c>
      <c r="B804" s="1" t="s">
        <v>23</v>
      </c>
      <c r="C804">
        <v>2003</v>
      </c>
      <c r="D804" s="4">
        <v>3</v>
      </c>
      <c r="E804" s="5">
        <v>156629</v>
      </c>
      <c r="F804" s="1" t="s">
        <v>15</v>
      </c>
      <c r="G804" s="10">
        <v>43638.79</v>
      </c>
      <c r="H804" s="1" t="s">
        <v>34</v>
      </c>
      <c r="I804" t="s">
        <v>52</v>
      </c>
      <c r="J804" t="s">
        <v>22</v>
      </c>
    </row>
    <row r="805" spans="1:10" x14ac:dyDescent="0.35">
      <c r="A805">
        <v>804</v>
      </c>
      <c r="B805" s="1" t="s">
        <v>25</v>
      </c>
      <c r="C805">
        <v>2018</v>
      </c>
      <c r="D805" s="4">
        <v>1.9</v>
      </c>
      <c r="E805" s="5">
        <v>234799</v>
      </c>
      <c r="F805" s="1" t="s">
        <v>11</v>
      </c>
      <c r="G805" s="10">
        <v>35070.17</v>
      </c>
      <c r="H805" s="1" t="s">
        <v>26</v>
      </c>
      <c r="I805" t="s">
        <v>13</v>
      </c>
      <c r="J805" t="s">
        <v>22</v>
      </c>
    </row>
    <row r="806" spans="1:10" x14ac:dyDescent="0.35">
      <c r="A806">
        <v>805</v>
      </c>
      <c r="B806" s="1" t="s">
        <v>27</v>
      </c>
      <c r="C806">
        <v>2015</v>
      </c>
      <c r="D806" s="4">
        <v>1.8</v>
      </c>
      <c r="E806" s="5">
        <v>168157</v>
      </c>
      <c r="F806" s="1" t="s">
        <v>11</v>
      </c>
      <c r="G806" s="10">
        <v>65839.009999999995</v>
      </c>
      <c r="H806" s="1" t="s">
        <v>28</v>
      </c>
      <c r="I806" t="s">
        <v>52</v>
      </c>
      <c r="J806" t="s">
        <v>22</v>
      </c>
    </row>
    <row r="807" spans="1:10" x14ac:dyDescent="0.35">
      <c r="A807">
        <v>806</v>
      </c>
      <c r="B807" s="1" t="s">
        <v>29</v>
      </c>
      <c r="C807">
        <v>2012</v>
      </c>
      <c r="D807" s="4">
        <v>5.0999999999999996</v>
      </c>
      <c r="E807" s="5">
        <v>144542</v>
      </c>
      <c r="F807" s="1" t="s">
        <v>16</v>
      </c>
      <c r="G807" s="10">
        <v>46478.38</v>
      </c>
      <c r="H807" s="1" t="s">
        <v>43</v>
      </c>
      <c r="I807" t="s">
        <v>53</v>
      </c>
      <c r="J807" t="s">
        <v>22</v>
      </c>
    </row>
    <row r="808" spans="1:10" x14ac:dyDescent="0.35">
      <c r="A808">
        <v>807</v>
      </c>
      <c r="B808" s="1" t="s">
        <v>35</v>
      </c>
      <c r="C808">
        <v>2003</v>
      </c>
      <c r="D808" s="4">
        <v>1.2</v>
      </c>
      <c r="E808" s="5">
        <v>118643</v>
      </c>
      <c r="F808" s="1" t="s">
        <v>16</v>
      </c>
      <c r="G808" s="10">
        <v>13780</v>
      </c>
      <c r="H808" s="1" t="s">
        <v>45</v>
      </c>
      <c r="I808" t="s">
        <v>52</v>
      </c>
      <c r="J808" t="s">
        <v>14</v>
      </c>
    </row>
    <row r="809" spans="1:10" x14ac:dyDescent="0.35">
      <c r="A809">
        <v>808</v>
      </c>
      <c r="B809" s="1" t="s">
        <v>10</v>
      </c>
      <c r="C809">
        <v>2022</v>
      </c>
      <c r="D809" s="4">
        <v>3.1</v>
      </c>
      <c r="E809" s="5">
        <v>210154</v>
      </c>
      <c r="F809" s="1" t="s">
        <v>15</v>
      </c>
      <c r="G809" s="10">
        <v>92015.29</v>
      </c>
      <c r="H809" s="1" t="s">
        <v>19</v>
      </c>
      <c r="I809" t="s">
        <v>13</v>
      </c>
      <c r="J809" t="s">
        <v>14</v>
      </c>
    </row>
    <row r="810" spans="1:10" x14ac:dyDescent="0.35">
      <c r="A810">
        <v>809</v>
      </c>
      <c r="B810" s="1" t="s">
        <v>27</v>
      </c>
      <c r="C810">
        <v>2016</v>
      </c>
      <c r="D810" s="4">
        <v>1.8</v>
      </c>
      <c r="E810" s="5">
        <v>137877</v>
      </c>
      <c r="F810" s="1" t="s">
        <v>16</v>
      </c>
      <c r="G810" s="10">
        <v>78956.84</v>
      </c>
      <c r="H810" s="1" t="s">
        <v>37</v>
      </c>
      <c r="I810" t="s">
        <v>53</v>
      </c>
      <c r="J810" t="s">
        <v>22</v>
      </c>
    </row>
    <row r="811" spans="1:10" x14ac:dyDescent="0.35">
      <c r="A811">
        <v>810</v>
      </c>
      <c r="B811" s="1" t="s">
        <v>35</v>
      </c>
      <c r="C811">
        <v>2022</v>
      </c>
      <c r="D811" s="4">
        <v>5.4</v>
      </c>
      <c r="E811" s="5">
        <v>213396</v>
      </c>
      <c r="F811" s="1" t="s">
        <v>11</v>
      </c>
      <c r="G811" s="10">
        <v>10355.93</v>
      </c>
      <c r="H811" s="1" t="s">
        <v>36</v>
      </c>
      <c r="I811" t="s">
        <v>13</v>
      </c>
      <c r="J811" t="s">
        <v>14</v>
      </c>
    </row>
    <row r="812" spans="1:10" x14ac:dyDescent="0.35">
      <c r="A812">
        <v>811</v>
      </c>
      <c r="B812" s="1" t="s">
        <v>35</v>
      </c>
      <c r="C812">
        <v>2000</v>
      </c>
      <c r="D812" s="4">
        <v>3.8</v>
      </c>
      <c r="E812" s="5">
        <v>225956</v>
      </c>
      <c r="F812" s="1" t="s">
        <v>15</v>
      </c>
      <c r="G812" s="10">
        <v>54881.07</v>
      </c>
      <c r="H812" s="1" t="s">
        <v>36</v>
      </c>
      <c r="I812" t="s">
        <v>53</v>
      </c>
      <c r="J812" t="s">
        <v>22</v>
      </c>
    </row>
    <row r="813" spans="1:10" x14ac:dyDescent="0.35">
      <c r="A813">
        <v>812</v>
      </c>
      <c r="B813" s="1" t="s">
        <v>35</v>
      </c>
      <c r="C813">
        <v>2017</v>
      </c>
      <c r="D813" s="4">
        <v>2.2000000000000002</v>
      </c>
      <c r="E813" s="5">
        <v>181844</v>
      </c>
      <c r="F813" s="1" t="s">
        <v>11</v>
      </c>
      <c r="G813" s="10">
        <v>12920.87</v>
      </c>
      <c r="H813" s="1" t="s">
        <v>45</v>
      </c>
      <c r="I813" t="s">
        <v>51</v>
      </c>
      <c r="J813" t="s">
        <v>14</v>
      </c>
    </row>
    <row r="814" spans="1:10" x14ac:dyDescent="0.35">
      <c r="A814">
        <v>813</v>
      </c>
      <c r="B814" s="1" t="s">
        <v>29</v>
      </c>
      <c r="C814">
        <v>2019</v>
      </c>
      <c r="D814" s="4">
        <v>3.5</v>
      </c>
      <c r="E814" s="5">
        <v>101422</v>
      </c>
      <c r="F814" s="1" t="s">
        <v>15</v>
      </c>
      <c r="G814" s="10">
        <v>84542.54</v>
      </c>
      <c r="H814" s="1" t="s">
        <v>43</v>
      </c>
      <c r="I814" t="s">
        <v>51</v>
      </c>
      <c r="J814" t="s">
        <v>14</v>
      </c>
    </row>
    <row r="815" spans="1:10" x14ac:dyDescent="0.35">
      <c r="A815">
        <v>814</v>
      </c>
      <c r="B815" s="1" t="s">
        <v>25</v>
      </c>
      <c r="C815">
        <v>2016</v>
      </c>
      <c r="D815" s="4">
        <v>4.7</v>
      </c>
      <c r="E815" s="5">
        <v>268774</v>
      </c>
      <c r="F815" s="1" t="s">
        <v>15</v>
      </c>
      <c r="G815" s="10">
        <v>63236.33</v>
      </c>
      <c r="H815" s="1" t="s">
        <v>26</v>
      </c>
      <c r="I815" t="s">
        <v>51</v>
      </c>
      <c r="J815" t="s">
        <v>14</v>
      </c>
    </row>
    <row r="816" spans="1:10" x14ac:dyDescent="0.35">
      <c r="A816">
        <v>815</v>
      </c>
      <c r="B816" s="1" t="s">
        <v>29</v>
      </c>
      <c r="C816">
        <v>2014</v>
      </c>
      <c r="D816" s="4">
        <v>5.8</v>
      </c>
      <c r="E816" s="5">
        <v>277845</v>
      </c>
      <c r="F816" s="1" t="s">
        <v>11</v>
      </c>
      <c r="G816" s="10">
        <v>21382.67</v>
      </c>
      <c r="H816" s="1" t="s">
        <v>31</v>
      </c>
      <c r="I816" t="s">
        <v>13</v>
      </c>
      <c r="J816" t="s">
        <v>14</v>
      </c>
    </row>
    <row r="817" spans="1:10" x14ac:dyDescent="0.35">
      <c r="A817">
        <v>816</v>
      </c>
      <c r="B817" s="1" t="s">
        <v>20</v>
      </c>
      <c r="C817">
        <v>2010</v>
      </c>
      <c r="D817" s="4">
        <v>2.1</v>
      </c>
      <c r="E817" s="5">
        <v>145931</v>
      </c>
      <c r="F817" s="1" t="s">
        <v>16</v>
      </c>
      <c r="G817" s="10">
        <v>6970.43</v>
      </c>
      <c r="H817" s="1" t="s">
        <v>33</v>
      </c>
      <c r="I817" t="s">
        <v>51</v>
      </c>
      <c r="J817" t="s">
        <v>22</v>
      </c>
    </row>
    <row r="818" spans="1:10" x14ac:dyDescent="0.35">
      <c r="A818">
        <v>817</v>
      </c>
      <c r="B818" s="1" t="s">
        <v>27</v>
      </c>
      <c r="C818">
        <v>2021</v>
      </c>
      <c r="D818" s="4">
        <v>5.4</v>
      </c>
      <c r="E818" s="5">
        <v>117556</v>
      </c>
      <c r="F818" s="1" t="s">
        <v>16</v>
      </c>
      <c r="G818" s="10">
        <v>8000.2</v>
      </c>
      <c r="H818" s="1" t="s">
        <v>28</v>
      </c>
      <c r="I818" t="s">
        <v>13</v>
      </c>
      <c r="J818" t="s">
        <v>14</v>
      </c>
    </row>
    <row r="819" spans="1:10" x14ac:dyDescent="0.35">
      <c r="A819">
        <v>818</v>
      </c>
      <c r="B819" s="1" t="s">
        <v>25</v>
      </c>
      <c r="C819">
        <v>2012</v>
      </c>
      <c r="D819" s="4">
        <v>5.7</v>
      </c>
      <c r="E819" s="5">
        <v>228495</v>
      </c>
      <c r="F819" s="1" t="s">
        <v>16</v>
      </c>
      <c r="G819" s="10">
        <v>53199.72</v>
      </c>
      <c r="H819" s="1" t="s">
        <v>26</v>
      </c>
      <c r="I819" t="s">
        <v>13</v>
      </c>
      <c r="J819" t="s">
        <v>14</v>
      </c>
    </row>
    <row r="820" spans="1:10" x14ac:dyDescent="0.35">
      <c r="A820">
        <v>819</v>
      </c>
      <c r="B820" s="1" t="s">
        <v>25</v>
      </c>
      <c r="C820">
        <v>2000</v>
      </c>
      <c r="D820" s="4">
        <v>5.6</v>
      </c>
      <c r="E820" s="5">
        <v>254809</v>
      </c>
      <c r="F820" s="1" t="s">
        <v>16</v>
      </c>
      <c r="G820" s="10">
        <v>74765.48</v>
      </c>
      <c r="H820" s="1" t="s">
        <v>26</v>
      </c>
      <c r="I820" t="s">
        <v>51</v>
      </c>
      <c r="J820" t="s">
        <v>14</v>
      </c>
    </row>
    <row r="821" spans="1:10" x14ac:dyDescent="0.35">
      <c r="A821">
        <v>820</v>
      </c>
      <c r="B821" s="1" t="s">
        <v>25</v>
      </c>
      <c r="C821">
        <v>2016</v>
      </c>
      <c r="D821" s="4">
        <v>4.2</v>
      </c>
      <c r="E821" s="5">
        <v>205384</v>
      </c>
      <c r="F821" s="1" t="s">
        <v>11</v>
      </c>
      <c r="G821" s="10">
        <v>16479.84</v>
      </c>
      <c r="H821" s="1" t="s">
        <v>26</v>
      </c>
      <c r="I821" t="s">
        <v>53</v>
      </c>
      <c r="J821" t="s">
        <v>22</v>
      </c>
    </row>
    <row r="822" spans="1:10" x14ac:dyDescent="0.35">
      <c r="A822">
        <v>821</v>
      </c>
      <c r="B822" s="1" t="s">
        <v>10</v>
      </c>
      <c r="C822">
        <v>2005</v>
      </c>
      <c r="D822" s="4">
        <v>4.0999999999999996</v>
      </c>
      <c r="E822" s="5">
        <v>15021</v>
      </c>
      <c r="F822" s="1" t="s">
        <v>15</v>
      </c>
      <c r="G822" s="10">
        <v>26021.99</v>
      </c>
      <c r="H822" s="1" t="s">
        <v>19</v>
      </c>
      <c r="I822" t="s">
        <v>13</v>
      </c>
      <c r="J822" t="s">
        <v>14</v>
      </c>
    </row>
    <row r="823" spans="1:10" x14ac:dyDescent="0.35">
      <c r="A823">
        <v>822</v>
      </c>
      <c r="B823" s="1" t="s">
        <v>25</v>
      </c>
      <c r="C823">
        <v>2003</v>
      </c>
      <c r="D823" s="4">
        <v>3</v>
      </c>
      <c r="E823" s="5">
        <v>200935</v>
      </c>
      <c r="F823" s="1" t="s">
        <v>11</v>
      </c>
      <c r="G823" s="10">
        <v>36089.69</v>
      </c>
      <c r="H823" s="1" t="s">
        <v>44</v>
      </c>
      <c r="I823" t="s">
        <v>13</v>
      </c>
      <c r="J823" t="s">
        <v>14</v>
      </c>
    </row>
    <row r="824" spans="1:10" x14ac:dyDescent="0.35">
      <c r="A824">
        <v>823</v>
      </c>
      <c r="B824" s="1" t="s">
        <v>29</v>
      </c>
      <c r="C824">
        <v>2019</v>
      </c>
      <c r="D824" s="4">
        <v>4.8</v>
      </c>
      <c r="E824" s="5">
        <v>204222</v>
      </c>
      <c r="F824" s="1" t="s">
        <v>16</v>
      </c>
      <c r="G824" s="10">
        <v>25717.29</v>
      </c>
      <c r="H824" s="1" t="s">
        <v>43</v>
      </c>
      <c r="I824" t="s">
        <v>51</v>
      </c>
      <c r="J824" t="s">
        <v>14</v>
      </c>
    </row>
    <row r="825" spans="1:10" x14ac:dyDescent="0.35">
      <c r="A825">
        <v>824</v>
      </c>
      <c r="B825" s="1" t="s">
        <v>25</v>
      </c>
      <c r="C825">
        <v>2015</v>
      </c>
      <c r="D825" s="4">
        <v>3.7</v>
      </c>
      <c r="E825" s="5">
        <v>64361</v>
      </c>
      <c r="F825" s="1" t="s">
        <v>16</v>
      </c>
      <c r="G825" s="10">
        <v>42176.97</v>
      </c>
      <c r="H825" s="1" t="s">
        <v>26</v>
      </c>
      <c r="I825" t="s">
        <v>13</v>
      </c>
      <c r="J825" t="s">
        <v>22</v>
      </c>
    </row>
    <row r="826" spans="1:10" x14ac:dyDescent="0.35">
      <c r="A826">
        <v>825</v>
      </c>
      <c r="B826" s="1" t="s">
        <v>23</v>
      </c>
      <c r="C826">
        <v>2014</v>
      </c>
      <c r="D826" s="4">
        <v>4.4000000000000004</v>
      </c>
      <c r="E826" s="5">
        <v>272499</v>
      </c>
      <c r="F826" s="1" t="s">
        <v>11</v>
      </c>
      <c r="G826" s="10">
        <v>58163.43</v>
      </c>
      <c r="H826" s="1" t="s">
        <v>24</v>
      </c>
      <c r="I826" t="s">
        <v>53</v>
      </c>
      <c r="J826" t="s">
        <v>14</v>
      </c>
    </row>
    <row r="827" spans="1:10" x14ac:dyDescent="0.35">
      <c r="A827">
        <v>826</v>
      </c>
      <c r="B827" s="1" t="s">
        <v>27</v>
      </c>
      <c r="C827">
        <v>2014</v>
      </c>
      <c r="D827" s="4">
        <v>3.1</v>
      </c>
      <c r="E827" s="5">
        <v>98841</v>
      </c>
      <c r="F827" s="1" t="s">
        <v>15</v>
      </c>
      <c r="G827" s="10">
        <v>70068.990000000005</v>
      </c>
      <c r="H827" s="1" t="s">
        <v>28</v>
      </c>
      <c r="I827" t="s">
        <v>53</v>
      </c>
      <c r="J827" t="s">
        <v>22</v>
      </c>
    </row>
    <row r="828" spans="1:10" x14ac:dyDescent="0.35">
      <c r="A828">
        <v>827</v>
      </c>
      <c r="B828" s="1" t="s">
        <v>25</v>
      </c>
      <c r="C828">
        <v>2005</v>
      </c>
      <c r="D828" s="4">
        <v>4.7</v>
      </c>
      <c r="E828" s="5">
        <v>180076</v>
      </c>
      <c r="F828" s="1" t="s">
        <v>11</v>
      </c>
      <c r="G828" s="10">
        <v>96558.64</v>
      </c>
      <c r="H828" s="1" t="s">
        <v>49</v>
      </c>
      <c r="I828" t="s">
        <v>51</v>
      </c>
      <c r="J828" t="s">
        <v>22</v>
      </c>
    </row>
    <row r="829" spans="1:10" x14ac:dyDescent="0.35">
      <c r="A829">
        <v>828</v>
      </c>
      <c r="B829" s="1" t="s">
        <v>27</v>
      </c>
      <c r="C829">
        <v>2014</v>
      </c>
      <c r="D829" s="4">
        <v>5.0999999999999996</v>
      </c>
      <c r="E829" s="5">
        <v>246300</v>
      </c>
      <c r="F829" s="1" t="s">
        <v>11</v>
      </c>
      <c r="G829" s="10">
        <v>93430.15</v>
      </c>
      <c r="H829" s="1" t="s">
        <v>28</v>
      </c>
      <c r="I829" t="s">
        <v>13</v>
      </c>
      <c r="J829" t="s">
        <v>14</v>
      </c>
    </row>
    <row r="830" spans="1:10" x14ac:dyDescent="0.35">
      <c r="A830">
        <v>829</v>
      </c>
      <c r="B830" s="1" t="s">
        <v>23</v>
      </c>
      <c r="C830">
        <v>2013</v>
      </c>
      <c r="D830" s="4">
        <v>1.7</v>
      </c>
      <c r="E830" s="5">
        <v>160786</v>
      </c>
      <c r="F830" s="1" t="s">
        <v>11</v>
      </c>
      <c r="G830" s="10">
        <v>59162.06</v>
      </c>
      <c r="H830" s="1" t="s">
        <v>24</v>
      </c>
      <c r="I830" t="s">
        <v>52</v>
      </c>
      <c r="J830" t="s">
        <v>14</v>
      </c>
    </row>
    <row r="831" spans="1:10" x14ac:dyDescent="0.35">
      <c r="A831">
        <v>830</v>
      </c>
      <c r="B831" s="1" t="s">
        <v>23</v>
      </c>
      <c r="C831">
        <v>2010</v>
      </c>
      <c r="D831" s="4">
        <v>5.2</v>
      </c>
      <c r="E831" s="5">
        <v>17198</v>
      </c>
      <c r="F831" s="1" t="s">
        <v>15</v>
      </c>
      <c r="G831" s="10">
        <v>74744.259999999995</v>
      </c>
      <c r="H831" s="1" t="s">
        <v>24</v>
      </c>
      <c r="I831" t="s">
        <v>52</v>
      </c>
      <c r="J831" t="s">
        <v>14</v>
      </c>
    </row>
    <row r="832" spans="1:10" x14ac:dyDescent="0.35">
      <c r="A832">
        <v>831</v>
      </c>
      <c r="B832" s="1" t="s">
        <v>27</v>
      </c>
      <c r="C832">
        <v>2006</v>
      </c>
      <c r="D832" s="4">
        <v>3.7</v>
      </c>
      <c r="E832" s="5">
        <v>258466</v>
      </c>
      <c r="F832" s="1" t="s">
        <v>11</v>
      </c>
      <c r="G832" s="10">
        <v>95332.86</v>
      </c>
      <c r="H832" s="1" t="s">
        <v>48</v>
      </c>
      <c r="I832" t="s">
        <v>13</v>
      </c>
      <c r="J832" t="s">
        <v>22</v>
      </c>
    </row>
    <row r="833" spans="1:10" x14ac:dyDescent="0.35">
      <c r="A833">
        <v>832</v>
      </c>
      <c r="B833" s="1" t="s">
        <v>35</v>
      </c>
      <c r="C833">
        <v>2008</v>
      </c>
      <c r="D833" s="4">
        <v>5.2</v>
      </c>
      <c r="E833" s="5">
        <v>18740</v>
      </c>
      <c r="F833" s="1" t="s">
        <v>11</v>
      </c>
      <c r="G833" s="10">
        <v>12929.83</v>
      </c>
      <c r="H833" s="1" t="s">
        <v>45</v>
      </c>
      <c r="I833" t="s">
        <v>13</v>
      </c>
      <c r="J833" t="s">
        <v>22</v>
      </c>
    </row>
    <row r="834" spans="1:10" x14ac:dyDescent="0.35">
      <c r="A834">
        <v>833</v>
      </c>
      <c r="B834" s="1" t="s">
        <v>20</v>
      </c>
      <c r="C834">
        <v>2015</v>
      </c>
      <c r="D834" s="4">
        <v>3.2</v>
      </c>
      <c r="E834" s="5">
        <v>265954</v>
      </c>
      <c r="F834" s="1" t="s">
        <v>16</v>
      </c>
      <c r="G834" s="10">
        <v>5535.3</v>
      </c>
      <c r="H834" s="1" t="s">
        <v>21</v>
      </c>
      <c r="I834" t="s">
        <v>13</v>
      </c>
      <c r="J834" t="s">
        <v>22</v>
      </c>
    </row>
    <row r="835" spans="1:10" x14ac:dyDescent="0.35">
      <c r="A835">
        <v>834</v>
      </c>
      <c r="B835" s="1" t="s">
        <v>10</v>
      </c>
      <c r="C835">
        <v>2004</v>
      </c>
      <c r="D835" s="4">
        <v>2.9</v>
      </c>
      <c r="E835" s="5">
        <v>258308</v>
      </c>
      <c r="F835" s="1" t="s">
        <v>11</v>
      </c>
      <c r="G835" s="10">
        <v>7830.98</v>
      </c>
      <c r="H835" s="1" t="s">
        <v>17</v>
      </c>
      <c r="I835" t="s">
        <v>13</v>
      </c>
      <c r="J835" t="s">
        <v>14</v>
      </c>
    </row>
    <row r="836" spans="1:10" x14ac:dyDescent="0.35">
      <c r="A836">
        <v>835</v>
      </c>
      <c r="B836" s="1" t="s">
        <v>35</v>
      </c>
      <c r="C836">
        <v>2019</v>
      </c>
      <c r="D836" s="4">
        <v>5.6</v>
      </c>
      <c r="E836" s="5">
        <v>99855</v>
      </c>
      <c r="F836" s="1" t="s">
        <v>16</v>
      </c>
      <c r="G836" s="10">
        <v>58518.19</v>
      </c>
      <c r="H836" s="1" t="s">
        <v>45</v>
      </c>
      <c r="I836" t="s">
        <v>53</v>
      </c>
      <c r="J836" t="s">
        <v>14</v>
      </c>
    </row>
    <row r="837" spans="1:10" x14ac:dyDescent="0.35">
      <c r="A837">
        <v>836</v>
      </c>
      <c r="B837" s="1" t="s">
        <v>35</v>
      </c>
      <c r="C837">
        <v>2009</v>
      </c>
      <c r="D837" s="4">
        <v>2.2999999999999998</v>
      </c>
      <c r="E837" s="5">
        <v>210192</v>
      </c>
      <c r="F837" s="1" t="s">
        <v>16</v>
      </c>
      <c r="G837" s="10">
        <v>77469.179999999993</v>
      </c>
      <c r="H837" s="1" t="s">
        <v>50</v>
      </c>
      <c r="I837" t="s">
        <v>52</v>
      </c>
      <c r="J837" t="s">
        <v>22</v>
      </c>
    </row>
    <row r="838" spans="1:10" x14ac:dyDescent="0.35">
      <c r="A838">
        <v>837</v>
      </c>
      <c r="B838" s="1" t="s">
        <v>29</v>
      </c>
      <c r="C838">
        <v>2017</v>
      </c>
      <c r="D838" s="4">
        <v>5.2</v>
      </c>
      <c r="E838" s="5">
        <v>288927</v>
      </c>
      <c r="F838" s="1" t="s">
        <v>16</v>
      </c>
      <c r="G838" s="10">
        <v>39872.120000000003</v>
      </c>
      <c r="H838" s="1" t="s">
        <v>30</v>
      </c>
      <c r="I838" t="s">
        <v>51</v>
      </c>
      <c r="J838" t="s">
        <v>22</v>
      </c>
    </row>
    <row r="839" spans="1:10" x14ac:dyDescent="0.35">
      <c r="A839">
        <v>838</v>
      </c>
      <c r="B839" s="1" t="s">
        <v>10</v>
      </c>
      <c r="C839">
        <v>2002</v>
      </c>
      <c r="D839" s="4">
        <v>3.4</v>
      </c>
      <c r="E839" s="5">
        <v>121701</v>
      </c>
      <c r="F839" s="1" t="s">
        <v>15</v>
      </c>
      <c r="G839" s="10">
        <v>56797.72</v>
      </c>
      <c r="H839" s="1" t="s">
        <v>17</v>
      </c>
      <c r="I839" t="s">
        <v>13</v>
      </c>
      <c r="J839" t="s">
        <v>14</v>
      </c>
    </row>
    <row r="840" spans="1:10" x14ac:dyDescent="0.35">
      <c r="A840">
        <v>839</v>
      </c>
      <c r="B840" s="1" t="s">
        <v>10</v>
      </c>
      <c r="C840">
        <v>2012</v>
      </c>
      <c r="D840" s="4">
        <v>3.6</v>
      </c>
      <c r="E840" s="5">
        <v>271615</v>
      </c>
      <c r="F840" s="1" t="s">
        <v>16</v>
      </c>
      <c r="G840" s="10">
        <v>54054.8</v>
      </c>
      <c r="H840" s="1" t="s">
        <v>17</v>
      </c>
      <c r="I840" t="s">
        <v>13</v>
      </c>
      <c r="J840" t="s">
        <v>14</v>
      </c>
    </row>
    <row r="841" spans="1:10" x14ac:dyDescent="0.35">
      <c r="A841">
        <v>840</v>
      </c>
      <c r="B841" s="1" t="s">
        <v>35</v>
      </c>
      <c r="C841">
        <v>2010</v>
      </c>
      <c r="D841" s="4">
        <v>2.5</v>
      </c>
      <c r="E841" s="5">
        <v>110771</v>
      </c>
      <c r="F841" s="1" t="s">
        <v>11</v>
      </c>
      <c r="G841" s="10">
        <v>14003.23</v>
      </c>
      <c r="H841" s="1" t="s">
        <v>45</v>
      </c>
      <c r="I841" t="s">
        <v>53</v>
      </c>
      <c r="J841" t="s">
        <v>14</v>
      </c>
    </row>
    <row r="842" spans="1:10" x14ac:dyDescent="0.35">
      <c r="A842">
        <v>841</v>
      </c>
      <c r="B842" s="1" t="s">
        <v>25</v>
      </c>
      <c r="C842">
        <v>2016</v>
      </c>
      <c r="D842" s="4">
        <v>3.9</v>
      </c>
      <c r="E842" s="5">
        <v>6163</v>
      </c>
      <c r="F842" s="1" t="s">
        <v>11</v>
      </c>
      <c r="G842" s="10">
        <v>35550.89</v>
      </c>
      <c r="H842" s="1" t="s">
        <v>41</v>
      </c>
      <c r="I842" t="s">
        <v>13</v>
      </c>
      <c r="J842" t="s">
        <v>14</v>
      </c>
    </row>
    <row r="843" spans="1:10" x14ac:dyDescent="0.35">
      <c r="A843">
        <v>842</v>
      </c>
      <c r="B843" s="1" t="s">
        <v>29</v>
      </c>
      <c r="C843">
        <v>2021</v>
      </c>
      <c r="D843" s="4">
        <v>2.6</v>
      </c>
      <c r="E843" s="5">
        <v>16065</v>
      </c>
      <c r="F843" s="1" t="s">
        <v>16</v>
      </c>
      <c r="G843" s="10">
        <v>6846.34</v>
      </c>
      <c r="H843" s="1" t="s">
        <v>43</v>
      </c>
      <c r="I843" t="s">
        <v>51</v>
      </c>
      <c r="J843" t="s">
        <v>22</v>
      </c>
    </row>
    <row r="844" spans="1:10" x14ac:dyDescent="0.35">
      <c r="A844">
        <v>843</v>
      </c>
      <c r="B844" s="1" t="s">
        <v>29</v>
      </c>
      <c r="C844">
        <v>2012</v>
      </c>
      <c r="D844" s="4">
        <v>1.2</v>
      </c>
      <c r="E844" s="5">
        <v>241262</v>
      </c>
      <c r="F844" s="1" t="s">
        <v>16</v>
      </c>
      <c r="G844" s="10">
        <v>15517.04</v>
      </c>
      <c r="H844" s="1" t="s">
        <v>31</v>
      </c>
      <c r="I844" t="s">
        <v>51</v>
      </c>
      <c r="J844" t="s">
        <v>22</v>
      </c>
    </row>
    <row r="845" spans="1:10" x14ac:dyDescent="0.35">
      <c r="A845">
        <v>844</v>
      </c>
      <c r="B845" s="1" t="s">
        <v>23</v>
      </c>
      <c r="C845">
        <v>2005</v>
      </c>
      <c r="D845" s="4">
        <v>2.4</v>
      </c>
      <c r="E845" s="5">
        <v>248924</v>
      </c>
      <c r="F845" s="1" t="s">
        <v>11</v>
      </c>
      <c r="G845" s="10">
        <v>82126.53</v>
      </c>
      <c r="H845" s="1" t="s">
        <v>42</v>
      </c>
      <c r="I845" t="s">
        <v>53</v>
      </c>
      <c r="J845" t="s">
        <v>14</v>
      </c>
    </row>
    <row r="846" spans="1:10" x14ac:dyDescent="0.35">
      <c r="A846">
        <v>845</v>
      </c>
      <c r="B846" s="1" t="s">
        <v>10</v>
      </c>
      <c r="C846">
        <v>2016</v>
      </c>
      <c r="D846" s="4">
        <v>1</v>
      </c>
      <c r="E846" s="5">
        <v>179420</v>
      </c>
      <c r="F846" s="1" t="s">
        <v>16</v>
      </c>
      <c r="G846" s="10">
        <v>83794.28</v>
      </c>
      <c r="H846" s="1" t="s">
        <v>18</v>
      </c>
      <c r="I846" t="s">
        <v>13</v>
      </c>
      <c r="J846" t="s">
        <v>14</v>
      </c>
    </row>
    <row r="847" spans="1:10" x14ac:dyDescent="0.35">
      <c r="A847">
        <v>846</v>
      </c>
      <c r="B847" s="1" t="s">
        <v>35</v>
      </c>
      <c r="C847">
        <v>2012</v>
      </c>
      <c r="D847" s="4">
        <v>5.9</v>
      </c>
      <c r="E847" s="5">
        <v>281298</v>
      </c>
      <c r="F847" s="1" t="s">
        <v>15</v>
      </c>
      <c r="G847" s="10">
        <v>81184.899999999994</v>
      </c>
      <c r="H847" s="1" t="s">
        <v>47</v>
      </c>
      <c r="I847" t="s">
        <v>52</v>
      </c>
      <c r="J847" t="s">
        <v>14</v>
      </c>
    </row>
    <row r="848" spans="1:10" x14ac:dyDescent="0.35">
      <c r="A848">
        <v>847</v>
      </c>
      <c r="B848" s="1" t="s">
        <v>23</v>
      </c>
      <c r="C848">
        <v>2018</v>
      </c>
      <c r="D848" s="4">
        <v>5.8</v>
      </c>
      <c r="E848" s="5">
        <v>20229</v>
      </c>
      <c r="F848" s="1" t="s">
        <v>16</v>
      </c>
      <c r="G848" s="10">
        <v>74047.77</v>
      </c>
      <c r="H848" s="1" t="s">
        <v>34</v>
      </c>
      <c r="I848" t="s">
        <v>51</v>
      </c>
      <c r="J848" t="s">
        <v>14</v>
      </c>
    </row>
    <row r="849" spans="1:10" x14ac:dyDescent="0.35">
      <c r="A849">
        <v>848</v>
      </c>
      <c r="B849" s="1" t="s">
        <v>27</v>
      </c>
      <c r="C849">
        <v>2020</v>
      </c>
      <c r="D849" s="4">
        <v>3</v>
      </c>
      <c r="E849" s="5">
        <v>250470</v>
      </c>
      <c r="F849" s="1" t="s">
        <v>15</v>
      </c>
      <c r="G849" s="10">
        <v>80364.72</v>
      </c>
      <c r="H849" s="1" t="s">
        <v>40</v>
      </c>
      <c r="I849" t="s">
        <v>51</v>
      </c>
      <c r="J849" t="s">
        <v>14</v>
      </c>
    </row>
    <row r="850" spans="1:10" x14ac:dyDescent="0.35">
      <c r="A850">
        <v>849</v>
      </c>
      <c r="B850" s="1" t="s">
        <v>20</v>
      </c>
      <c r="C850">
        <v>2018</v>
      </c>
      <c r="D850" s="4">
        <v>4.5999999999999996</v>
      </c>
      <c r="E850" s="5">
        <v>158069</v>
      </c>
      <c r="F850" s="1" t="s">
        <v>15</v>
      </c>
      <c r="G850" s="10">
        <v>68743.320000000007</v>
      </c>
      <c r="H850" s="1" t="s">
        <v>21</v>
      </c>
      <c r="I850" t="s">
        <v>51</v>
      </c>
      <c r="J850" t="s">
        <v>22</v>
      </c>
    </row>
    <row r="851" spans="1:10" x14ac:dyDescent="0.35">
      <c r="A851">
        <v>850</v>
      </c>
      <c r="B851" s="1" t="s">
        <v>29</v>
      </c>
      <c r="C851">
        <v>2009</v>
      </c>
      <c r="D851" s="4">
        <v>2.7</v>
      </c>
      <c r="E851" s="5">
        <v>21101</v>
      </c>
      <c r="F851" s="1" t="s">
        <v>15</v>
      </c>
      <c r="G851" s="10">
        <v>68634.17</v>
      </c>
      <c r="H851" s="1" t="s">
        <v>38</v>
      </c>
      <c r="I851" t="s">
        <v>52</v>
      </c>
      <c r="J851" t="s">
        <v>14</v>
      </c>
    </row>
    <row r="852" spans="1:10" x14ac:dyDescent="0.35">
      <c r="A852">
        <v>851</v>
      </c>
      <c r="B852" s="1" t="s">
        <v>27</v>
      </c>
      <c r="C852">
        <v>2002</v>
      </c>
      <c r="D852" s="4">
        <v>4.4000000000000004</v>
      </c>
      <c r="E852" s="5">
        <v>40391</v>
      </c>
      <c r="F852" s="1" t="s">
        <v>16</v>
      </c>
      <c r="G852" s="10">
        <v>68399.37</v>
      </c>
      <c r="H852" s="1" t="s">
        <v>37</v>
      </c>
      <c r="I852" t="s">
        <v>13</v>
      </c>
      <c r="J852" t="s">
        <v>14</v>
      </c>
    </row>
    <row r="853" spans="1:10" x14ac:dyDescent="0.35">
      <c r="A853">
        <v>852</v>
      </c>
      <c r="B853" s="1" t="s">
        <v>27</v>
      </c>
      <c r="C853">
        <v>2013</v>
      </c>
      <c r="D853" s="4">
        <v>5</v>
      </c>
      <c r="E853" s="5">
        <v>206935</v>
      </c>
      <c r="F853" s="1" t="s">
        <v>15</v>
      </c>
      <c r="G853" s="10">
        <v>53834.07</v>
      </c>
      <c r="H853" s="1" t="s">
        <v>37</v>
      </c>
      <c r="I853" t="s">
        <v>51</v>
      </c>
      <c r="J853" t="s">
        <v>14</v>
      </c>
    </row>
    <row r="854" spans="1:10" x14ac:dyDescent="0.35">
      <c r="A854">
        <v>853</v>
      </c>
      <c r="B854" s="1" t="s">
        <v>25</v>
      </c>
      <c r="C854">
        <v>2018</v>
      </c>
      <c r="D854" s="4">
        <v>5.7</v>
      </c>
      <c r="E854" s="5">
        <v>72723</v>
      </c>
      <c r="F854" s="1" t="s">
        <v>15</v>
      </c>
      <c r="G854" s="10">
        <v>39517.99</v>
      </c>
      <c r="H854" s="1" t="s">
        <v>26</v>
      </c>
      <c r="I854" t="s">
        <v>53</v>
      </c>
      <c r="J854" t="s">
        <v>22</v>
      </c>
    </row>
    <row r="855" spans="1:10" x14ac:dyDescent="0.35">
      <c r="A855">
        <v>854</v>
      </c>
      <c r="B855" s="1" t="s">
        <v>20</v>
      </c>
      <c r="C855">
        <v>2004</v>
      </c>
      <c r="D855" s="4">
        <v>3</v>
      </c>
      <c r="E855" s="5">
        <v>226293</v>
      </c>
      <c r="F855" s="1" t="s">
        <v>16</v>
      </c>
      <c r="G855" s="10">
        <v>74368.55</v>
      </c>
      <c r="H855" s="1" t="s">
        <v>21</v>
      </c>
      <c r="I855" t="s">
        <v>52</v>
      </c>
      <c r="J855" t="s">
        <v>22</v>
      </c>
    </row>
    <row r="856" spans="1:10" x14ac:dyDescent="0.35">
      <c r="A856">
        <v>855</v>
      </c>
      <c r="B856" s="1" t="s">
        <v>27</v>
      </c>
      <c r="C856">
        <v>2004</v>
      </c>
      <c r="D856" s="4">
        <v>4.9000000000000004</v>
      </c>
      <c r="E856" s="5">
        <v>190477</v>
      </c>
      <c r="F856" s="1" t="s">
        <v>15</v>
      </c>
      <c r="G856" s="10">
        <v>33371.370000000003</v>
      </c>
      <c r="H856" s="1" t="s">
        <v>28</v>
      </c>
      <c r="I856" t="s">
        <v>53</v>
      </c>
      <c r="J856" t="s">
        <v>14</v>
      </c>
    </row>
    <row r="857" spans="1:10" x14ac:dyDescent="0.35">
      <c r="A857">
        <v>856</v>
      </c>
      <c r="B857" s="1" t="s">
        <v>27</v>
      </c>
      <c r="C857">
        <v>2019</v>
      </c>
      <c r="D857" s="4">
        <v>2.2999999999999998</v>
      </c>
      <c r="E857" s="5">
        <v>166020</v>
      </c>
      <c r="F857" s="1" t="s">
        <v>16</v>
      </c>
      <c r="G857" s="10">
        <v>56575.7</v>
      </c>
      <c r="H857" s="1" t="s">
        <v>40</v>
      </c>
      <c r="I857" t="s">
        <v>51</v>
      </c>
      <c r="J857" t="s">
        <v>14</v>
      </c>
    </row>
    <row r="858" spans="1:10" x14ac:dyDescent="0.35">
      <c r="A858">
        <v>857</v>
      </c>
      <c r="B858" s="1" t="s">
        <v>20</v>
      </c>
      <c r="C858">
        <v>2016</v>
      </c>
      <c r="D858" s="4">
        <v>6</v>
      </c>
      <c r="E858" s="5">
        <v>290604</v>
      </c>
      <c r="F858" s="1" t="s">
        <v>11</v>
      </c>
      <c r="G858" s="10">
        <v>46168.78</v>
      </c>
      <c r="H858" s="1" t="s">
        <v>39</v>
      </c>
      <c r="I858" t="s">
        <v>53</v>
      </c>
      <c r="J858" t="s">
        <v>22</v>
      </c>
    </row>
    <row r="859" spans="1:10" x14ac:dyDescent="0.35">
      <c r="A859">
        <v>858</v>
      </c>
      <c r="B859" s="1" t="s">
        <v>20</v>
      </c>
      <c r="C859">
        <v>2020</v>
      </c>
      <c r="D859" s="4">
        <v>1.1000000000000001</v>
      </c>
      <c r="E859" s="5">
        <v>197190</v>
      </c>
      <c r="F859" s="1" t="s">
        <v>15</v>
      </c>
      <c r="G859" s="10">
        <v>31279.119999999999</v>
      </c>
      <c r="H859" s="1" t="s">
        <v>33</v>
      </c>
      <c r="I859" t="s">
        <v>51</v>
      </c>
      <c r="J859" t="s">
        <v>22</v>
      </c>
    </row>
    <row r="860" spans="1:10" x14ac:dyDescent="0.35">
      <c r="A860">
        <v>859</v>
      </c>
      <c r="B860" s="1" t="s">
        <v>27</v>
      </c>
      <c r="C860">
        <v>2009</v>
      </c>
      <c r="D860" s="4">
        <v>4</v>
      </c>
      <c r="E860" s="5">
        <v>179354</v>
      </c>
      <c r="F860" s="1" t="s">
        <v>16</v>
      </c>
      <c r="G860" s="10">
        <v>97595.54</v>
      </c>
      <c r="H860" s="1" t="s">
        <v>37</v>
      </c>
      <c r="I860" t="s">
        <v>52</v>
      </c>
      <c r="J860" t="s">
        <v>22</v>
      </c>
    </row>
    <row r="861" spans="1:10" x14ac:dyDescent="0.35">
      <c r="A861">
        <v>860</v>
      </c>
      <c r="B861" s="1" t="s">
        <v>20</v>
      </c>
      <c r="C861">
        <v>2004</v>
      </c>
      <c r="D861" s="4">
        <v>4.3</v>
      </c>
      <c r="E861" s="5">
        <v>91725</v>
      </c>
      <c r="F861" s="1" t="s">
        <v>11</v>
      </c>
      <c r="G861" s="10">
        <v>29581.41</v>
      </c>
      <c r="H861" s="1" t="s">
        <v>39</v>
      </c>
      <c r="I861" t="s">
        <v>53</v>
      </c>
      <c r="J861" t="s">
        <v>22</v>
      </c>
    </row>
    <row r="862" spans="1:10" x14ac:dyDescent="0.35">
      <c r="A862">
        <v>861</v>
      </c>
      <c r="B862" s="1" t="s">
        <v>27</v>
      </c>
      <c r="C862">
        <v>2003</v>
      </c>
      <c r="D862" s="4">
        <v>4.4000000000000004</v>
      </c>
      <c r="E862" s="5">
        <v>212139</v>
      </c>
      <c r="F862" s="1" t="s">
        <v>15</v>
      </c>
      <c r="G862" s="10">
        <v>34382.839999999997</v>
      </c>
      <c r="H862" s="1" t="s">
        <v>37</v>
      </c>
      <c r="I862" t="s">
        <v>53</v>
      </c>
      <c r="J862" t="s">
        <v>14</v>
      </c>
    </row>
    <row r="863" spans="1:10" x14ac:dyDescent="0.35">
      <c r="A863">
        <v>862</v>
      </c>
      <c r="B863" s="1" t="s">
        <v>27</v>
      </c>
      <c r="C863">
        <v>2005</v>
      </c>
      <c r="D863" s="4">
        <v>1.6</v>
      </c>
      <c r="E863" s="5">
        <v>85779</v>
      </c>
      <c r="F863" s="1" t="s">
        <v>15</v>
      </c>
      <c r="G863" s="10">
        <v>20350.810000000001</v>
      </c>
      <c r="H863" s="1" t="s">
        <v>37</v>
      </c>
      <c r="I863" t="s">
        <v>51</v>
      </c>
      <c r="J863" t="s">
        <v>22</v>
      </c>
    </row>
    <row r="864" spans="1:10" x14ac:dyDescent="0.35">
      <c r="A864">
        <v>863</v>
      </c>
      <c r="B864" s="1" t="s">
        <v>25</v>
      </c>
      <c r="C864">
        <v>2003</v>
      </c>
      <c r="D864" s="4">
        <v>5.7</v>
      </c>
      <c r="E864" s="5">
        <v>3060</v>
      </c>
      <c r="F864" s="1" t="s">
        <v>16</v>
      </c>
      <c r="G864" s="10">
        <v>83183.16</v>
      </c>
      <c r="H864" s="1" t="s">
        <v>41</v>
      </c>
      <c r="I864" t="s">
        <v>51</v>
      </c>
      <c r="J864" t="s">
        <v>14</v>
      </c>
    </row>
    <row r="865" spans="1:10" x14ac:dyDescent="0.35">
      <c r="A865">
        <v>864</v>
      </c>
      <c r="B865" s="1" t="s">
        <v>35</v>
      </c>
      <c r="C865">
        <v>2006</v>
      </c>
      <c r="D865" s="4">
        <v>1.9</v>
      </c>
      <c r="E865" s="5">
        <v>125806</v>
      </c>
      <c r="F865" s="1" t="s">
        <v>11</v>
      </c>
      <c r="G865" s="10">
        <v>60725.99</v>
      </c>
      <c r="H865" s="1" t="s">
        <v>50</v>
      </c>
      <c r="I865" t="s">
        <v>13</v>
      </c>
      <c r="J865" t="s">
        <v>14</v>
      </c>
    </row>
    <row r="866" spans="1:10" x14ac:dyDescent="0.35">
      <c r="A866">
        <v>865</v>
      </c>
      <c r="B866" s="1" t="s">
        <v>27</v>
      </c>
      <c r="C866">
        <v>2006</v>
      </c>
      <c r="D866" s="4">
        <v>4.0999999999999996</v>
      </c>
      <c r="E866" s="5">
        <v>275875</v>
      </c>
      <c r="F866" s="1" t="s">
        <v>16</v>
      </c>
      <c r="G866" s="10">
        <v>63238.73</v>
      </c>
      <c r="H866" s="1" t="s">
        <v>37</v>
      </c>
      <c r="I866" t="s">
        <v>51</v>
      </c>
      <c r="J866" t="s">
        <v>22</v>
      </c>
    </row>
    <row r="867" spans="1:10" x14ac:dyDescent="0.35">
      <c r="A867">
        <v>866</v>
      </c>
      <c r="B867" s="1" t="s">
        <v>23</v>
      </c>
      <c r="C867">
        <v>2017</v>
      </c>
      <c r="D867" s="4">
        <v>2.1</v>
      </c>
      <c r="E867" s="5">
        <v>115871</v>
      </c>
      <c r="F867" s="1" t="s">
        <v>15</v>
      </c>
      <c r="G867" s="10">
        <v>82953.33</v>
      </c>
      <c r="H867" s="1" t="s">
        <v>24</v>
      </c>
      <c r="I867" t="s">
        <v>51</v>
      </c>
      <c r="J867" t="s">
        <v>22</v>
      </c>
    </row>
    <row r="868" spans="1:10" x14ac:dyDescent="0.35">
      <c r="A868">
        <v>867</v>
      </c>
      <c r="B868" s="1" t="s">
        <v>29</v>
      </c>
      <c r="C868">
        <v>2002</v>
      </c>
      <c r="D868" s="4">
        <v>2.5</v>
      </c>
      <c r="E868" s="5">
        <v>20719</v>
      </c>
      <c r="F868" s="1" t="s">
        <v>15</v>
      </c>
      <c r="G868" s="10">
        <v>37577.370000000003</v>
      </c>
      <c r="H868" s="1" t="s">
        <v>38</v>
      </c>
      <c r="I868" t="s">
        <v>13</v>
      </c>
      <c r="J868" t="s">
        <v>22</v>
      </c>
    </row>
    <row r="869" spans="1:10" x14ac:dyDescent="0.35">
      <c r="A869">
        <v>868</v>
      </c>
      <c r="B869" s="1" t="s">
        <v>10</v>
      </c>
      <c r="C869">
        <v>2000</v>
      </c>
      <c r="D869" s="4">
        <v>3.7</v>
      </c>
      <c r="E869" s="5">
        <v>49116</v>
      </c>
      <c r="F869" s="1" t="s">
        <v>15</v>
      </c>
      <c r="G869" s="10">
        <v>23395.18</v>
      </c>
      <c r="H869" s="1" t="s">
        <v>18</v>
      </c>
      <c r="I869" t="s">
        <v>13</v>
      </c>
      <c r="J869" t="s">
        <v>14</v>
      </c>
    </row>
    <row r="870" spans="1:10" x14ac:dyDescent="0.35">
      <c r="A870">
        <v>869</v>
      </c>
      <c r="B870" s="1" t="s">
        <v>35</v>
      </c>
      <c r="C870">
        <v>2023</v>
      </c>
      <c r="D870" s="4">
        <v>3.1</v>
      </c>
      <c r="E870" s="5">
        <v>26325</v>
      </c>
      <c r="F870" s="1" t="s">
        <v>15</v>
      </c>
      <c r="G870" s="10">
        <v>23848.51</v>
      </c>
      <c r="H870" s="1" t="s">
        <v>50</v>
      </c>
      <c r="I870" t="s">
        <v>51</v>
      </c>
      <c r="J870" t="s">
        <v>14</v>
      </c>
    </row>
    <row r="871" spans="1:10" x14ac:dyDescent="0.35">
      <c r="A871">
        <v>870</v>
      </c>
      <c r="B871" s="1" t="s">
        <v>35</v>
      </c>
      <c r="C871">
        <v>2003</v>
      </c>
      <c r="D871" s="4">
        <v>1.8</v>
      </c>
      <c r="E871" s="5">
        <v>14551</v>
      </c>
      <c r="F871" s="1" t="s">
        <v>11</v>
      </c>
      <c r="G871" s="10">
        <v>74598.880000000005</v>
      </c>
      <c r="H871" s="1" t="s">
        <v>50</v>
      </c>
      <c r="I871" t="s">
        <v>13</v>
      </c>
      <c r="J871" t="s">
        <v>14</v>
      </c>
    </row>
    <row r="872" spans="1:10" x14ac:dyDescent="0.35">
      <c r="A872">
        <v>871</v>
      </c>
      <c r="B872" s="1" t="s">
        <v>35</v>
      </c>
      <c r="C872">
        <v>2005</v>
      </c>
      <c r="D872" s="4">
        <v>1.9</v>
      </c>
      <c r="E872" s="5">
        <v>286422</v>
      </c>
      <c r="F872" s="1" t="s">
        <v>11</v>
      </c>
      <c r="G872" s="10">
        <v>63340.94</v>
      </c>
      <c r="H872" s="1" t="s">
        <v>36</v>
      </c>
      <c r="I872" t="s">
        <v>52</v>
      </c>
      <c r="J872" t="s">
        <v>14</v>
      </c>
    </row>
    <row r="873" spans="1:10" x14ac:dyDescent="0.35">
      <c r="A873">
        <v>872</v>
      </c>
      <c r="B873" s="1" t="s">
        <v>25</v>
      </c>
      <c r="C873">
        <v>2008</v>
      </c>
      <c r="D873" s="4">
        <v>3.1</v>
      </c>
      <c r="E873" s="5">
        <v>15141</v>
      </c>
      <c r="F873" s="1" t="s">
        <v>16</v>
      </c>
      <c r="G873" s="10">
        <v>24602.19</v>
      </c>
      <c r="H873" s="1" t="s">
        <v>26</v>
      </c>
      <c r="I873" t="s">
        <v>52</v>
      </c>
      <c r="J873" t="s">
        <v>22</v>
      </c>
    </row>
    <row r="874" spans="1:10" x14ac:dyDescent="0.35">
      <c r="A874">
        <v>873</v>
      </c>
      <c r="B874" s="1" t="s">
        <v>27</v>
      </c>
      <c r="C874">
        <v>2021</v>
      </c>
      <c r="D874" s="4">
        <v>4.8</v>
      </c>
      <c r="E874" s="5">
        <v>295759</v>
      </c>
      <c r="F874" s="1" t="s">
        <v>16</v>
      </c>
      <c r="G874" s="10">
        <v>18781.21</v>
      </c>
      <c r="H874" s="1" t="s">
        <v>48</v>
      </c>
      <c r="I874" t="s">
        <v>51</v>
      </c>
      <c r="J874" t="s">
        <v>14</v>
      </c>
    </row>
    <row r="875" spans="1:10" x14ac:dyDescent="0.35">
      <c r="A875">
        <v>874</v>
      </c>
      <c r="B875" s="1" t="s">
        <v>25</v>
      </c>
      <c r="C875">
        <v>2013</v>
      </c>
      <c r="D875" s="4">
        <v>5.5</v>
      </c>
      <c r="E875" s="5">
        <v>122058</v>
      </c>
      <c r="F875" s="1" t="s">
        <v>16</v>
      </c>
      <c r="G875" s="10">
        <v>16465.29</v>
      </c>
      <c r="H875" s="1" t="s">
        <v>41</v>
      </c>
      <c r="I875" t="s">
        <v>51</v>
      </c>
      <c r="J875" t="s">
        <v>22</v>
      </c>
    </row>
    <row r="876" spans="1:10" x14ac:dyDescent="0.35">
      <c r="A876">
        <v>875</v>
      </c>
      <c r="B876" s="1" t="s">
        <v>27</v>
      </c>
      <c r="C876">
        <v>2011</v>
      </c>
      <c r="D876" s="4">
        <v>1.4</v>
      </c>
      <c r="E876" s="5">
        <v>193823</v>
      </c>
      <c r="F876" s="1" t="s">
        <v>15</v>
      </c>
      <c r="G876" s="10">
        <v>64640.87</v>
      </c>
      <c r="H876" s="1" t="s">
        <v>48</v>
      </c>
      <c r="I876" t="s">
        <v>13</v>
      </c>
      <c r="J876" t="s">
        <v>14</v>
      </c>
    </row>
    <row r="877" spans="1:10" x14ac:dyDescent="0.35">
      <c r="A877">
        <v>876</v>
      </c>
      <c r="B877" s="1" t="s">
        <v>25</v>
      </c>
      <c r="C877">
        <v>2019</v>
      </c>
      <c r="D877" s="4">
        <v>3</v>
      </c>
      <c r="E877" s="5">
        <v>112684</v>
      </c>
      <c r="F877" s="1" t="s">
        <v>16</v>
      </c>
      <c r="G877" s="10">
        <v>5011.2700000000004</v>
      </c>
      <c r="H877" s="1" t="s">
        <v>41</v>
      </c>
      <c r="I877" t="s">
        <v>13</v>
      </c>
      <c r="J877" t="s">
        <v>22</v>
      </c>
    </row>
    <row r="878" spans="1:10" x14ac:dyDescent="0.35">
      <c r="A878">
        <v>877</v>
      </c>
      <c r="B878" s="1" t="s">
        <v>25</v>
      </c>
      <c r="C878">
        <v>2023</v>
      </c>
      <c r="D878" s="4">
        <v>1.5</v>
      </c>
      <c r="E878" s="5">
        <v>289596</v>
      </c>
      <c r="F878" s="1" t="s">
        <v>11</v>
      </c>
      <c r="G878" s="10">
        <v>6740.34</v>
      </c>
      <c r="H878" s="1" t="s">
        <v>49</v>
      </c>
      <c r="I878" t="s">
        <v>52</v>
      </c>
      <c r="J878" t="s">
        <v>14</v>
      </c>
    </row>
    <row r="879" spans="1:10" x14ac:dyDescent="0.35">
      <c r="A879">
        <v>878</v>
      </c>
      <c r="B879" s="1" t="s">
        <v>29</v>
      </c>
      <c r="C879">
        <v>2003</v>
      </c>
      <c r="D879" s="4">
        <v>1.1000000000000001</v>
      </c>
      <c r="E879" s="5">
        <v>50391</v>
      </c>
      <c r="F879" s="1" t="s">
        <v>16</v>
      </c>
      <c r="G879" s="10">
        <v>42007.55</v>
      </c>
      <c r="H879" s="1" t="s">
        <v>31</v>
      </c>
      <c r="I879" t="s">
        <v>53</v>
      </c>
      <c r="J879" t="s">
        <v>14</v>
      </c>
    </row>
    <row r="880" spans="1:10" x14ac:dyDescent="0.35">
      <c r="A880">
        <v>879</v>
      </c>
      <c r="B880" s="1" t="s">
        <v>23</v>
      </c>
      <c r="C880">
        <v>2020</v>
      </c>
      <c r="D880" s="4">
        <v>4.3</v>
      </c>
      <c r="E880" s="5">
        <v>120288</v>
      </c>
      <c r="F880" s="1" t="s">
        <v>16</v>
      </c>
      <c r="G880" s="10">
        <v>70678.240000000005</v>
      </c>
      <c r="H880" s="1" t="s">
        <v>24</v>
      </c>
      <c r="I880" t="s">
        <v>51</v>
      </c>
      <c r="J880" t="s">
        <v>22</v>
      </c>
    </row>
    <row r="881" spans="1:10" x14ac:dyDescent="0.35">
      <c r="A881">
        <v>880</v>
      </c>
      <c r="B881" s="1" t="s">
        <v>25</v>
      </c>
      <c r="C881">
        <v>2023</v>
      </c>
      <c r="D881" s="4">
        <v>4</v>
      </c>
      <c r="E881" s="5">
        <v>206132</v>
      </c>
      <c r="F881" s="1" t="s">
        <v>11</v>
      </c>
      <c r="G881" s="10">
        <v>71028.740000000005</v>
      </c>
      <c r="H881" s="1" t="s">
        <v>49</v>
      </c>
      <c r="I881" t="s">
        <v>53</v>
      </c>
      <c r="J881" t="s">
        <v>14</v>
      </c>
    </row>
    <row r="882" spans="1:10" x14ac:dyDescent="0.35">
      <c r="A882">
        <v>881</v>
      </c>
      <c r="B882" s="1" t="s">
        <v>29</v>
      </c>
      <c r="C882">
        <v>2011</v>
      </c>
      <c r="D882" s="4">
        <v>1.8</v>
      </c>
      <c r="E882" s="5">
        <v>113535</v>
      </c>
      <c r="F882" s="1" t="s">
        <v>11</v>
      </c>
      <c r="G882" s="10">
        <v>45861.24</v>
      </c>
      <c r="H882" s="1" t="s">
        <v>38</v>
      </c>
      <c r="I882" t="s">
        <v>53</v>
      </c>
      <c r="J882" t="s">
        <v>14</v>
      </c>
    </row>
    <row r="883" spans="1:10" x14ac:dyDescent="0.35">
      <c r="A883">
        <v>882</v>
      </c>
      <c r="B883" s="1" t="s">
        <v>20</v>
      </c>
      <c r="C883">
        <v>2009</v>
      </c>
      <c r="D883" s="4">
        <v>2.2000000000000002</v>
      </c>
      <c r="E883" s="5">
        <v>142770</v>
      </c>
      <c r="F883" s="1" t="s">
        <v>15</v>
      </c>
      <c r="G883" s="10">
        <v>70651.990000000005</v>
      </c>
      <c r="H883" s="1" t="s">
        <v>33</v>
      </c>
      <c r="I883" t="s">
        <v>13</v>
      </c>
      <c r="J883" t="s">
        <v>22</v>
      </c>
    </row>
    <row r="884" spans="1:10" x14ac:dyDescent="0.35">
      <c r="A884">
        <v>883</v>
      </c>
      <c r="B884" s="1" t="s">
        <v>23</v>
      </c>
      <c r="C884">
        <v>2021</v>
      </c>
      <c r="D884" s="4">
        <v>1.1000000000000001</v>
      </c>
      <c r="E884" s="5">
        <v>239947</v>
      </c>
      <c r="F884" s="1" t="s">
        <v>11</v>
      </c>
      <c r="G884" s="10">
        <v>54504.14</v>
      </c>
      <c r="H884" s="1" t="s">
        <v>32</v>
      </c>
      <c r="I884" t="s">
        <v>51</v>
      </c>
      <c r="J884" t="s">
        <v>22</v>
      </c>
    </row>
    <row r="885" spans="1:10" x14ac:dyDescent="0.35">
      <c r="A885">
        <v>884</v>
      </c>
      <c r="B885" s="1" t="s">
        <v>25</v>
      </c>
      <c r="C885">
        <v>2006</v>
      </c>
      <c r="D885" s="4">
        <v>5.2</v>
      </c>
      <c r="E885" s="5">
        <v>86711</v>
      </c>
      <c r="F885" s="1" t="s">
        <v>11</v>
      </c>
      <c r="G885" s="10">
        <v>97808.48</v>
      </c>
      <c r="H885" s="1" t="s">
        <v>44</v>
      </c>
      <c r="I885" t="s">
        <v>51</v>
      </c>
      <c r="J885" t="s">
        <v>22</v>
      </c>
    </row>
    <row r="886" spans="1:10" x14ac:dyDescent="0.35">
      <c r="A886">
        <v>885</v>
      </c>
      <c r="B886" s="1" t="s">
        <v>10</v>
      </c>
      <c r="C886">
        <v>2002</v>
      </c>
      <c r="D886" s="4">
        <v>5.9</v>
      </c>
      <c r="E886" s="5">
        <v>264509</v>
      </c>
      <c r="F886" s="1" t="s">
        <v>16</v>
      </c>
      <c r="G886" s="10">
        <v>20433.72</v>
      </c>
      <c r="H886" s="1" t="s">
        <v>17</v>
      </c>
      <c r="I886" t="s">
        <v>13</v>
      </c>
      <c r="J886" t="s">
        <v>14</v>
      </c>
    </row>
    <row r="887" spans="1:10" x14ac:dyDescent="0.35">
      <c r="A887">
        <v>886</v>
      </c>
      <c r="B887" s="1" t="s">
        <v>35</v>
      </c>
      <c r="C887">
        <v>2022</v>
      </c>
      <c r="D887" s="4">
        <v>1.7</v>
      </c>
      <c r="E887" s="5">
        <v>228625</v>
      </c>
      <c r="F887" s="1" t="s">
        <v>11</v>
      </c>
      <c r="G887" s="10">
        <v>62063.39</v>
      </c>
      <c r="H887" s="1" t="s">
        <v>36</v>
      </c>
      <c r="I887" t="s">
        <v>53</v>
      </c>
      <c r="J887" t="s">
        <v>22</v>
      </c>
    </row>
    <row r="888" spans="1:10" x14ac:dyDescent="0.35">
      <c r="A888">
        <v>887</v>
      </c>
      <c r="B888" s="1" t="s">
        <v>20</v>
      </c>
      <c r="C888">
        <v>2013</v>
      </c>
      <c r="D888" s="4">
        <v>2.2000000000000002</v>
      </c>
      <c r="E888" s="5">
        <v>43372</v>
      </c>
      <c r="F888" s="1" t="s">
        <v>15</v>
      </c>
      <c r="G888" s="10">
        <v>51667.68</v>
      </c>
      <c r="H888" s="1" t="s">
        <v>21</v>
      </c>
      <c r="I888" t="s">
        <v>13</v>
      </c>
      <c r="J888" t="s">
        <v>14</v>
      </c>
    </row>
    <row r="889" spans="1:10" x14ac:dyDescent="0.35">
      <c r="A889">
        <v>888</v>
      </c>
      <c r="B889" s="1" t="s">
        <v>20</v>
      </c>
      <c r="C889">
        <v>2023</v>
      </c>
      <c r="D889" s="4">
        <v>5.3</v>
      </c>
      <c r="E889" s="5">
        <v>44134</v>
      </c>
      <c r="F889" s="1" t="s">
        <v>16</v>
      </c>
      <c r="G889" s="10">
        <v>23474.3</v>
      </c>
      <c r="H889" s="1" t="s">
        <v>33</v>
      </c>
      <c r="I889" t="s">
        <v>52</v>
      </c>
      <c r="J889" t="s">
        <v>22</v>
      </c>
    </row>
    <row r="890" spans="1:10" x14ac:dyDescent="0.35">
      <c r="A890">
        <v>889</v>
      </c>
      <c r="B890" s="1" t="s">
        <v>29</v>
      </c>
      <c r="C890">
        <v>2009</v>
      </c>
      <c r="D890" s="4">
        <v>5.6</v>
      </c>
      <c r="E890" s="5">
        <v>299967</v>
      </c>
      <c r="F890" s="1" t="s">
        <v>15</v>
      </c>
      <c r="G890" s="10">
        <v>76249.09</v>
      </c>
      <c r="H890" s="1" t="s">
        <v>43</v>
      </c>
      <c r="I890" t="s">
        <v>51</v>
      </c>
      <c r="J890" t="s">
        <v>14</v>
      </c>
    </row>
    <row r="891" spans="1:10" x14ac:dyDescent="0.35">
      <c r="A891">
        <v>890</v>
      </c>
      <c r="B891" s="1" t="s">
        <v>20</v>
      </c>
      <c r="C891">
        <v>2015</v>
      </c>
      <c r="D891" s="4">
        <v>3.1</v>
      </c>
      <c r="E891" s="5">
        <v>71158</v>
      </c>
      <c r="F891" s="1" t="s">
        <v>11</v>
      </c>
      <c r="G891" s="10">
        <v>31173.26</v>
      </c>
      <c r="H891" s="1" t="s">
        <v>39</v>
      </c>
      <c r="I891" t="s">
        <v>52</v>
      </c>
      <c r="J891" t="s">
        <v>14</v>
      </c>
    </row>
    <row r="892" spans="1:10" x14ac:dyDescent="0.35">
      <c r="A892">
        <v>891</v>
      </c>
      <c r="B892" s="1" t="s">
        <v>23</v>
      </c>
      <c r="C892">
        <v>2015</v>
      </c>
      <c r="D892" s="4">
        <v>1.3</v>
      </c>
      <c r="E892" s="5">
        <v>237159</v>
      </c>
      <c r="F892" s="1" t="s">
        <v>15</v>
      </c>
      <c r="G892" s="10">
        <v>41262.43</v>
      </c>
      <c r="H892" s="1" t="s">
        <v>42</v>
      </c>
      <c r="I892" t="s">
        <v>13</v>
      </c>
      <c r="J892" t="s">
        <v>22</v>
      </c>
    </row>
    <row r="893" spans="1:10" x14ac:dyDescent="0.35">
      <c r="A893">
        <v>892</v>
      </c>
      <c r="B893" s="1" t="s">
        <v>25</v>
      </c>
      <c r="C893">
        <v>2021</v>
      </c>
      <c r="D893" s="4">
        <v>1.2</v>
      </c>
      <c r="E893" s="5">
        <v>133021</v>
      </c>
      <c r="F893" s="1" t="s">
        <v>15</v>
      </c>
      <c r="G893" s="10">
        <v>40608.9</v>
      </c>
      <c r="H893" s="1" t="s">
        <v>49</v>
      </c>
      <c r="I893" t="s">
        <v>51</v>
      </c>
      <c r="J893" t="s">
        <v>14</v>
      </c>
    </row>
    <row r="894" spans="1:10" x14ac:dyDescent="0.35">
      <c r="A894">
        <v>893</v>
      </c>
      <c r="B894" s="1" t="s">
        <v>25</v>
      </c>
      <c r="C894">
        <v>2009</v>
      </c>
      <c r="D894" s="4">
        <v>3.9</v>
      </c>
      <c r="E894" s="5">
        <v>49396</v>
      </c>
      <c r="F894" s="1" t="s">
        <v>11</v>
      </c>
      <c r="G894" s="10">
        <v>28199.42</v>
      </c>
      <c r="H894" s="1" t="s">
        <v>26</v>
      </c>
      <c r="I894" t="s">
        <v>52</v>
      </c>
      <c r="J894" t="s">
        <v>14</v>
      </c>
    </row>
    <row r="895" spans="1:10" x14ac:dyDescent="0.35">
      <c r="A895">
        <v>894</v>
      </c>
      <c r="B895" s="1" t="s">
        <v>10</v>
      </c>
      <c r="C895">
        <v>2012</v>
      </c>
      <c r="D895" s="4">
        <v>3</v>
      </c>
      <c r="E895" s="5">
        <v>31912</v>
      </c>
      <c r="F895" s="1" t="s">
        <v>11</v>
      </c>
      <c r="G895" s="10">
        <v>45917.01</v>
      </c>
      <c r="H895" s="1" t="s">
        <v>19</v>
      </c>
      <c r="I895" t="s">
        <v>13</v>
      </c>
      <c r="J895" t="s">
        <v>14</v>
      </c>
    </row>
    <row r="896" spans="1:10" x14ac:dyDescent="0.35">
      <c r="A896">
        <v>895</v>
      </c>
      <c r="B896" s="1" t="s">
        <v>35</v>
      </c>
      <c r="C896">
        <v>2005</v>
      </c>
      <c r="D896" s="4">
        <v>1.1000000000000001</v>
      </c>
      <c r="E896" s="5">
        <v>56947</v>
      </c>
      <c r="F896" s="1" t="s">
        <v>16</v>
      </c>
      <c r="G896" s="10">
        <v>49967.86</v>
      </c>
      <c r="H896" s="1" t="s">
        <v>36</v>
      </c>
      <c r="I896" t="s">
        <v>53</v>
      </c>
      <c r="J896" t="s">
        <v>14</v>
      </c>
    </row>
    <row r="897" spans="1:10" x14ac:dyDescent="0.35">
      <c r="A897">
        <v>896</v>
      </c>
      <c r="B897" s="1" t="s">
        <v>29</v>
      </c>
      <c r="C897">
        <v>2011</v>
      </c>
      <c r="D897" s="4">
        <v>3.9</v>
      </c>
      <c r="E897" s="5">
        <v>44387</v>
      </c>
      <c r="F897" s="1" t="s">
        <v>16</v>
      </c>
      <c r="G897" s="10">
        <v>75701.06</v>
      </c>
      <c r="H897" s="1" t="s">
        <v>30</v>
      </c>
      <c r="I897" t="s">
        <v>51</v>
      </c>
      <c r="J897" t="s">
        <v>22</v>
      </c>
    </row>
    <row r="898" spans="1:10" x14ac:dyDescent="0.35">
      <c r="A898">
        <v>897</v>
      </c>
      <c r="B898" s="1" t="s">
        <v>35</v>
      </c>
      <c r="C898">
        <v>2008</v>
      </c>
      <c r="D898" s="4">
        <v>1.1000000000000001</v>
      </c>
      <c r="E898" s="5">
        <v>278652</v>
      </c>
      <c r="F898" s="1" t="s">
        <v>16</v>
      </c>
      <c r="G898" s="10">
        <v>77681.509999999995</v>
      </c>
      <c r="H898" s="1" t="s">
        <v>47</v>
      </c>
      <c r="I898" t="s">
        <v>52</v>
      </c>
      <c r="J898" t="s">
        <v>22</v>
      </c>
    </row>
    <row r="899" spans="1:10" x14ac:dyDescent="0.35">
      <c r="A899">
        <v>898</v>
      </c>
      <c r="B899" s="1" t="s">
        <v>20</v>
      </c>
      <c r="C899">
        <v>2012</v>
      </c>
      <c r="D899" s="4">
        <v>4.9000000000000004</v>
      </c>
      <c r="E899" s="5">
        <v>109249</v>
      </c>
      <c r="F899" s="1" t="s">
        <v>11</v>
      </c>
      <c r="G899" s="10">
        <v>20062.82</v>
      </c>
      <c r="H899" s="1" t="s">
        <v>21</v>
      </c>
      <c r="I899" t="s">
        <v>52</v>
      </c>
      <c r="J899" t="s">
        <v>22</v>
      </c>
    </row>
    <row r="900" spans="1:10" x14ac:dyDescent="0.35">
      <c r="A900">
        <v>899</v>
      </c>
      <c r="B900" s="1" t="s">
        <v>10</v>
      </c>
      <c r="C900">
        <v>2003</v>
      </c>
      <c r="D900" s="4">
        <v>2.5</v>
      </c>
      <c r="E900" s="5">
        <v>1919</v>
      </c>
      <c r="F900" s="1" t="s">
        <v>15</v>
      </c>
      <c r="G900" s="10">
        <v>61313.37</v>
      </c>
      <c r="H900" s="1" t="s">
        <v>18</v>
      </c>
      <c r="I900" t="s">
        <v>13</v>
      </c>
      <c r="J900" t="s">
        <v>14</v>
      </c>
    </row>
    <row r="901" spans="1:10" x14ac:dyDescent="0.35">
      <c r="A901">
        <v>900</v>
      </c>
      <c r="B901" s="1" t="s">
        <v>35</v>
      </c>
      <c r="C901">
        <v>2023</v>
      </c>
      <c r="D901" s="4">
        <v>1.2</v>
      </c>
      <c r="E901" s="5">
        <v>140689</v>
      </c>
      <c r="F901" s="1" t="s">
        <v>15</v>
      </c>
      <c r="G901" s="10">
        <v>90138.79</v>
      </c>
      <c r="H901" s="1" t="s">
        <v>45</v>
      </c>
      <c r="I901" t="s">
        <v>52</v>
      </c>
      <c r="J901" t="s">
        <v>14</v>
      </c>
    </row>
    <row r="902" spans="1:10" x14ac:dyDescent="0.35">
      <c r="A902">
        <v>901</v>
      </c>
      <c r="B902" s="1" t="s">
        <v>23</v>
      </c>
      <c r="C902">
        <v>2010</v>
      </c>
      <c r="D902" s="4">
        <v>3.9</v>
      </c>
      <c r="E902" s="5">
        <v>33298</v>
      </c>
      <c r="F902" s="1" t="s">
        <v>16</v>
      </c>
      <c r="G902" s="10">
        <v>15334.73</v>
      </c>
      <c r="H902" s="1" t="s">
        <v>32</v>
      </c>
      <c r="I902" t="s">
        <v>52</v>
      </c>
      <c r="J902" t="s">
        <v>14</v>
      </c>
    </row>
    <row r="903" spans="1:10" x14ac:dyDescent="0.35">
      <c r="A903">
        <v>902</v>
      </c>
      <c r="B903" s="1" t="s">
        <v>25</v>
      </c>
      <c r="C903">
        <v>2019</v>
      </c>
      <c r="D903" s="4">
        <v>3</v>
      </c>
      <c r="E903" s="5">
        <v>237225</v>
      </c>
      <c r="F903" s="1" t="s">
        <v>16</v>
      </c>
      <c r="G903" s="10">
        <v>49926.83</v>
      </c>
      <c r="H903" s="1" t="s">
        <v>49</v>
      </c>
      <c r="I903" t="s">
        <v>52</v>
      </c>
      <c r="J903" t="s">
        <v>14</v>
      </c>
    </row>
    <row r="904" spans="1:10" x14ac:dyDescent="0.35">
      <c r="A904">
        <v>903</v>
      </c>
      <c r="B904" s="1" t="s">
        <v>20</v>
      </c>
      <c r="C904">
        <v>2017</v>
      </c>
      <c r="D904" s="4">
        <v>5.9</v>
      </c>
      <c r="E904" s="5">
        <v>233725</v>
      </c>
      <c r="F904" s="1" t="s">
        <v>11</v>
      </c>
      <c r="G904" s="10">
        <v>76283.55</v>
      </c>
      <c r="H904" s="1" t="s">
        <v>46</v>
      </c>
      <c r="I904" t="s">
        <v>53</v>
      </c>
      <c r="J904" t="s">
        <v>22</v>
      </c>
    </row>
    <row r="905" spans="1:10" x14ac:dyDescent="0.35">
      <c r="A905">
        <v>904</v>
      </c>
      <c r="B905" s="1" t="s">
        <v>10</v>
      </c>
      <c r="C905">
        <v>2010</v>
      </c>
      <c r="D905" s="4">
        <v>3.7</v>
      </c>
      <c r="E905" s="5">
        <v>276600</v>
      </c>
      <c r="F905" s="1" t="s">
        <v>15</v>
      </c>
      <c r="G905" s="10">
        <v>63091.68</v>
      </c>
      <c r="H905" s="1" t="s">
        <v>12</v>
      </c>
      <c r="I905" t="s">
        <v>13</v>
      </c>
      <c r="J905" t="s">
        <v>14</v>
      </c>
    </row>
    <row r="906" spans="1:10" x14ac:dyDescent="0.35">
      <c r="A906">
        <v>905</v>
      </c>
      <c r="B906" s="1" t="s">
        <v>35</v>
      </c>
      <c r="C906">
        <v>2020</v>
      </c>
      <c r="D906" s="4">
        <v>2.4</v>
      </c>
      <c r="E906" s="5">
        <v>109599</v>
      </c>
      <c r="F906" s="1" t="s">
        <v>16</v>
      </c>
      <c r="G906" s="10">
        <v>14555.64</v>
      </c>
      <c r="H906" s="1" t="s">
        <v>47</v>
      </c>
      <c r="I906" t="s">
        <v>52</v>
      </c>
      <c r="J906" t="s">
        <v>22</v>
      </c>
    </row>
    <row r="907" spans="1:10" x14ac:dyDescent="0.35">
      <c r="A907">
        <v>906</v>
      </c>
      <c r="B907" s="1" t="s">
        <v>29</v>
      </c>
      <c r="C907">
        <v>2003</v>
      </c>
      <c r="D907" s="4">
        <v>4.5</v>
      </c>
      <c r="E907" s="5">
        <v>83721</v>
      </c>
      <c r="F907" s="1" t="s">
        <v>11</v>
      </c>
      <c r="G907" s="10">
        <v>42677.58</v>
      </c>
      <c r="H907" s="1" t="s">
        <v>38</v>
      </c>
      <c r="I907" t="s">
        <v>51</v>
      </c>
      <c r="J907" t="s">
        <v>14</v>
      </c>
    </row>
    <row r="908" spans="1:10" x14ac:dyDescent="0.35">
      <c r="A908">
        <v>907</v>
      </c>
      <c r="B908" s="1" t="s">
        <v>23</v>
      </c>
      <c r="C908">
        <v>2017</v>
      </c>
      <c r="D908" s="4">
        <v>2.4</v>
      </c>
      <c r="E908" s="5">
        <v>286384</v>
      </c>
      <c r="F908" s="1" t="s">
        <v>16</v>
      </c>
      <c r="G908" s="10">
        <v>53187.75</v>
      </c>
      <c r="H908" s="1" t="s">
        <v>24</v>
      </c>
      <c r="I908" t="s">
        <v>51</v>
      </c>
      <c r="J908" t="s">
        <v>14</v>
      </c>
    </row>
    <row r="909" spans="1:10" x14ac:dyDescent="0.35">
      <c r="A909">
        <v>908</v>
      </c>
      <c r="B909" s="1" t="s">
        <v>23</v>
      </c>
      <c r="C909">
        <v>2000</v>
      </c>
      <c r="D909" s="4">
        <v>5.5</v>
      </c>
      <c r="E909" s="5">
        <v>271372</v>
      </c>
      <c r="F909" s="1" t="s">
        <v>11</v>
      </c>
      <c r="G909" s="10">
        <v>99605.33</v>
      </c>
      <c r="H909" s="1" t="s">
        <v>34</v>
      </c>
      <c r="I909" t="s">
        <v>53</v>
      </c>
      <c r="J909" t="s">
        <v>14</v>
      </c>
    </row>
    <row r="910" spans="1:10" x14ac:dyDescent="0.35">
      <c r="A910">
        <v>909</v>
      </c>
      <c r="B910" s="1" t="s">
        <v>35</v>
      </c>
      <c r="C910">
        <v>2006</v>
      </c>
      <c r="D910" s="4">
        <v>2.9</v>
      </c>
      <c r="E910" s="5">
        <v>283830</v>
      </c>
      <c r="F910" s="1" t="s">
        <v>15</v>
      </c>
      <c r="G910" s="10">
        <v>21967.75</v>
      </c>
      <c r="H910" s="1" t="s">
        <v>47</v>
      </c>
      <c r="I910" t="s">
        <v>13</v>
      </c>
      <c r="J910" t="s">
        <v>14</v>
      </c>
    </row>
    <row r="911" spans="1:10" x14ac:dyDescent="0.35">
      <c r="A911">
        <v>910</v>
      </c>
      <c r="B911" s="1" t="s">
        <v>25</v>
      </c>
      <c r="C911">
        <v>2005</v>
      </c>
      <c r="D911" s="4">
        <v>3.7</v>
      </c>
      <c r="E911" s="5">
        <v>11920</v>
      </c>
      <c r="F911" s="1" t="s">
        <v>11</v>
      </c>
      <c r="G911" s="10">
        <v>98330.26</v>
      </c>
      <c r="H911" s="1" t="s">
        <v>26</v>
      </c>
      <c r="I911" t="s">
        <v>51</v>
      </c>
      <c r="J911" t="s">
        <v>14</v>
      </c>
    </row>
    <row r="912" spans="1:10" x14ac:dyDescent="0.35">
      <c r="A912">
        <v>911</v>
      </c>
      <c r="B912" s="1" t="s">
        <v>35</v>
      </c>
      <c r="C912">
        <v>2014</v>
      </c>
      <c r="D912" s="4">
        <v>1.3</v>
      </c>
      <c r="E912" s="5">
        <v>7432</v>
      </c>
      <c r="F912" s="1" t="s">
        <v>16</v>
      </c>
      <c r="G912" s="10">
        <v>40734.230000000003</v>
      </c>
      <c r="H912" s="1" t="s">
        <v>47</v>
      </c>
      <c r="I912" t="s">
        <v>53</v>
      </c>
      <c r="J912" t="s">
        <v>22</v>
      </c>
    </row>
    <row r="913" spans="1:10" x14ac:dyDescent="0.35">
      <c r="A913">
        <v>912</v>
      </c>
      <c r="B913" s="1" t="s">
        <v>20</v>
      </c>
      <c r="C913">
        <v>2017</v>
      </c>
      <c r="D913" s="4">
        <v>3.1</v>
      </c>
      <c r="E913" s="5">
        <v>110507</v>
      </c>
      <c r="F913" s="1" t="s">
        <v>16</v>
      </c>
      <c r="G913" s="10">
        <v>24030.45</v>
      </c>
      <c r="H913" s="1" t="s">
        <v>21</v>
      </c>
      <c r="I913" t="s">
        <v>52</v>
      </c>
      <c r="J913" t="s">
        <v>14</v>
      </c>
    </row>
    <row r="914" spans="1:10" x14ac:dyDescent="0.35">
      <c r="A914">
        <v>913</v>
      </c>
      <c r="B914" s="1" t="s">
        <v>35</v>
      </c>
      <c r="C914">
        <v>2023</v>
      </c>
      <c r="D914" s="4">
        <v>5.2</v>
      </c>
      <c r="E914" s="5">
        <v>224647</v>
      </c>
      <c r="F914" s="1" t="s">
        <v>15</v>
      </c>
      <c r="G914" s="10">
        <v>44340.36</v>
      </c>
      <c r="H914" s="1" t="s">
        <v>45</v>
      </c>
      <c r="I914" t="s">
        <v>52</v>
      </c>
      <c r="J914" t="s">
        <v>14</v>
      </c>
    </row>
    <row r="915" spans="1:10" x14ac:dyDescent="0.35">
      <c r="A915">
        <v>914</v>
      </c>
      <c r="B915" s="1" t="s">
        <v>23</v>
      </c>
      <c r="C915">
        <v>2010</v>
      </c>
      <c r="D915" s="4">
        <v>5</v>
      </c>
      <c r="E915" s="5">
        <v>164982</v>
      </c>
      <c r="F915" s="1" t="s">
        <v>15</v>
      </c>
      <c r="G915" s="10">
        <v>63329.54</v>
      </c>
      <c r="H915" s="1" t="s">
        <v>34</v>
      </c>
      <c r="I915" t="s">
        <v>53</v>
      </c>
      <c r="J915" t="s">
        <v>14</v>
      </c>
    </row>
    <row r="916" spans="1:10" x14ac:dyDescent="0.35">
      <c r="A916">
        <v>915</v>
      </c>
      <c r="B916" s="1" t="s">
        <v>10</v>
      </c>
      <c r="C916">
        <v>2019</v>
      </c>
      <c r="D916" s="4">
        <v>2.1</v>
      </c>
      <c r="E916" s="5">
        <v>121764</v>
      </c>
      <c r="F916" s="1" t="s">
        <v>16</v>
      </c>
      <c r="G916" s="10">
        <v>25282.25</v>
      </c>
      <c r="H916" s="1" t="s">
        <v>12</v>
      </c>
      <c r="I916" t="s">
        <v>13</v>
      </c>
      <c r="J916" t="s">
        <v>14</v>
      </c>
    </row>
    <row r="917" spans="1:10" x14ac:dyDescent="0.35">
      <c r="A917">
        <v>916</v>
      </c>
      <c r="B917" s="1" t="s">
        <v>35</v>
      </c>
      <c r="C917">
        <v>2023</v>
      </c>
      <c r="D917" s="4">
        <v>2.1</v>
      </c>
      <c r="E917" s="5">
        <v>161298</v>
      </c>
      <c r="F917" s="1" t="s">
        <v>16</v>
      </c>
      <c r="G917" s="10">
        <v>32686.71</v>
      </c>
      <c r="H917" s="1" t="s">
        <v>50</v>
      </c>
      <c r="I917" t="s">
        <v>52</v>
      </c>
      <c r="J917" t="s">
        <v>22</v>
      </c>
    </row>
    <row r="918" spans="1:10" x14ac:dyDescent="0.35">
      <c r="A918">
        <v>917</v>
      </c>
      <c r="B918" s="1" t="s">
        <v>25</v>
      </c>
      <c r="C918">
        <v>2014</v>
      </c>
      <c r="D918" s="4">
        <v>5.0999999999999996</v>
      </c>
      <c r="E918" s="5">
        <v>204222</v>
      </c>
      <c r="F918" s="1" t="s">
        <v>16</v>
      </c>
      <c r="G918" s="10">
        <v>86181.92</v>
      </c>
      <c r="H918" s="1" t="s">
        <v>26</v>
      </c>
      <c r="I918" t="s">
        <v>13</v>
      </c>
      <c r="J918" t="s">
        <v>14</v>
      </c>
    </row>
    <row r="919" spans="1:10" x14ac:dyDescent="0.35">
      <c r="A919">
        <v>918</v>
      </c>
      <c r="B919" s="1" t="s">
        <v>10</v>
      </c>
      <c r="C919">
        <v>2015</v>
      </c>
      <c r="D919" s="4">
        <v>5.7</v>
      </c>
      <c r="E919" s="5">
        <v>112557</v>
      </c>
      <c r="F919" s="1" t="s">
        <v>15</v>
      </c>
      <c r="G919" s="10">
        <v>99905.9</v>
      </c>
      <c r="H919" s="1" t="s">
        <v>19</v>
      </c>
      <c r="I919" t="s">
        <v>13</v>
      </c>
      <c r="J919" t="s">
        <v>14</v>
      </c>
    </row>
    <row r="920" spans="1:10" x14ac:dyDescent="0.35">
      <c r="A920">
        <v>919</v>
      </c>
      <c r="B920" s="1" t="s">
        <v>29</v>
      </c>
      <c r="C920">
        <v>2006</v>
      </c>
      <c r="D920" s="4">
        <v>1.5</v>
      </c>
      <c r="E920" s="5">
        <v>18013</v>
      </c>
      <c r="F920" s="1" t="s">
        <v>16</v>
      </c>
      <c r="G920" s="10">
        <v>35226.410000000003</v>
      </c>
      <c r="H920" s="1" t="s">
        <v>31</v>
      </c>
      <c r="I920" t="s">
        <v>51</v>
      </c>
      <c r="J920" t="s">
        <v>14</v>
      </c>
    </row>
    <row r="921" spans="1:10" x14ac:dyDescent="0.35">
      <c r="A921">
        <v>920</v>
      </c>
      <c r="B921" s="1" t="s">
        <v>27</v>
      </c>
      <c r="C921">
        <v>2020</v>
      </c>
      <c r="D921" s="4">
        <v>3.3</v>
      </c>
      <c r="E921" s="5">
        <v>21446</v>
      </c>
      <c r="F921" s="1" t="s">
        <v>15</v>
      </c>
      <c r="G921" s="10">
        <v>19141.400000000001</v>
      </c>
      <c r="H921" s="1" t="s">
        <v>37</v>
      </c>
      <c r="I921" t="s">
        <v>52</v>
      </c>
      <c r="J921" t="s">
        <v>22</v>
      </c>
    </row>
    <row r="922" spans="1:10" x14ac:dyDescent="0.35">
      <c r="A922">
        <v>921</v>
      </c>
      <c r="B922" s="1" t="s">
        <v>35</v>
      </c>
      <c r="C922">
        <v>2009</v>
      </c>
      <c r="D922" s="4">
        <v>2.7</v>
      </c>
      <c r="E922" s="5">
        <v>201447</v>
      </c>
      <c r="F922" s="1" t="s">
        <v>16</v>
      </c>
      <c r="G922" s="10">
        <v>80351.23</v>
      </c>
      <c r="H922" s="1" t="s">
        <v>45</v>
      </c>
      <c r="I922" t="s">
        <v>53</v>
      </c>
      <c r="J922" t="s">
        <v>22</v>
      </c>
    </row>
    <row r="923" spans="1:10" x14ac:dyDescent="0.35">
      <c r="A923">
        <v>922</v>
      </c>
      <c r="B923" s="1" t="s">
        <v>25</v>
      </c>
      <c r="C923">
        <v>2011</v>
      </c>
      <c r="D923" s="4">
        <v>5.4</v>
      </c>
      <c r="E923" s="5">
        <v>102261</v>
      </c>
      <c r="F923" s="1" t="s">
        <v>11</v>
      </c>
      <c r="G923" s="10">
        <v>62043.29</v>
      </c>
      <c r="H923" s="1" t="s">
        <v>44</v>
      </c>
      <c r="I923" t="s">
        <v>13</v>
      </c>
      <c r="J923" t="s">
        <v>22</v>
      </c>
    </row>
    <row r="924" spans="1:10" x14ac:dyDescent="0.35">
      <c r="A924">
        <v>923</v>
      </c>
      <c r="B924" s="1" t="s">
        <v>10</v>
      </c>
      <c r="C924">
        <v>2023</v>
      </c>
      <c r="D924" s="4">
        <v>1.4</v>
      </c>
      <c r="E924" s="5">
        <v>262701</v>
      </c>
      <c r="F924" s="1" t="s">
        <v>11</v>
      </c>
      <c r="G924" s="10">
        <v>14538.11</v>
      </c>
      <c r="H924" s="1" t="s">
        <v>12</v>
      </c>
      <c r="I924" t="s">
        <v>13</v>
      </c>
      <c r="J924" t="s">
        <v>14</v>
      </c>
    </row>
    <row r="925" spans="1:10" x14ac:dyDescent="0.35">
      <c r="A925">
        <v>924</v>
      </c>
      <c r="B925" s="1" t="s">
        <v>25</v>
      </c>
      <c r="C925">
        <v>2013</v>
      </c>
      <c r="D925" s="4">
        <v>2.1</v>
      </c>
      <c r="E925" s="5">
        <v>168461</v>
      </c>
      <c r="F925" s="1" t="s">
        <v>16</v>
      </c>
      <c r="G925" s="10">
        <v>94943.29</v>
      </c>
      <c r="H925" s="1" t="s">
        <v>26</v>
      </c>
      <c r="I925" t="s">
        <v>53</v>
      </c>
      <c r="J925" t="s">
        <v>22</v>
      </c>
    </row>
    <row r="926" spans="1:10" x14ac:dyDescent="0.35">
      <c r="A926">
        <v>925</v>
      </c>
      <c r="B926" s="1" t="s">
        <v>29</v>
      </c>
      <c r="C926">
        <v>2004</v>
      </c>
      <c r="D926" s="4">
        <v>4.8</v>
      </c>
      <c r="E926" s="5">
        <v>178772</v>
      </c>
      <c r="F926" s="1" t="s">
        <v>11</v>
      </c>
      <c r="G926" s="10">
        <v>12414.71</v>
      </c>
      <c r="H926" s="1" t="s">
        <v>38</v>
      </c>
      <c r="I926" t="s">
        <v>51</v>
      </c>
      <c r="J926" t="s">
        <v>14</v>
      </c>
    </row>
    <row r="927" spans="1:10" x14ac:dyDescent="0.35">
      <c r="A927">
        <v>926</v>
      </c>
      <c r="B927" s="1" t="s">
        <v>23</v>
      </c>
      <c r="C927">
        <v>2020</v>
      </c>
      <c r="D927" s="4">
        <v>1.3</v>
      </c>
      <c r="E927" s="5">
        <v>130878</v>
      </c>
      <c r="F927" s="1" t="s">
        <v>15</v>
      </c>
      <c r="G927" s="10">
        <v>64408.86</v>
      </c>
      <c r="H927" s="1" t="s">
        <v>24</v>
      </c>
      <c r="I927" t="s">
        <v>52</v>
      </c>
      <c r="J927" t="s">
        <v>22</v>
      </c>
    </row>
    <row r="928" spans="1:10" x14ac:dyDescent="0.35">
      <c r="A928">
        <v>927</v>
      </c>
      <c r="B928" s="1" t="s">
        <v>25</v>
      </c>
      <c r="C928">
        <v>2017</v>
      </c>
      <c r="D928" s="4">
        <v>3.5</v>
      </c>
      <c r="E928" s="5">
        <v>99143</v>
      </c>
      <c r="F928" s="1" t="s">
        <v>11</v>
      </c>
      <c r="G928" s="10">
        <v>45274.04</v>
      </c>
      <c r="H928" s="1" t="s">
        <v>49</v>
      </c>
      <c r="I928" t="s">
        <v>13</v>
      </c>
      <c r="J928" t="s">
        <v>14</v>
      </c>
    </row>
    <row r="929" spans="1:10" x14ac:dyDescent="0.35">
      <c r="A929">
        <v>928</v>
      </c>
      <c r="B929" s="1" t="s">
        <v>10</v>
      </c>
      <c r="C929">
        <v>2004</v>
      </c>
      <c r="D929" s="4">
        <v>3.2</v>
      </c>
      <c r="E929" s="5">
        <v>24578</v>
      </c>
      <c r="F929" s="1" t="s">
        <v>11</v>
      </c>
      <c r="G929" s="10">
        <v>57879.27</v>
      </c>
      <c r="H929" s="1" t="s">
        <v>18</v>
      </c>
      <c r="I929" t="s">
        <v>13</v>
      </c>
      <c r="J929" t="s">
        <v>14</v>
      </c>
    </row>
    <row r="930" spans="1:10" x14ac:dyDescent="0.35">
      <c r="A930">
        <v>929</v>
      </c>
      <c r="B930" s="1" t="s">
        <v>25</v>
      </c>
      <c r="C930">
        <v>2002</v>
      </c>
      <c r="D930" s="4">
        <v>2.7</v>
      </c>
      <c r="E930" s="5">
        <v>74779</v>
      </c>
      <c r="F930" s="1" t="s">
        <v>15</v>
      </c>
      <c r="G930" s="10">
        <v>25255.35</v>
      </c>
      <c r="H930" s="1" t="s">
        <v>41</v>
      </c>
      <c r="I930" t="s">
        <v>53</v>
      </c>
      <c r="J930" t="s">
        <v>22</v>
      </c>
    </row>
    <row r="931" spans="1:10" x14ac:dyDescent="0.35">
      <c r="A931">
        <v>930</v>
      </c>
      <c r="B931" s="1" t="s">
        <v>25</v>
      </c>
      <c r="C931">
        <v>2022</v>
      </c>
      <c r="D931" s="4">
        <v>3</v>
      </c>
      <c r="E931" s="5">
        <v>140668</v>
      </c>
      <c r="F931" s="1" t="s">
        <v>11</v>
      </c>
      <c r="G931" s="10">
        <v>70370.490000000005</v>
      </c>
      <c r="H931" s="1" t="s">
        <v>49</v>
      </c>
      <c r="I931" t="s">
        <v>13</v>
      </c>
      <c r="J931" t="s">
        <v>14</v>
      </c>
    </row>
    <row r="932" spans="1:10" x14ac:dyDescent="0.35">
      <c r="A932">
        <v>931</v>
      </c>
      <c r="B932" s="1" t="s">
        <v>25</v>
      </c>
      <c r="C932">
        <v>2004</v>
      </c>
      <c r="D932" s="4">
        <v>3.6</v>
      </c>
      <c r="E932" s="5">
        <v>72534</v>
      </c>
      <c r="F932" s="1" t="s">
        <v>11</v>
      </c>
      <c r="G932" s="10">
        <v>96173.37</v>
      </c>
      <c r="H932" s="1" t="s">
        <v>26</v>
      </c>
      <c r="I932" t="s">
        <v>52</v>
      </c>
      <c r="J932" t="s">
        <v>22</v>
      </c>
    </row>
    <row r="933" spans="1:10" x14ac:dyDescent="0.35">
      <c r="A933">
        <v>932</v>
      </c>
      <c r="B933" s="1" t="s">
        <v>20</v>
      </c>
      <c r="C933">
        <v>2023</v>
      </c>
      <c r="D933" s="4">
        <v>1.8</v>
      </c>
      <c r="E933" s="5">
        <v>272273</v>
      </c>
      <c r="F933" s="1" t="s">
        <v>16</v>
      </c>
      <c r="G933" s="10">
        <v>48550.46</v>
      </c>
      <c r="H933" s="1" t="s">
        <v>33</v>
      </c>
      <c r="I933" t="s">
        <v>51</v>
      </c>
      <c r="J933" t="s">
        <v>22</v>
      </c>
    </row>
    <row r="934" spans="1:10" x14ac:dyDescent="0.35">
      <c r="A934">
        <v>933</v>
      </c>
      <c r="B934" s="1" t="s">
        <v>20</v>
      </c>
      <c r="C934">
        <v>2016</v>
      </c>
      <c r="D934" s="4">
        <v>3.9</v>
      </c>
      <c r="E934" s="5">
        <v>197118</v>
      </c>
      <c r="F934" s="1" t="s">
        <v>15</v>
      </c>
      <c r="G934" s="10">
        <v>54681.04</v>
      </c>
      <c r="H934" s="1" t="s">
        <v>33</v>
      </c>
      <c r="I934" t="s">
        <v>13</v>
      </c>
      <c r="J934" t="s">
        <v>22</v>
      </c>
    </row>
    <row r="935" spans="1:10" x14ac:dyDescent="0.35">
      <c r="A935">
        <v>934</v>
      </c>
      <c r="B935" s="1" t="s">
        <v>23</v>
      </c>
      <c r="C935">
        <v>2018</v>
      </c>
      <c r="D935" s="4">
        <v>5</v>
      </c>
      <c r="E935" s="5">
        <v>273740</v>
      </c>
      <c r="F935" s="1" t="s">
        <v>15</v>
      </c>
      <c r="G935" s="10">
        <v>27782.11</v>
      </c>
      <c r="H935" s="1" t="s">
        <v>42</v>
      </c>
      <c r="I935" t="s">
        <v>51</v>
      </c>
      <c r="J935" t="s">
        <v>22</v>
      </c>
    </row>
    <row r="936" spans="1:10" x14ac:dyDescent="0.35">
      <c r="A936">
        <v>935</v>
      </c>
      <c r="B936" s="1" t="s">
        <v>35</v>
      </c>
      <c r="C936">
        <v>2018</v>
      </c>
      <c r="D936" s="4">
        <v>4.8</v>
      </c>
      <c r="E936" s="5">
        <v>65355</v>
      </c>
      <c r="F936" s="1" t="s">
        <v>16</v>
      </c>
      <c r="G936" s="10">
        <v>89727.46</v>
      </c>
      <c r="H936" s="1" t="s">
        <v>50</v>
      </c>
      <c r="I936" t="s">
        <v>53</v>
      </c>
      <c r="J936" t="s">
        <v>14</v>
      </c>
    </row>
    <row r="937" spans="1:10" x14ac:dyDescent="0.35">
      <c r="A937">
        <v>936</v>
      </c>
      <c r="B937" s="1" t="s">
        <v>25</v>
      </c>
      <c r="C937">
        <v>2020</v>
      </c>
      <c r="D937" s="4">
        <v>1.8</v>
      </c>
      <c r="E937" s="5">
        <v>12974</v>
      </c>
      <c r="F937" s="1" t="s">
        <v>16</v>
      </c>
      <c r="G937" s="10">
        <v>97261.57</v>
      </c>
      <c r="H937" s="1" t="s">
        <v>44</v>
      </c>
      <c r="I937" t="s">
        <v>52</v>
      </c>
      <c r="J937" t="s">
        <v>22</v>
      </c>
    </row>
    <row r="938" spans="1:10" x14ac:dyDescent="0.35">
      <c r="A938">
        <v>937</v>
      </c>
      <c r="B938" s="1" t="s">
        <v>29</v>
      </c>
      <c r="C938">
        <v>2011</v>
      </c>
      <c r="D938" s="4">
        <v>1.7</v>
      </c>
      <c r="E938" s="5">
        <v>197745</v>
      </c>
      <c r="F938" s="1" t="s">
        <v>11</v>
      </c>
      <c r="G938" s="10">
        <v>79698.2</v>
      </c>
      <c r="H938" s="1" t="s">
        <v>31</v>
      </c>
      <c r="I938" t="s">
        <v>51</v>
      </c>
      <c r="J938" t="s">
        <v>22</v>
      </c>
    </row>
    <row r="939" spans="1:10" x14ac:dyDescent="0.35">
      <c r="A939">
        <v>938</v>
      </c>
      <c r="B939" s="1" t="s">
        <v>35</v>
      </c>
      <c r="C939">
        <v>2008</v>
      </c>
      <c r="D939" s="4">
        <v>2.2999999999999998</v>
      </c>
      <c r="E939" s="5">
        <v>251366</v>
      </c>
      <c r="F939" s="1" t="s">
        <v>11</v>
      </c>
      <c r="G939" s="10">
        <v>56563.48</v>
      </c>
      <c r="H939" s="1" t="s">
        <v>50</v>
      </c>
      <c r="I939" t="s">
        <v>53</v>
      </c>
      <c r="J939" t="s">
        <v>14</v>
      </c>
    </row>
    <row r="940" spans="1:10" x14ac:dyDescent="0.35">
      <c r="A940">
        <v>939</v>
      </c>
      <c r="B940" s="1" t="s">
        <v>29</v>
      </c>
      <c r="C940">
        <v>2000</v>
      </c>
      <c r="D940" s="4">
        <v>2.8</v>
      </c>
      <c r="E940" s="5">
        <v>74442</v>
      </c>
      <c r="F940" s="1" t="s">
        <v>11</v>
      </c>
      <c r="G940" s="10">
        <v>95895.7</v>
      </c>
      <c r="H940" s="1" t="s">
        <v>43</v>
      </c>
      <c r="I940" t="s">
        <v>52</v>
      </c>
      <c r="J940" t="s">
        <v>14</v>
      </c>
    </row>
    <row r="941" spans="1:10" x14ac:dyDescent="0.35">
      <c r="A941">
        <v>940</v>
      </c>
      <c r="B941" s="1" t="s">
        <v>35</v>
      </c>
      <c r="C941">
        <v>2017</v>
      </c>
      <c r="D941" s="4">
        <v>3</v>
      </c>
      <c r="E941" s="5">
        <v>152890</v>
      </c>
      <c r="F941" s="1" t="s">
        <v>16</v>
      </c>
      <c r="G941" s="10">
        <v>19615.759999999998</v>
      </c>
      <c r="H941" s="1" t="s">
        <v>36</v>
      </c>
      <c r="I941" t="s">
        <v>53</v>
      </c>
      <c r="J941" t="s">
        <v>22</v>
      </c>
    </row>
    <row r="942" spans="1:10" x14ac:dyDescent="0.35">
      <c r="A942">
        <v>941</v>
      </c>
      <c r="B942" s="1" t="s">
        <v>23</v>
      </c>
      <c r="C942">
        <v>2020</v>
      </c>
      <c r="D942" s="4">
        <v>4.4000000000000004</v>
      </c>
      <c r="E942" s="5">
        <v>55598</v>
      </c>
      <c r="F942" s="1" t="s">
        <v>15</v>
      </c>
      <c r="G942" s="10">
        <v>50456.63</v>
      </c>
      <c r="H942" s="1" t="s">
        <v>34</v>
      </c>
      <c r="I942" t="s">
        <v>51</v>
      </c>
      <c r="J942" t="s">
        <v>22</v>
      </c>
    </row>
    <row r="943" spans="1:10" x14ac:dyDescent="0.35">
      <c r="A943">
        <v>942</v>
      </c>
      <c r="B943" s="1" t="s">
        <v>25</v>
      </c>
      <c r="C943">
        <v>2003</v>
      </c>
      <c r="D943" s="4">
        <v>1.3</v>
      </c>
      <c r="E943" s="5">
        <v>133726</v>
      </c>
      <c r="F943" s="1" t="s">
        <v>11</v>
      </c>
      <c r="G943" s="10">
        <v>56072.54</v>
      </c>
      <c r="H943" s="1" t="s">
        <v>41</v>
      </c>
      <c r="I943" t="s">
        <v>53</v>
      </c>
      <c r="J943" t="s">
        <v>14</v>
      </c>
    </row>
    <row r="944" spans="1:10" x14ac:dyDescent="0.35">
      <c r="A944">
        <v>943</v>
      </c>
      <c r="B944" s="1" t="s">
        <v>25</v>
      </c>
      <c r="C944">
        <v>2009</v>
      </c>
      <c r="D944" s="4">
        <v>1.2</v>
      </c>
      <c r="E944" s="5">
        <v>33758</v>
      </c>
      <c r="F944" s="1" t="s">
        <v>16</v>
      </c>
      <c r="G944" s="10">
        <v>51732.06</v>
      </c>
      <c r="H944" s="1" t="s">
        <v>26</v>
      </c>
      <c r="I944" t="s">
        <v>13</v>
      </c>
      <c r="J944" t="s">
        <v>22</v>
      </c>
    </row>
    <row r="945" spans="1:10" x14ac:dyDescent="0.35">
      <c r="A945">
        <v>944</v>
      </c>
      <c r="B945" s="1" t="s">
        <v>27</v>
      </c>
      <c r="C945">
        <v>2006</v>
      </c>
      <c r="D945" s="4">
        <v>3</v>
      </c>
      <c r="E945" s="5">
        <v>286348</v>
      </c>
      <c r="F945" s="1" t="s">
        <v>15</v>
      </c>
      <c r="G945" s="10">
        <v>81229.740000000005</v>
      </c>
      <c r="H945" s="1" t="s">
        <v>28</v>
      </c>
      <c r="I945" t="s">
        <v>52</v>
      </c>
      <c r="J945" t="s">
        <v>14</v>
      </c>
    </row>
    <row r="946" spans="1:10" x14ac:dyDescent="0.35">
      <c r="A946">
        <v>945</v>
      </c>
      <c r="B946" s="1" t="s">
        <v>29</v>
      </c>
      <c r="C946">
        <v>2021</v>
      </c>
      <c r="D946" s="4">
        <v>4.5</v>
      </c>
      <c r="E946" s="5">
        <v>127309</v>
      </c>
      <c r="F946" s="1" t="s">
        <v>16</v>
      </c>
      <c r="G946" s="10">
        <v>68688.27</v>
      </c>
      <c r="H946" s="1" t="s">
        <v>31</v>
      </c>
      <c r="I946" t="s">
        <v>53</v>
      </c>
      <c r="J946" t="s">
        <v>22</v>
      </c>
    </row>
    <row r="947" spans="1:10" x14ac:dyDescent="0.35">
      <c r="A947">
        <v>946</v>
      </c>
      <c r="B947" s="1" t="s">
        <v>35</v>
      </c>
      <c r="C947">
        <v>2022</v>
      </c>
      <c r="D947" s="4">
        <v>2</v>
      </c>
      <c r="E947" s="5">
        <v>166000</v>
      </c>
      <c r="F947" s="1" t="s">
        <v>11</v>
      </c>
      <c r="G947" s="10">
        <v>17032.55</v>
      </c>
      <c r="H947" s="1" t="s">
        <v>50</v>
      </c>
      <c r="I947" t="s">
        <v>51</v>
      </c>
      <c r="J947" t="s">
        <v>14</v>
      </c>
    </row>
    <row r="948" spans="1:10" x14ac:dyDescent="0.35">
      <c r="A948">
        <v>947</v>
      </c>
      <c r="B948" s="1" t="s">
        <v>35</v>
      </c>
      <c r="C948">
        <v>2000</v>
      </c>
      <c r="D948" s="4">
        <v>4.2</v>
      </c>
      <c r="E948" s="5">
        <v>184681</v>
      </c>
      <c r="F948" s="1" t="s">
        <v>16</v>
      </c>
      <c r="G948" s="10">
        <v>37912.870000000003</v>
      </c>
      <c r="H948" s="1" t="s">
        <v>47</v>
      </c>
      <c r="I948" t="s">
        <v>52</v>
      </c>
      <c r="J948" t="s">
        <v>14</v>
      </c>
    </row>
    <row r="949" spans="1:10" x14ac:dyDescent="0.35">
      <c r="A949">
        <v>948</v>
      </c>
      <c r="B949" s="1" t="s">
        <v>20</v>
      </c>
      <c r="C949">
        <v>2016</v>
      </c>
      <c r="D949" s="4">
        <v>2.2999999999999998</v>
      </c>
      <c r="E949" s="5">
        <v>30552</v>
      </c>
      <c r="F949" s="1" t="s">
        <v>16</v>
      </c>
      <c r="G949" s="10">
        <v>37212.300000000003</v>
      </c>
      <c r="H949" s="1" t="s">
        <v>21</v>
      </c>
      <c r="I949" t="s">
        <v>13</v>
      </c>
      <c r="J949" t="s">
        <v>14</v>
      </c>
    </row>
    <row r="950" spans="1:10" x14ac:dyDescent="0.35">
      <c r="A950">
        <v>949</v>
      </c>
      <c r="B950" s="1" t="s">
        <v>27</v>
      </c>
      <c r="C950">
        <v>2023</v>
      </c>
      <c r="D950" s="4">
        <v>5.4</v>
      </c>
      <c r="E950" s="5">
        <v>147278</v>
      </c>
      <c r="F950" s="1" t="s">
        <v>16</v>
      </c>
      <c r="G950" s="10">
        <v>58735.06</v>
      </c>
      <c r="H950" s="1" t="s">
        <v>48</v>
      </c>
      <c r="I950" t="s">
        <v>52</v>
      </c>
      <c r="J950" t="s">
        <v>22</v>
      </c>
    </row>
    <row r="951" spans="1:10" x14ac:dyDescent="0.35">
      <c r="A951">
        <v>950</v>
      </c>
      <c r="B951" s="1" t="s">
        <v>10</v>
      </c>
      <c r="C951">
        <v>2001</v>
      </c>
      <c r="D951" s="4">
        <v>5.5</v>
      </c>
      <c r="E951" s="5">
        <v>34831</v>
      </c>
      <c r="F951" s="1" t="s">
        <v>16</v>
      </c>
      <c r="G951" s="10">
        <v>32688.55</v>
      </c>
      <c r="H951" s="1" t="s">
        <v>17</v>
      </c>
      <c r="I951" t="s">
        <v>13</v>
      </c>
      <c r="J951" t="s">
        <v>14</v>
      </c>
    </row>
    <row r="952" spans="1:10" x14ac:dyDescent="0.35">
      <c r="A952">
        <v>951</v>
      </c>
      <c r="B952" s="1" t="s">
        <v>10</v>
      </c>
      <c r="C952">
        <v>2010</v>
      </c>
      <c r="D952" s="4">
        <v>2.5</v>
      </c>
      <c r="E952" s="5">
        <v>43563</v>
      </c>
      <c r="F952" s="1" t="s">
        <v>15</v>
      </c>
      <c r="G952" s="10">
        <v>16140.82</v>
      </c>
      <c r="H952" s="1" t="s">
        <v>17</v>
      </c>
      <c r="I952" t="s">
        <v>13</v>
      </c>
      <c r="J952" t="s">
        <v>14</v>
      </c>
    </row>
    <row r="953" spans="1:10" x14ac:dyDescent="0.35">
      <c r="A953">
        <v>952</v>
      </c>
      <c r="B953" s="1" t="s">
        <v>20</v>
      </c>
      <c r="C953">
        <v>2008</v>
      </c>
      <c r="D953" s="4">
        <v>2.1</v>
      </c>
      <c r="E953" s="5">
        <v>18361</v>
      </c>
      <c r="F953" s="1" t="s">
        <v>11</v>
      </c>
      <c r="G953" s="10">
        <v>67099.850000000006</v>
      </c>
      <c r="H953" s="1" t="s">
        <v>21</v>
      </c>
      <c r="I953" t="s">
        <v>53</v>
      </c>
      <c r="J953" t="s">
        <v>22</v>
      </c>
    </row>
    <row r="954" spans="1:10" x14ac:dyDescent="0.35">
      <c r="A954">
        <v>953</v>
      </c>
      <c r="B954" s="1" t="s">
        <v>20</v>
      </c>
      <c r="C954">
        <v>2006</v>
      </c>
      <c r="D954" s="4">
        <v>3.1</v>
      </c>
      <c r="E954" s="5">
        <v>74469</v>
      </c>
      <c r="F954" s="1" t="s">
        <v>15</v>
      </c>
      <c r="G954" s="10">
        <v>85848.51</v>
      </c>
      <c r="H954" s="1" t="s">
        <v>33</v>
      </c>
      <c r="I954" t="s">
        <v>53</v>
      </c>
      <c r="J954" t="s">
        <v>14</v>
      </c>
    </row>
    <row r="955" spans="1:10" x14ac:dyDescent="0.35">
      <c r="A955">
        <v>954</v>
      </c>
      <c r="B955" s="1" t="s">
        <v>20</v>
      </c>
      <c r="C955">
        <v>2021</v>
      </c>
      <c r="D955" s="4">
        <v>2.2000000000000002</v>
      </c>
      <c r="E955" s="5">
        <v>25816</v>
      </c>
      <c r="F955" s="1" t="s">
        <v>16</v>
      </c>
      <c r="G955" s="10">
        <v>93502.77</v>
      </c>
      <c r="H955" s="1" t="s">
        <v>46</v>
      </c>
      <c r="I955" t="s">
        <v>51</v>
      </c>
      <c r="J955" t="s">
        <v>14</v>
      </c>
    </row>
    <row r="956" spans="1:10" x14ac:dyDescent="0.35">
      <c r="A956">
        <v>955</v>
      </c>
      <c r="B956" s="1" t="s">
        <v>29</v>
      </c>
      <c r="C956">
        <v>2016</v>
      </c>
      <c r="D956" s="4">
        <v>4.4000000000000004</v>
      </c>
      <c r="E956" s="5">
        <v>257422</v>
      </c>
      <c r="F956" s="1" t="s">
        <v>16</v>
      </c>
      <c r="G956" s="10">
        <v>97394.95</v>
      </c>
      <c r="H956" s="1" t="s">
        <v>30</v>
      </c>
      <c r="I956" t="s">
        <v>13</v>
      </c>
      <c r="J956" t="s">
        <v>14</v>
      </c>
    </row>
    <row r="957" spans="1:10" x14ac:dyDescent="0.35">
      <c r="A957">
        <v>956</v>
      </c>
      <c r="B957" s="1" t="s">
        <v>29</v>
      </c>
      <c r="C957">
        <v>2016</v>
      </c>
      <c r="D957" s="4">
        <v>5.0999999999999996</v>
      </c>
      <c r="E957" s="5">
        <v>146691</v>
      </c>
      <c r="F957" s="1" t="s">
        <v>11</v>
      </c>
      <c r="G957" s="10">
        <v>79206.100000000006</v>
      </c>
      <c r="H957" s="1" t="s">
        <v>38</v>
      </c>
      <c r="I957" t="s">
        <v>51</v>
      </c>
      <c r="J957" t="s">
        <v>22</v>
      </c>
    </row>
    <row r="958" spans="1:10" x14ac:dyDescent="0.35">
      <c r="A958">
        <v>957</v>
      </c>
      <c r="B958" s="1" t="s">
        <v>23</v>
      </c>
      <c r="C958">
        <v>2001</v>
      </c>
      <c r="D958" s="4">
        <v>4.4000000000000004</v>
      </c>
      <c r="E958" s="5">
        <v>234295</v>
      </c>
      <c r="F958" s="1" t="s">
        <v>11</v>
      </c>
      <c r="G958" s="10">
        <v>18271.73</v>
      </c>
      <c r="H958" s="1" t="s">
        <v>34</v>
      </c>
      <c r="I958" t="s">
        <v>53</v>
      </c>
      <c r="J958" t="s">
        <v>22</v>
      </c>
    </row>
    <row r="959" spans="1:10" x14ac:dyDescent="0.35">
      <c r="A959">
        <v>958</v>
      </c>
      <c r="B959" s="1" t="s">
        <v>23</v>
      </c>
      <c r="C959">
        <v>2005</v>
      </c>
      <c r="D959" s="4">
        <v>5.0999999999999996</v>
      </c>
      <c r="E959" s="5">
        <v>92479</v>
      </c>
      <c r="F959" s="1" t="s">
        <v>15</v>
      </c>
      <c r="G959" s="10">
        <v>86045.62</v>
      </c>
      <c r="H959" s="1" t="s">
        <v>24</v>
      </c>
      <c r="I959" t="s">
        <v>13</v>
      </c>
      <c r="J959" t="s">
        <v>22</v>
      </c>
    </row>
    <row r="960" spans="1:10" x14ac:dyDescent="0.35">
      <c r="A960">
        <v>959</v>
      </c>
      <c r="B960" s="1" t="s">
        <v>20</v>
      </c>
      <c r="C960">
        <v>2013</v>
      </c>
      <c r="D960" s="4">
        <v>3</v>
      </c>
      <c r="E960" s="5">
        <v>26819</v>
      </c>
      <c r="F960" s="1" t="s">
        <v>15</v>
      </c>
      <c r="G960" s="10">
        <v>42996.21</v>
      </c>
      <c r="H960" s="1" t="s">
        <v>33</v>
      </c>
      <c r="I960" t="s">
        <v>51</v>
      </c>
      <c r="J960" t="s">
        <v>14</v>
      </c>
    </row>
    <row r="961" spans="1:10" x14ac:dyDescent="0.35">
      <c r="A961">
        <v>960</v>
      </c>
      <c r="B961" s="1" t="s">
        <v>27</v>
      </c>
      <c r="C961">
        <v>2005</v>
      </c>
      <c r="D961" s="4">
        <v>1.8</v>
      </c>
      <c r="E961" s="5">
        <v>8798</v>
      </c>
      <c r="F961" s="1" t="s">
        <v>11</v>
      </c>
      <c r="G961" s="10">
        <v>74341.570000000007</v>
      </c>
      <c r="H961" s="1" t="s">
        <v>28</v>
      </c>
      <c r="I961" t="s">
        <v>51</v>
      </c>
      <c r="J961" t="s">
        <v>22</v>
      </c>
    </row>
    <row r="962" spans="1:10" x14ac:dyDescent="0.35">
      <c r="A962">
        <v>961</v>
      </c>
      <c r="B962" s="1" t="s">
        <v>35</v>
      </c>
      <c r="C962">
        <v>2001</v>
      </c>
      <c r="D962" s="4">
        <v>4.7</v>
      </c>
      <c r="E962" s="5">
        <v>156215</v>
      </c>
      <c r="F962" s="1" t="s">
        <v>15</v>
      </c>
      <c r="G962" s="10">
        <v>55470.46</v>
      </c>
      <c r="H962" s="1" t="s">
        <v>50</v>
      </c>
      <c r="I962" t="s">
        <v>51</v>
      </c>
      <c r="J962" t="s">
        <v>22</v>
      </c>
    </row>
    <row r="963" spans="1:10" x14ac:dyDescent="0.35">
      <c r="A963">
        <v>962</v>
      </c>
      <c r="B963" s="1" t="s">
        <v>29</v>
      </c>
      <c r="C963">
        <v>2000</v>
      </c>
      <c r="D963" s="4">
        <v>2.8</v>
      </c>
      <c r="E963" s="5">
        <v>243942</v>
      </c>
      <c r="F963" s="1" t="s">
        <v>16</v>
      </c>
      <c r="G963" s="10">
        <v>83717.58</v>
      </c>
      <c r="H963" s="1" t="s">
        <v>38</v>
      </c>
      <c r="I963" t="s">
        <v>51</v>
      </c>
      <c r="J963" t="s">
        <v>14</v>
      </c>
    </row>
    <row r="964" spans="1:10" x14ac:dyDescent="0.35">
      <c r="A964">
        <v>963</v>
      </c>
      <c r="B964" s="1" t="s">
        <v>27</v>
      </c>
      <c r="C964">
        <v>2009</v>
      </c>
      <c r="D964" s="4">
        <v>4.4000000000000004</v>
      </c>
      <c r="E964" s="5">
        <v>230259</v>
      </c>
      <c r="F964" s="1" t="s">
        <v>16</v>
      </c>
      <c r="G964" s="10">
        <v>45423.040000000001</v>
      </c>
      <c r="H964" s="1" t="s">
        <v>28</v>
      </c>
      <c r="I964" t="s">
        <v>51</v>
      </c>
      <c r="J964" t="s">
        <v>14</v>
      </c>
    </row>
    <row r="965" spans="1:10" x14ac:dyDescent="0.35">
      <c r="A965">
        <v>964</v>
      </c>
      <c r="B965" s="1" t="s">
        <v>25</v>
      </c>
      <c r="C965">
        <v>2020</v>
      </c>
      <c r="D965" s="4">
        <v>2.4</v>
      </c>
      <c r="E965" s="5">
        <v>129544</v>
      </c>
      <c r="F965" s="1" t="s">
        <v>11</v>
      </c>
      <c r="G965" s="10">
        <v>10870.41</v>
      </c>
      <c r="H965" s="1" t="s">
        <v>44</v>
      </c>
      <c r="I965" t="s">
        <v>13</v>
      </c>
      <c r="J965" t="s">
        <v>22</v>
      </c>
    </row>
    <row r="966" spans="1:10" x14ac:dyDescent="0.35">
      <c r="A966">
        <v>965</v>
      </c>
      <c r="B966" s="1" t="s">
        <v>29</v>
      </c>
      <c r="C966">
        <v>2004</v>
      </c>
      <c r="D966" s="4">
        <v>1.4</v>
      </c>
      <c r="E966" s="5">
        <v>152254</v>
      </c>
      <c r="F966" s="1" t="s">
        <v>15</v>
      </c>
      <c r="G966" s="10">
        <v>57898.25</v>
      </c>
      <c r="H966" s="1" t="s">
        <v>43</v>
      </c>
      <c r="I966" t="s">
        <v>51</v>
      </c>
      <c r="J966" t="s">
        <v>14</v>
      </c>
    </row>
    <row r="967" spans="1:10" x14ac:dyDescent="0.35">
      <c r="A967">
        <v>966</v>
      </c>
      <c r="B967" s="1" t="s">
        <v>29</v>
      </c>
      <c r="C967">
        <v>2001</v>
      </c>
      <c r="D967" s="4">
        <v>6</v>
      </c>
      <c r="E967" s="5">
        <v>253800</v>
      </c>
      <c r="F967" s="1" t="s">
        <v>16</v>
      </c>
      <c r="G967" s="10">
        <v>21272.6</v>
      </c>
      <c r="H967" s="1" t="s">
        <v>31</v>
      </c>
      <c r="I967" t="s">
        <v>13</v>
      </c>
      <c r="J967" t="s">
        <v>22</v>
      </c>
    </row>
    <row r="968" spans="1:10" x14ac:dyDescent="0.35">
      <c r="A968">
        <v>967</v>
      </c>
      <c r="B968" s="1" t="s">
        <v>23</v>
      </c>
      <c r="C968">
        <v>2021</v>
      </c>
      <c r="D968" s="4">
        <v>1.8</v>
      </c>
      <c r="E968" s="5">
        <v>9415</v>
      </c>
      <c r="F968" s="1" t="s">
        <v>11</v>
      </c>
      <c r="G968" s="10">
        <v>96724.18</v>
      </c>
      <c r="H968" s="1" t="s">
        <v>34</v>
      </c>
      <c r="I968" t="s">
        <v>51</v>
      </c>
      <c r="J968" t="s">
        <v>14</v>
      </c>
    </row>
    <row r="969" spans="1:10" x14ac:dyDescent="0.35">
      <c r="A969">
        <v>968</v>
      </c>
      <c r="B969" s="1" t="s">
        <v>35</v>
      </c>
      <c r="C969">
        <v>2015</v>
      </c>
      <c r="D969" s="4">
        <v>5.9</v>
      </c>
      <c r="E969" s="5">
        <v>87638</v>
      </c>
      <c r="F969" s="1" t="s">
        <v>15</v>
      </c>
      <c r="G969" s="10">
        <v>55061.49</v>
      </c>
      <c r="H969" s="1" t="s">
        <v>47</v>
      </c>
      <c r="I969" t="s">
        <v>53</v>
      </c>
      <c r="J969" t="s">
        <v>14</v>
      </c>
    </row>
    <row r="970" spans="1:10" x14ac:dyDescent="0.35">
      <c r="A970">
        <v>969</v>
      </c>
      <c r="B970" s="1" t="s">
        <v>35</v>
      </c>
      <c r="C970">
        <v>2001</v>
      </c>
      <c r="D970" s="4">
        <v>5.9</v>
      </c>
      <c r="E970" s="5">
        <v>18452</v>
      </c>
      <c r="F970" s="1" t="s">
        <v>16</v>
      </c>
      <c r="G970" s="10">
        <v>57588.09</v>
      </c>
      <c r="H970" s="1" t="s">
        <v>50</v>
      </c>
      <c r="I970" t="s">
        <v>53</v>
      </c>
      <c r="J970" t="s">
        <v>14</v>
      </c>
    </row>
    <row r="971" spans="1:10" x14ac:dyDescent="0.35">
      <c r="A971">
        <v>970</v>
      </c>
      <c r="B971" s="1" t="s">
        <v>10</v>
      </c>
      <c r="C971">
        <v>2009</v>
      </c>
      <c r="D971" s="4">
        <v>5</v>
      </c>
      <c r="E971" s="5">
        <v>195457</v>
      </c>
      <c r="F971" s="1" t="s">
        <v>15</v>
      </c>
      <c r="G971" s="10">
        <v>91190.24</v>
      </c>
      <c r="H971" s="1" t="s">
        <v>17</v>
      </c>
      <c r="I971" t="s">
        <v>13</v>
      </c>
      <c r="J971" t="s">
        <v>14</v>
      </c>
    </row>
    <row r="972" spans="1:10" x14ac:dyDescent="0.35">
      <c r="A972">
        <v>971</v>
      </c>
      <c r="B972" s="1" t="s">
        <v>10</v>
      </c>
      <c r="C972">
        <v>2001</v>
      </c>
      <c r="D972" s="4">
        <v>4.3</v>
      </c>
      <c r="E972" s="5">
        <v>110205</v>
      </c>
      <c r="F972" s="1" t="s">
        <v>15</v>
      </c>
      <c r="G972" s="10">
        <v>64335.6</v>
      </c>
      <c r="H972" s="1" t="s">
        <v>17</v>
      </c>
      <c r="I972" t="s">
        <v>13</v>
      </c>
      <c r="J972" t="s">
        <v>14</v>
      </c>
    </row>
    <row r="973" spans="1:10" x14ac:dyDescent="0.35">
      <c r="A973">
        <v>972</v>
      </c>
      <c r="B973" s="1" t="s">
        <v>10</v>
      </c>
      <c r="C973">
        <v>2015</v>
      </c>
      <c r="D973" s="4">
        <v>3.9</v>
      </c>
      <c r="E973" s="5">
        <v>18170</v>
      </c>
      <c r="F973" s="1" t="s">
        <v>15</v>
      </c>
      <c r="G973" s="10">
        <v>33759.29</v>
      </c>
      <c r="H973" s="1" t="s">
        <v>18</v>
      </c>
      <c r="I973" t="s">
        <v>13</v>
      </c>
      <c r="J973" t="s">
        <v>14</v>
      </c>
    </row>
    <row r="974" spans="1:10" x14ac:dyDescent="0.35">
      <c r="A974">
        <v>973</v>
      </c>
      <c r="B974" s="1" t="s">
        <v>10</v>
      </c>
      <c r="C974">
        <v>2015</v>
      </c>
      <c r="D974" s="4">
        <v>5.3</v>
      </c>
      <c r="E974" s="5">
        <v>16259</v>
      </c>
      <c r="F974" s="1" t="s">
        <v>11</v>
      </c>
      <c r="G974" s="10">
        <v>33128.99</v>
      </c>
      <c r="H974" s="1" t="s">
        <v>17</v>
      </c>
      <c r="I974" t="s">
        <v>13</v>
      </c>
      <c r="J974" t="s">
        <v>14</v>
      </c>
    </row>
    <row r="975" spans="1:10" x14ac:dyDescent="0.35">
      <c r="A975">
        <v>974</v>
      </c>
      <c r="B975" s="1" t="s">
        <v>25</v>
      </c>
      <c r="C975">
        <v>2018</v>
      </c>
      <c r="D975" s="4">
        <v>2.4</v>
      </c>
      <c r="E975" s="5">
        <v>284243</v>
      </c>
      <c r="F975" s="1" t="s">
        <v>16</v>
      </c>
      <c r="G975" s="10">
        <v>52649.97</v>
      </c>
      <c r="H975" s="1" t="s">
        <v>44</v>
      </c>
      <c r="I975" t="s">
        <v>51</v>
      </c>
      <c r="J975" t="s">
        <v>14</v>
      </c>
    </row>
    <row r="976" spans="1:10" x14ac:dyDescent="0.35">
      <c r="A976">
        <v>975</v>
      </c>
      <c r="B976" s="1" t="s">
        <v>25</v>
      </c>
      <c r="C976">
        <v>2006</v>
      </c>
      <c r="D976" s="4">
        <v>3.3</v>
      </c>
      <c r="E976" s="5">
        <v>140721</v>
      </c>
      <c r="F976" s="1" t="s">
        <v>11</v>
      </c>
      <c r="G976" s="10">
        <v>87327.78</v>
      </c>
      <c r="H976" s="1" t="s">
        <v>41</v>
      </c>
      <c r="I976" t="s">
        <v>13</v>
      </c>
      <c r="J976" t="s">
        <v>14</v>
      </c>
    </row>
    <row r="977" spans="1:10" x14ac:dyDescent="0.35">
      <c r="A977">
        <v>976</v>
      </c>
      <c r="B977" s="1" t="s">
        <v>29</v>
      </c>
      <c r="C977">
        <v>2021</v>
      </c>
      <c r="D977" s="4">
        <v>4.0999999999999996</v>
      </c>
      <c r="E977" s="5">
        <v>129394</v>
      </c>
      <c r="F977" s="1" t="s">
        <v>16</v>
      </c>
      <c r="G977" s="10">
        <v>80499.289999999994</v>
      </c>
      <c r="H977" s="1" t="s">
        <v>43</v>
      </c>
      <c r="I977" t="s">
        <v>52</v>
      </c>
      <c r="J977" t="s">
        <v>14</v>
      </c>
    </row>
    <row r="978" spans="1:10" x14ac:dyDescent="0.35">
      <c r="A978">
        <v>977</v>
      </c>
      <c r="B978" s="1" t="s">
        <v>20</v>
      </c>
      <c r="C978">
        <v>2011</v>
      </c>
      <c r="D978" s="4">
        <v>3.1</v>
      </c>
      <c r="E978" s="5">
        <v>172109</v>
      </c>
      <c r="F978" s="1" t="s">
        <v>16</v>
      </c>
      <c r="G978" s="10">
        <v>96460.36</v>
      </c>
      <c r="H978" s="1" t="s">
        <v>46</v>
      </c>
      <c r="I978" t="s">
        <v>51</v>
      </c>
      <c r="J978" t="s">
        <v>22</v>
      </c>
    </row>
    <row r="979" spans="1:10" x14ac:dyDescent="0.35">
      <c r="A979">
        <v>978</v>
      </c>
      <c r="B979" s="1" t="s">
        <v>23</v>
      </c>
      <c r="C979">
        <v>2023</v>
      </c>
      <c r="D979" s="4">
        <v>3.1</v>
      </c>
      <c r="E979" s="5">
        <v>273949</v>
      </c>
      <c r="F979" s="1" t="s">
        <v>11</v>
      </c>
      <c r="G979" s="10">
        <v>11829.18</v>
      </c>
      <c r="H979" s="1" t="s">
        <v>34</v>
      </c>
      <c r="I979" t="s">
        <v>53</v>
      </c>
      <c r="J979" t="s">
        <v>22</v>
      </c>
    </row>
    <row r="980" spans="1:10" x14ac:dyDescent="0.35">
      <c r="A980">
        <v>979</v>
      </c>
      <c r="B980" s="1" t="s">
        <v>23</v>
      </c>
      <c r="C980">
        <v>2014</v>
      </c>
      <c r="D980" s="4">
        <v>2.7</v>
      </c>
      <c r="E980" s="5">
        <v>254599</v>
      </c>
      <c r="F980" s="1" t="s">
        <v>11</v>
      </c>
      <c r="G980" s="10">
        <v>30490.98</v>
      </c>
      <c r="H980" s="1" t="s">
        <v>34</v>
      </c>
      <c r="I980" t="s">
        <v>13</v>
      </c>
      <c r="J980" t="s">
        <v>22</v>
      </c>
    </row>
    <row r="981" spans="1:10" x14ac:dyDescent="0.35">
      <c r="A981">
        <v>980</v>
      </c>
      <c r="B981" s="1" t="s">
        <v>10</v>
      </c>
      <c r="C981">
        <v>2007</v>
      </c>
      <c r="D981" s="4">
        <v>3.8</v>
      </c>
      <c r="E981" s="5">
        <v>43147</v>
      </c>
      <c r="F981" s="1" t="s">
        <v>16</v>
      </c>
      <c r="G981" s="10">
        <v>12619.73</v>
      </c>
      <c r="H981" s="1" t="s">
        <v>19</v>
      </c>
      <c r="I981" t="s">
        <v>13</v>
      </c>
      <c r="J981" t="s">
        <v>14</v>
      </c>
    </row>
    <row r="982" spans="1:10" x14ac:dyDescent="0.35">
      <c r="A982">
        <v>981</v>
      </c>
      <c r="B982" s="1" t="s">
        <v>29</v>
      </c>
      <c r="C982">
        <v>2005</v>
      </c>
      <c r="D982" s="4">
        <v>5.3</v>
      </c>
      <c r="E982" s="5">
        <v>74280</v>
      </c>
      <c r="F982" s="1" t="s">
        <v>16</v>
      </c>
      <c r="G982" s="10">
        <v>76352.52</v>
      </c>
      <c r="H982" s="1" t="s">
        <v>31</v>
      </c>
      <c r="I982" t="s">
        <v>53</v>
      </c>
      <c r="J982" t="s">
        <v>14</v>
      </c>
    </row>
    <row r="983" spans="1:10" x14ac:dyDescent="0.35">
      <c r="A983">
        <v>982</v>
      </c>
      <c r="B983" s="1" t="s">
        <v>27</v>
      </c>
      <c r="C983">
        <v>2009</v>
      </c>
      <c r="D983" s="4">
        <v>2</v>
      </c>
      <c r="E983" s="5">
        <v>177125</v>
      </c>
      <c r="F983" s="1" t="s">
        <v>16</v>
      </c>
      <c r="G983" s="10">
        <v>18379.2</v>
      </c>
      <c r="H983" s="1" t="s">
        <v>48</v>
      </c>
      <c r="I983" t="s">
        <v>51</v>
      </c>
      <c r="J983" t="s">
        <v>22</v>
      </c>
    </row>
    <row r="984" spans="1:10" x14ac:dyDescent="0.35">
      <c r="A984">
        <v>983</v>
      </c>
      <c r="B984" s="1" t="s">
        <v>20</v>
      </c>
      <c r="C984">
        <v>2002</v>
      </c>
      <c r="D984" s="4">
        <v>5.7</v>
      </c>
      <c r="E984" s="5">
        <v>97841</v>
      </c>
      <c r="F984" s="1" t="s">
        <v>15</v>
      </c>
      <c r="G984" s="10">
        <v>14489.2</v>
      </c>
      <c r="H984" s="1" t="s">
        <v>46</v>
      </c>
      <c r="I984" t="s">
        <v>13</v>
      </c>
      <c r="J984" t="s">
        <v>14</v>
      </c>
    </row>
    <row r="985" spans="1:10" x14ac:dyDescent="0.35">
      <c r="A985">
        <v>984</v>
      </c>
      <c r="B985" s="1" t="s">
        <v>29</v>
      </c>
      <c r="C985">
        <v>2018</v>
      </c>
      <c r="D985" s="4">
        <v>4.4000000000000004</v>
      </c>
      <c r="E985" s="5">
        <v>124726</v>
      </c>
      <c r="F985" s="1" t="s">
        <v>16</v>
      </c>
      <c r="G985" s="10">
        <v>58358.86</v>
      </c>
      <c r="H985" s="1" t="s">
        <v>30</v>
      </c>
      <c r="I985" t="s">
        <v>52</v>
      </c>
      <c r="J985" t="s">
        <v>22</v>
      </c>
    </row>
    <row r="986" spans="1:10" x14ac:dyDescent="0.35">
      <c r="A986">
        <v>985</v>
      </c>
      <c r="B986" s="1" t="s">
        <v>20</v>
      </c>
      <c r="C986">
        <v>2016</v>
      </c>
      <c r="D986" s="4">
        <v>5.0999999999999996</v>
      </c>
      <c r="E986" s="5">
        <v>76215</v>
      </c>
      <c r="F986" s="1" t="s">
        <v>11</v>
      </c>
      <c r="G986" s="10">
        <v>44091.05</v>
      </c>
      <c r="H986" s="1" t="s">
        <v>46</v>
      </c>
      <c r="I986" t="s">
        <v>53</v>
      </c>
      <c r="J986" t="s">
        <v>14</v>
      </c>
    </row>
    <row r="987" spans="1:10" x14ac:dyDescent="0.35">
      <c r="A987">
        <v>986</v>
      </c>
      <c r="B987" s="1" t="s">
        <v>20</v>
      </c>
      <c r="C987">
        <v>2006</v>
      </c>
      <c r="D987" s="4">
        <v>3.8</v>
      </c>
      <c r="E987" s="5">
        <v>112909</v>
      </c>
      <c r="F987" s="1" t="s">
        <v>11</v>
      </c>
      <c r="G987" s="10">
        <v>72934.63</v>
      </c>
      <c r="H987" s="1" t="s">
        <v>46</v>
      </c>
      <c r="I987" t="s">
        <v>51</v>
      </c>
      <c r="J987" t="s">
        <v>14</v>
      </c>
    </row>
    <row r="988" spans="1:10" x14ac:dyDescent="0.35">
      <c r="A988">
        <v>987</v>
      </c>
      <c r="B988" s="1" t="s">
        <v>20</v>
      </c>
      <c r="C988">
        <v>2020</v>
      </c>
      <c r="D988" s="4">
        <v>4.9000000000000004</v>
      </c>
      <c r="E988" s="5">
        <v>273129</v>
      </c>
      <c r="F988" s="1" t="s">
        <v>11</v>
      </c>
      <c r="G988" s="10">
        <v>51266.46</v>
      </c>
      <c r="H988" s="1" t="s">
        <v>46</v>
      </c>
      <c r="I988" t="s">
        <v>51</v>
      </c>
      <c r="J988" t="s">
        <v>22</v>
      </c>
    </row>
    <row r="989" spans="1:10" x14ac:dyDescent="0.35">
      <c r="A989">
        <v>988</v>
      </c>
      <c r="B989" s="1" t="s">
        <v>29</v>
      </c>
      <c r="C989">
        <v>2019</v>
      </c>
      <c r="D989" s="4">
        <v>1.1000000000000001</v>
      </c>
      <c r="E989" s="5">
        <v>274535</v>
      </c>
      <c r="F989" s="1" t="s">
        <v>16</v>
      </c>
      <c r="G989" s="10">
        <v>45406.79</v>
      </c>
      <c r="H989" s="1" t="s">
        <v>31</v>
      </c>
      <c r="I989" t="s">
        <v>52</v>
      </c>
      <c r="J989" t="s">
        <v>22</v>
      </c>
    </row>
    <row r="990" spans="1:10" x14ac:dyDescent="0.35">
      <c r="A990">
        <v>989</v>
      </c>
      <c r="B990" s="1" t="s">
        <v>10</v>
      </c>
      <c r="C990">
        <v>2003</v>
      </c>
      <c r="D990" s="4">
        <v>5.0999999999999996</v>
      </c>
      <c r="E990" s="5">
        <v>4861</v>
      </c>
      <c r="F990" s="1" t="s">
        <v>16</v>
      </c>
      <c r="G990" s="10">
        <v>45422.54</v>
      </c>
      <c r="H990" s="1" t="s">
        <v>19</v>
      </c>
      <c r="I990" t="s">
        <v>13</v>
      </c>
      <c r="J990" t="s">
        <v>14</v>
      </c>
    </row>
    <row r="991" spans="1:10" x14ac:dyDescent="0.35">
      <c r="A991">
        <v>990</v>
      </c>
      <c r="B991" s="1" t="s">
        <v>23</v>
      </c>
      <c r="C991">
        <v>2013</v>
      </c>
      <c r="D991" s="4">
        <v>1.2</v>
      </c>
      <c r="E991" s="5">
        <v>261968</v>
      </c>
      <c r="F991" s="1" t="s">
        <v>15</v>
      </c>
      <c r="G991" s="10">
        <v>87828.26</v>
      </c>
      <c r="H991" s="1" t="s">
        <v>24</v>
      </c>
      <c r="I991" t="s">
        <v>53</v>
      </c>
      <c r="J991" t="s">
        <v>22</v>
      </c>
    </row>
    <row r="992" spans="1:10" x14ac:dyDescent="0.35">
      <c r="A992">
        <v>991</v>
      </c>
      <c r="B992" s="1" t="s">
        <v>23</v>
      </c>
      <c r="C992">
        <v>2019</v>
      </c>
      <c r="D992" s="4">
        <v>5.4</v>
      </c>
      <c r="E992" s="5">
        <v>183000</v>
      </c>
      <c r="F992" s="1" t="s">
        <v>15</v>
      </c>
      <c r="G992" s="10">
        <v>42546.44</v>
      </c>
      <c r="H992" s="1" t="s">
        <v>42</v>
      </c>
      <c r="I992" t="s">
        <v>51</v>
      </c>
      <c r="J992" t="s">
        <v>22</v>
      </c>
    </row>
    <row r="993" spans="1:10" x14ac:dyDescent="0.35">
      <c r="A993">
        <v>992</v>
      </c>
      <c r="B993" s="1" t="s">
        <v>10</v>
      </c>
      <c r="C993">
        <v>2021</v>
      </c>
      <c r="D993" s="4">
        <v>6</v>
      </c>
      <c r="E993" s="5">
        <v>296508</v>
      </c>
      <c r="F993" s="1" t="s">
        <v>11</v>
      </c>
      <c r="G993" s="10">
        <v>36672.730000000003</v>
      </c>
      <c r="H993" s="1" t="s">
        <v>12</v>
      </c>
      <c r="I993" t="s">
        <v>13</v>
      </c>
      <c r="J993" t="s">
        <v>14</v>
      </c>
    </row>
    <row r="994" spans="1:10" x14ac:dyDescent="0.35">
      <c r="A994">
        <v>993</v>
      </c>
      <c r="B994" s="1" t="s">
        <v>20</v>
      </c>
      <c r="C994">
        <v>2014</v>
      </c>
      <c r="D994" s="4">
        <v>2.5</v>
      </c>
      <c r="E994" s="5">
        <v>249072</v>
      </c>
      <c r="F994" s="1" t="s">
        <v>15</v>
      </c>
      <c r="G994" s="10">
        <v>37160.83</v>
      </c>
      <c r="H994" s="1" t="s">
        <v>33</v>
      </c>
      <c r="I994" t="s">
        <v>13</v>
      </c>
      <c r="J994" t="s">
        <v>14</v>
      </c>
    </row>
    <row r="995" spans="1:10" x14ac:dyDescent="0.35">
      <c r="A995">
        <v>994</v>
      </c>
      <c r="B995" s="1" t="s">
        <v>27</v>
      </c>
      <c r="C995">
        <v>2023</v>
      </c>
      <c r="D995" s="4">
        <v>2.1</v>
      </c>
      <c r="E995" s="5">
        <v>224402</v>
      </c>
      <c r="F995" s="1" t="s">
        <v>15</v>
      </c>
      <c r="G995" s="10">
        <v>23677.08</v>
      </c>
      <c r="H995" s="1" t="s">
        <v>28</v>
      </c>
      <c r="I995" t="s">
        <v>53</v>
      </c>
      <c r="J995" t="s">
        <v>14</v>
      </c>
    </row>
    <row r="996" spans="1:10" x14ac:dyDescent="0.35">
      <c r="A996">
        <v>995</v>
      </c>
      <c r="B996" s="1" t="s">
        <v>35</v>
      </c>
      <c r="C996">
        <v>2007</v>
      </c>
      <c r="D996" s="4">
        <v>4.8</v>
      </c>
      <c r="E996" s="5">
        <v>42923</v>
      </c>
      <c r="F996" s="1" t="s">
        <v>11</v>
      </c>
      <c r="G996" s="10">
        <v>86765.440000000002</v>
      </c>
      <c r="H996" s="1" t="s">
        <v>50</v>
      </c>
      <c r="I996" t="s">
        <v>13</v>
      </c>
      <c r="J996" t="s">
        <v>22</v>
      </c>
    </row>
    <row r="997" spans="1:10" x14ac:dyDescent="0.35">
      <c r="A997">
        <v>996</v>
      </c>
      <c r="B997" s="1" t="s">
        <v>29</v>
      </c>
      <c r="C997">
        <v>2020</v>
      </c>
      <c r="D997" s="4">
        <v>2.2999999999999998</v>
      </c>
      <c r="E997" s="5">
        <v>186968</v>
      </c>
      <c r="F997" s="1" t="s">
        <v>16</v>
      </c>
      <c r="G997" s="10">
        <v>18929.93</v>
      </c>
      <c r="H997" s="1" t="s">
        <v>30</v>
      </c>
      <c r="I997" t="s">
        <v>52</v>
      </c>
      <c r="J997" t="s">
        <v>14</v>
      </c>
    </row>
    <row r="998" spans="1:10" x14ac:dyDescent="0.35">
      <c r="A998">
        <v>997</v>
      </c>
      <c r="B998" s="1" t="s">
        <v>35</v>
      </c>
      <c r="C998">
        <v>2014</v>
      </c>
      <c r="D998" s="4">
        <v>5.3</v>
      </c>
      <c r="E998" s="5">
        <v>165912</v>
      </c>
      <c r="F998" s="1" t="s">
        <v>15</v>
      </c>
      <c r="G998" s="10">
        <v>91318.02</v>
      </c>
      <c r="H998" s="1" t="s">
        <v>45</v>
      </c>
      <c r="I998" t="s">
        <v>51</v>
      </c>
      <c r="J998" t="s">
        <v>14</v>
      </c>
    </row>
    <row r="999" spans="1:10" x14ac:dyDescent="0.35">
      <c r="A999">
        <v>998</v>
      </c>
      <c r="B999" s="1" t="s">
        <v>10</v>
      </c>
      <c r="C999">
        <v>2021</v>
      </c>
      <c r="D999" s="4">
        <v>1.5</v>
      </c>
      <c r="E999" s="5">
        <v>173327</v>
      </c>
      <c r="F999" s="1" t="s">
        <v>16</v>
      </c>
      <c r="G999" s="10">
        <v>31929.43</v>
      </c>
      <c r="H999" s="1" t="s">
        <v>17</v>
      </c>
      <c r="I999" t="s">
        <v>13</v>
      </c>
      <c r="J999" t="s">
        <v>14</v>
      </c>
    </row>
    <row r="1000" spans="1:10" x14ac:dyDescent="0.35">
      <c r="A1000">
        <v>999</v>
      </c>
      <c r="B1000" s="1" t="s">
        <v>27</v>
      </c>
      <c r="C1000">
        <v>2019</v>
      </c>
      <c r="D1000" s="4">
        <v>1.6</v>
      </c>
      <c r="E1000" s="5">
        <v>128165</v>
      </c>
      <c r="F1000" s="1" t="s">
        <v>11</v>
      </c>
      <c r="G1000" s="10">
        <v>90445.55</v>
      </c>
      <c r="H1000" s="1" t="s">
        <v>48</v>
      </c>
      <c r="I1000" t="s">
        <v>52</v>
      </c>
      <c r="J1000" t="s">
        <v>14</v>
      </c>
    </row>
    <row r="1001" spans="1:10" x14ac:dyDescent="0.35">
      <c r="A1001">
        <v>1000</v>
      </c>
      <c r="B1001" s="1" t="s">
        <v>29</v>
      </c>
      <c r="C1001">
        <v>2013</v>
      </c>
      <c r="D1001" s="4">
        <v>5.9</v>
      </c>
      <c r="E1001" s="5">
        <v>230314</v>
      </c>
      <c r="F1001" s="1" t="s">
        <v>11</v>
      </c>
      <c r="G1001" s="10">
        <v>80127.960000000006</v>
      </c>
      <c r="H1001" s="1" t="s">
        <v>43</v>
      </c>
      <c r="I1001" t="s">
        <v>51</v>
      </c>
      <c r="J1001" t="s">
        <v>14</v>
      </c>
    </row>
    <row r="1002" spans="1:10" x14ac:dyDescent="0.35">
      <c r="A1002">
        <v>1001</v>
      </c>
      <c r="B1002" s="1" t="s">
        <v>10</v>
      </c>
      <c r="C1002">
        <v>2008</v>
      </c>
      <c r="D1002" s="4">
        <v>4.4000000000000004</v>
      </c>
      <c r="E1002" s="5">
        <v>295673</v>
      </c>
      <c r="F1002" s="1" t="s">
        <v>15</v>
      </c>
      <c r="G1002" s="10">
        <v>60288.81</v>
      </c>
      <c r="H1002" s="1" t="s">
        <v>19</v>
      </c>
      <c r="I1002" t="s">
        <v>13</v>
      </c>
      <c r="J1002" t="s">
        <v>14</v>
      </c>
    </row>
    <row r="1003" spans="1:10" x14ac:dyDescent="0.35">
      <c r="A1003">
        <v>1002</v>
      </c>
      <c r="B1003" s="1" t="s">
        <v>20</v>
      </c>
      <c r="C1003">
        <v>2007</v>
      </c>
      <c r="D1003" s="4">
        <v>5.2</v>
      </c>
      <c r="E1003" s="5">
        <v>144013</v>
      </c>
      <c r="F1003" s="1" t="s">
        <v>11</v>
      </c>
      <c r="G1003" s="10">
        <v>68599.649999999994</v>
      </c>
      <c r="H1003" s="1" t="s">
        <v>39</v>
      </c>
      <c r="I1003" t="s">
        <v>53</v>
      </c>
      <c r="J1003" t="s">
        <v>14</v>
      </c>
    </row>
    <row r="1004" spans="1:10" x14ac:dyDescent="0.35">
      <c r="A1004">
        <v>1003</v>
      </c>
      <c r="B1004" s="1" t="s">
        <v>23</v>
      </c>
      <c r="C1004">
        <v>2016</v>
      </c>
      <c r="D1004" s="4">
        <v>2.6</v>
      </c>
      <c r="E1004" s="5">
        <v>1669</v>
      </c>
      <c r="F1004" s="1" t="s">
        <v>11</v>
      </c>
      <c r="G1004" s="10">
        <v>35955.19</v>
      </c>
      <c r="H1004" s="1" t="s">
        <v>42</v>
      </c>
      <c r="I1004" t="s">
        <v>53</v>
      </c>
      <c r="J1004" t="s">
        <v>14</v>
      </c>
    </row>
    <row r="1005" spans="1:10" x14ac:dyDescent="0.35">
      <c r="A1005">
        <v>1004</v>
      </c>
      <c r="B1005" s="1" t="s">
        <v>35</v>
      </c>
      <c r="C1005">
        <v>2001</v>
      </c>
      <c r="D1005" s="4">
        <v>4.4000000000000004</v>
      </c>
      <c r="E1005" s="5">
        <v>216854</v>
      </c>
      <c r="F1005" s="1" t="s">
        <v>11</v>
      </c>
      <c r="G1005" s="10">
        <v>59551.72</v>
      </c>
      <c r="H1005" s="1" t="s">
        <v>50</v>
      </c>
      <c r="I1005" t="s">
        <v>52</v>
      </c>
      <c r="J1005" t="s">
        <v>22</v>
      </c>
    </row>
    <row r="1006" spans="1:10" x14ac:dyDescent="0.35">
      <c r="A1006">
        <v>1005</v>
      </c>
      <c r="B1006" s="1" t="s">
        <v>25</v>
      </c>
      <c r="C1006">
        <v>2023</v>
      </c>
      <c r="D1006" s="4">
        <v>4</v>
      </c>
      <c r="E1006" s="5">
        <v>55786</v>
      </c>
      <c r="F1006" s="1" t="s">
        <v>15</v>
      </c>
      <c r="G1006" s="10">
        <v>32778.28</v>
      </c>
      <c r="H1006" s="1" t="s">
        <v>41</v>
      </c>
      <c r="I1006" t="s">
        <v>51</v>
      </c>
      <c r="J1006" t="s">
        <v>14</v>
      </c>
    </row>
    <row r="1007" spans="1:10" x14ac:dyDescent="0.35">
      <c r="A1007">
        <v>1006</v>
      </c>
      <c r="B1007" s="1" t="s">
        <v>25</v>
      </c>
      <c r="C1007">
        <v>2002</v>
      </c>
      <c r="D1007" s="4">
        <v>4</v>
      </c>
      <c r="E1007" s="5">
        <v>182155</v>
      </c>
      <c r="F1007" s="1" t="s">
        <v>15</v>
      </c>
      <c r="G1007" s="10">
        <v>43215.92</v>
      </c>
      <c r="H1007" s="1" t="s">
        <v>26</v>
      </c>
      <c r="I1007" t="s">
        <v>13</v>
      </c>
      <c r="J1007" t="s">
        <v>14</v>
      </c>
    </row>
    <row r="1008" spans="1:10" x14ac:dyDescent="0.35">
      <c r="A1008">
        <v>1007</v>
      </c>
      <c r="B1008" s="1" t="s">
        <v>27</v>
      </c>
      <c r="C1008">
        <v>2007</v>
      </c>
      <c r="D1008" s="4">
        <v>4.4000000000000004</v>
      </c>
      <c r="E1008" s="5">
        <v>20323</v>
      </c>
      <c r="F1008" s="1" t="s">
        <v>15</v>
      </c>
      <c r="G1008" s="10">
        <v>77642.94</v>
      </c>
      <c r="H1008" s="1" t="s">
        <v>40</v>
      </c>
      <c r="I1008" t="s">
        <v>13</v>
      </c>
      <c r="J1008" t="s">
        <v>22</v>
      </c>
    </row>
    <row r="1009" spans="1:10" x14ac:dyDescent="0.35">
      <c r="A1009">
        <v>1008</v>
      </c>
      <c r="B1009" s="1" t="s">
        <v>20</v>
      </c>
      <c r="C1009">
        <v>2011</v>
      </c>
      <c r="D1009" s="4">
        <v>3.9</v>
      </c>
      <c r="E1009" s="5">
        <v>230502</v>
      </c>
      <c r="F1009" s="1" t="s">
        <v>11</v>
      </c>
      <c r="G1009" s="10">
        <v>28173.59</v>
      </c>
      <c r="H1009" s="1" t="s">
        <v>33</v>
      </c>
      <c r="I1009" t="s">
        <v>52</v>
      </c>
      <c r="J1009" t="s">
        <v>14</v>
      </c>
    </row>
    <row r="1010" spans="1:10" x14ac:dyDescent="0.35">
      <c r="A1010">
        <v>1009</v>
      </c>
      <c r="B1010" s="1" t="s">
        <v>35</v>
      </c>
      <c r="C1010">
        <v>2000</v>
      </c>
      <c r="D1010" s="4">
        <v>3.1</v>
      </c>
      <c r="E1010" s="5">
        <v>257249</v>
      </c>
      <c r="F1010" s="1" t="s">
        <v>16</v>
      </c>
      <c r="G1010" s="10">
        <v>84690.37</v>
      </c>
      <c r="H1010" s="1" t="s">
        <v>36</v>
      </c>
      <c r="I1010" t="s">
        <v>53</v>
      </c>
      <c r="J1010" t="s">
        <v>22</v>
      </c>
    </row>
    <row r="1011" spans="1:10" x14ac:dyDescent="0.35">
      <c r="A1011">
        <v>1010</v>
      </c>
      <c r="B1011" s="1" t="s">
        <v>20</v>
      </c>
      <c r="C1011">
        <v>2009</v>
      </c>
      <c r="D1011" s="4">
        <v>2.4</v>
      </c>
      <c r="E1011" s="5">
        <v>6021</v>
      </c>
      <c r="F1011" s="1" t="s">
        <v>11</v>
      </c>
      <c r="G1011" s="10">
        <v>40708.870000000003</v>
      </c>
      <c r="H1011" s="1" t="s">
        <v>33</v>
      </c>
      <c r="I1011" t="s">
        <v>51</v>
      </c>
      <c r="J1011" t="s">
        <v>14</v>
      </c>
    </row>
    <row r="1012" spans="1:10" x14ac:dyDescent="0.35">
      <c r="A1012">
        <v>1011</v>
      </c>
      <c r="B1012" s="1" t="s">
        <v>35</v>
      </c>
      <c r="C1012">
        <v>2019</v>
      </c>
      <c r="D1012" s="4">
        <v>4.8</v>
      </c>
      <c r="E1012" s="5">
        <v>113415</v>
      </c>
      <c r="F1012" s="1" t="s">
        <v>15</v>
      </c>
      <c r="G1012" s="10">
        <v>55556.15</v>
      </c>
      <c r="H1012" s="1" t="s">
        <v>45</v>
      </c>
      <c r="I1012" t="s">
        <v>51</v>
      </c>
      <c r="J1012" t="s">
        <v>22</v>
      </c>
    </row>
    <row r="1013" spans="1:10" x14ac:dyDescent="0.35">
      <c r="A1013">
        <v>1012</v>
      </c>
      <c r="B1013" s="1" t="s">
        <v>27</v>
      </c>
      <c r="C1013">
        <v>2002</v>
      </c>
      <c r="D1013" s="4">
        <v>2.1</v>
      </c>
      <c r="E1013" s="5">
        <v>270855</v>
      </c>
      <c r="F1013" s="1" t="s">
        <v>16</v>
      </c>
      <c r="G1013" s="10">
        <v>94486.25</v>
      </c>
      <c r="H1013" s="1" t="s">
        <v>48</v>
      </c>
      <c r="I1013" t="s">
        <v>53</v>
      </c>
      <c r="J1013" t="s">
        <v>22</v>
      </c>
    </row>
    <row r="1014" spans="1:10" x14ac:dyDescent="0.35">
      <c r="A1014">
        <v>1013</v>
      </c>
      <c r="B1014" s="1" t="s">
        <v>27</v>
      </c>
      <c r="C1014">
        <v>2005</v>
      </c>
      <c r="D1014" s="4">
        <v>4.5</v>
      </c>
      <c r="E1014" s="5">
        <v>7904</v>
      </c>
      <c r="F1014" s="1" t="s">
        <v>16</v>
      </c>
      <c r="G1014" s="10">
        <v>69719.28</v>
      </c>
      <c r="H1014" s="1" t="s">
        <v>37</v>
      </c>
      <c r="I1014" t="s">
        <v>13</v>
      </c>
      <c r="J1014" t="s">
        <v>14</v>
      </c>
    </row>
    <row r="1015" spans="1:10" x14ac:dyDescent="0.35">
      <c r="A1015">
        <v>1014</v>
      </c>
      <c r="B1015" s="1" t="s">
        <v>25</v>
      </c>
      <c r="C1015">
        <v>2006</v>
      </c>
      <c r="D1015" s="4">
        <v>2.2000000000000002</v>
      </c>
      <c r="E1015" s="5">
        <v>64033</v>
      </c>
      <c r="F1015" s="1" t="s">
        <v>15</v>
      </c>
      <c r="G1015" s="10">
        <v>66332.39</v>
      </c>
      <c r="H1015" s="1" t="s">
        <v>41</v>
      </c>
      <c r="I1015" t="s">
        <v>51</v>
      </c>
      <c r="J1015" t="s">
        <v>22</v>
      </c>
    </row>
    <row r="1016" spans="1:10" x14ac:dyDescent="0.35">
      <c r="A1016">
        <v>1015</v>
      </c>
      <c r="B1016" s="1" t="s">
        <v>20</v>
      </c>
      <c r="C1016">
        <v>2019</v>
      </c>
      <c r="D1016" s="4">
        <v>4.0999999999999996</v>
      </c>
      <c r="E1016" s="5">
        <v>231659</v>
      </c>
      <c r="F1016" s="1" t="s">
        <v>16</v>
      </c>
      <c r="G1016" s="10">
        <v>72602.73</v>
      </c>
      <c r="H1016" s="1" t="s">
        <v>46</v>
      </c>
      <c r="I1016" t="s">
        <v>52</v>
      </c>
      <c r="J1016" t="s">
        <v>22</v>
      </c>
    </row>
    <row r="1017" spans="1:10" x14ac:dyDescent="0.35">
      <c r="A1017">
        <v>1016</v>
      </c>
      <c r="B1017" s="1" t="s">
        <v>29</v>
      </c>
      <c r="C1017">
        <v>2022</v>
      </c>
      <c r="D1017" s="4">
        <v>4.7</v>
      </c>
      <c r="E1017" s="5">
        <v>120035</v>
      </c>
      <c r="F1017" s="1" t="s">
        <v>16</v>
      </c>
      <c r="G1017" s="10">
        <v>92220.58</v>
      </c>
      <c r="H1017" s="1" t="s">
        <v>38</v>
      </c>
      <c r="I1017" t="s">
        <v>13</v>
      </c>
      <c r="J1017" t="s">
        <v>14</v>
      </c>
    </row>
    <row r="1018" spans="1:10" x14ac:dyDescent="0.35">
      <c r="A1018">
        <v>1017</v>
      </c>
      <c r="B1018" s="1" t="s">
        <v>25</v>
      </c>
      <c r="C1018">
        <v>2017</v>
      </c>
      <c r="D1018" s="4">
        <v>2.1</v>
      </c>
      <c r="E1018" s="5">
        <v>220859</v>
      </c>
      <c r="F1018" s="1" t="s">
        <v>15</v>
      </c>
      <c r="G1018" s="10">
        <v>28608.799999999999</v>
      </c>
      <c r="H1018" s="1" t="s">
        <v>49</v>
      </c>
      <c r="I1018" t="s">
        <v>52</v>
      </c>
      <c r="J1018" t="s">
        <v>14</v>
      </c>
    </row>
    <row r="1019" spans="1:10" x14ac:dyDescent="0.35">
      <c r="A1019">
        <v>1018</v>
      </c>
      <c r="B1019" s="1" t="s">
        <v>20</v>
      </c>
      <c r="C1019">
        <v>2010</v>
      </c>
      <c r="D1019" s="4">
        <v>1.3</v>
      </c>
      <c r="E1019" s="5">
        <v>186168</v>
      </c>
      <c r="F1019" s="1" t="s">
        <v>16</v>
      </c>
      <c r="G1019" s="10">
        <v>63257.91</v>
      </c>
      <c r="H1019" s="1" t="s">
        <v>21</v>
      </c>
      <c r="I1019" t="s">
        <v>13</v>
      </c>
      <c r="J1019" t="s">
        <v>22</v>
      </c>
    </row>
    <row r="1020" spans="1:10" x14ac:dyDescent="0.35">
      <c r="A1020">
        <v>1019</v>
      </c>
      <c r="B1020" s="1" t="s">
        <v>25</v>
      </c>
      <c r="C1020">
        <v>2018</v>
      </c>
      <c r="D1020" s="4">
        <v>1.7</v>
      </c>
      <c r="E1020" s="5">
        <v>221666</v>
      </c>
      <c r="F1020" s="1" t="s">
        <v>16</v>
      </c>
      <c r="G1020" s="10">
        <v>43037.42</v>
      </c>
      <c r="H1020" s="1" t="s">
        <v>49</v>
      </c>
      <c r="I1020" t="s">
        <v>53</v>
      </c>
      <c r="J1020" t="s">
        <v>14</v>
      </c>
    </row>
    <row r="1021" spans="1:10" x14ac:dyDescent="0.35">
      <c r="A1021">
        <v>1020</v>
      </c>
      <c r="B1021" s="1" t="s">
        <v>29</v>
      </c>
      <c r="C1021">
        <v>2004</v>
      </c>
      <c r="D1021" s="4">
        <v>4</v>
      </c>
      <c r="E1021" s="5">
        <v>231853</v>
      </c>
      <c r="F1021" s="1" t="s">
        <v>15</v>
      </c>
      <c r="G1021" s="10">
        <v>6126.25</v>
      </c>
      <c r="H1021" s="1" t="s">
        <v>43</v>
      </c>
      <c r="I1021" t="s">
        <v>52</v>
      </c>
      <c r="J1021" t="s">
        <v>22</v>
      </c>
    </row>
    <row r="1022" spans="1:10" x14ac:dyDescent="0.35">
      <c r="A1022">
        <v>1021</v>
      </c>
      <c r="B1022" s="1" t="s">
        <v>23</v>
      </c>
      <c r="C1022">
        <v>2018</v>
      </c>
      <c r="D1022" s="4">
        <v>5.2</v>
      </c>
      <c r="E1022" s="5">
        <v>265237</v>
      </c>
      <c r="F1022" s="1" t="s">
        <v>16</v>
      </c>
      <c r="G1022" s="10">
        <v>16903.59</v>
      </c>
      <c r="H1022" s="1" t="s">
        <v>24</v>
      </c>
      <c r="I1022" t="s">
        <v>52</v>
      </c>
      <c r="J1022" t="s">
        <v>22</v>
      </c>
    </row>
    <row r="1023" spans="1:10" x14ac:dyDescent="0.35">
      <c r="A1023">
        <v>1022</v>
      </c>
      <c r="B1023" s="1" t="s">
        <v>23</v>
      </c>
      <c r="C1023">
        <v>2010</v>
      </c>
      <c r="D1023" s="4">
        <v>1.2</v>
      </c>
      <c r="E1023" s="5">
        <v>287062</v>
      </c>
      <c r="F1023" s="1" t="s">
        <v>16</v>
      </c>
      <c r="G1023" s="10">
        <v>35874.230000000003</v>
      </c>
      <c r="H1023" s="1" t="s">
        <v>42</v>
      </c>
      <c r="I1023" t="s">
        <v>53</v>
      </c>
      <c r="J1023" t="s">
        <v>14</v>
      </c>
    </row>
    <row r="1024" spans="1:10" x14ac:dyDescent="0.35">
      <c r="A1024">
        <v>1023</v>
      </c>
      <c r="B1024" s="1" t="s">
        <v>23</v>
      </c>
      <c r="C1024">
        <v>2023</v>
      </c>
      <c r="D1024" s="4">
        <v>4.7</v>
      </c>
      <c r="E1024" s="5">
        <v>193708</v>
      </c>
      <c r="F1024" s="1" t="s">
        <v>16</v>
      </c>
      <c r="G1024" s="10">
        <v>58675</v>
      </c>
      <c r="H1024" s="1" t="s">
        <v>42</v>
      </c>
      <c r="I1024" t="s">
        <v>52</v>
      </c>
      <c r="J1024" t="s">
        <v>14</v>
      </c>
    </row>
    <row r="1025" spans="1:10" x14ac:dyDescent="0.35">
      <c r="A1025">
        <v>1024</v>
      </c>
      <c r="B1025" s="1" t="s">
        <v>23</v>
      </c>
      <c r="C1025">
        <v>2011</v>
      </c>
      <c r="D1025" s="4">
        <v>2.7</v>
      </c>
      <c r="E1025" s="5">
        <v>189878</v>
      </c>
      <c r="F1025" s="1" t="s">
        <v>16</v>
      </c>
      <c r="G1025" s="10">
        <v>88740.1</v>
      </c>
      <c r="H1025" s="1" t="s">
        <v>42</v>
      </c>
      <c r="I1025" t="s">
        <v>13</v>
      </c>
      <c r="J1025" t="s">
        <v>22</v>
      </c>
    </row>
    <row r="1026" spans="1:10" x14ac:dyDescent="0.35">
      <c r="A1026">
        <v>1025</v>
      </c>
      <c r="B1026" s="1" t="s">
        <v>10</v>
      </c>
      <c r="C1026">
        <v>2009</v>
      </c>
      <c r="D1026" s="4">
        <v>3.4</v>
      </c>
      <c r="E1026" s="5">
        <v>140466</v>
      </c>
      <c r="F1026" s="1" t="s">
        <v>15</v>
      </c>
      <c r="G1026" s="10">
        <v>80155.839999999997</v>
      </c>
      <c r="H1026" s="1" t="s">
        <v>17</v>
      </c>
      <c r="I1026" t="s">
        <v>13</v>
      </c>
      <c r="J1026" t="s">
        <v>14</v>
      </c>
    </row>
    <row r="1027" spans="1:10" x14ac:dyDescent="0.35">
      <c r="A1027">
        <v>1026</v>
      </c>
      <c r="B1027" s="1" t="s">
        <v>35</v>
      </c>
      <c r="C1027">
        <v>2007</v>
      </c>
      <c r="D1027" s="4">
        <v>5.6</v>
      </c>
      <c r="E1027" s="5">
        <v>124501</v>
      </c>
      <c r="F1027" s="1" t="s">
        <v>11</v>
      </c>
      <c r="G1027" s="10">
        <v>57566.7</v>
      </c>
      <c r="H1027" s="1" t="s">
        <v>50</v>
      </c>
      <c r="I1027" t="s">
        <v>51</v>
      </c>
      <c r="J1027" t="s">
        <v>14</v>
      </c>
    </row>
    <row r="1028" spans="1:10" x14ac:dyDescent="0.35">
      <c r="A1028">
        <v>1027</v>
      </c>
      <c r="B1028" s="1" t="s">
        <v>10</v>
      </c>
      <c r="C1028">
        <v>2023</v>
      </c>
      <c r="D1028" s="4">
        <v>2.7</v>
      </c>
      <c r="E1028" s="5">
        <v>260228</v>
      </c>
      <c r="F1028" s="1" t="s">
        <v>11</v>
      </c>
      <c r="G1028" s="10">
        <v>12017.69</v>
      </c>
      <c r="H1028" s="1" t="s">
        <v>19</v>
      </c>
      <c r="I1028" t="s">
        <v>13</v>
      </c>
      <c r="J1028" t="s">
        <v>14</v>
      </c>
    </row>
    <row r="1029" spans="1:10" x14ac:dyDescent="0.35">
      <c r="A1029">
        <v>1028</v>
      </c>
      <c r="B1029" s="1" t="s">
        <v>10</v>
      </c>
      <c r="C1029">
        <v>2008</v>
      </c>
      <c r="D1029" s="4">
        <v>3.3</v>
      </c>
      <c r="E1029" s="5">
        <v>92510</v>
      </c>
      <c r="F1029" s="1" t="s">
        <v>16</v>
      </c>
      <c r="G1029" s="10">
        <v>32161.1</v>
      </c>
      <c r="H1029" s="1" t="s">
        <v>12</v>
      </c>
      <c r="I1029" t="s">
        <v>13</v>
      </c>
      <c r="J1029" t="s">
        <v>14</v>
      </c>
    </row>
    <row r="1030" spans="1:10" x14ac:dyDescent="0.35">
      <c r="A1030">
        <v>1029</v>
      </c>
      <c r="B1030" s="1" t="s">
        <v>10</v>
      </c>
      <c r="C1030">
        <v>2003</v>
      </c>
      <c r="D1030" s="4">
        <v>1.1000000000000001</v>
      </c>
      <c r="E1030" s="5">
        <v>93708</v>
      </c>
      <c r="F1030" s="1" t="s">
        <v>15</v>
      </c>
      <c r="G1030" s="10">
        <v>39837.32</v>
      </c>
      <c r="H1030" s="1" t="s">
        <v>17</v>
      </c>
      <c r="I1030" t="s">
        <v>13</v>
      </c>
      <c r="J1030" t="s">
        <v>14</v>
      </c>
    </row>
    <row r="1031" spans="1:10" x14ac:dyDescent="0.35">
      <c r="A1031">
        <v>1030</v>
      </c>
      <c r="B1031" s="1" t="s">
        <v>23</v>
      </c>
      <c r="C1031">
        <v>2004</v>
      </c>
      <c r="D1031" s="4">
        <v>1.4</v>
      </c>
      <c r="E1031" s="5">
        <v>97819</v>
      </c>
      <c r="F1031" s="1" t="s">
        <v>15</v>
      </c>
      <c r="G1031" s="10">
        <v>64063.13</v>
      </c>
      <c r="H1031" s="1" t="s">
        <v>42</v>
      </c>
      <c r="I1031" t="s">
        <v>52</v>
      </c>
      <c r="J1031" t="s">
        <v>22</v>
      </c>
    </row>
    <row r="1032" spans="1:10" x14ac:dyDescent="0.35">
      <c r="A1032">
        <v>1031</v>
      </c>
      <c r="B1032" s="1" t="s">
        <v>29</v>
      </c>
      <c r="C1032">
        <v>2020</v>
      </c>
      <c r="D1032" s="4">
        <v>2.2999999999999998</v>
      </c>
      <c r="E1032" s="5">
        <v>235603</v>
      </c>
      <c r="F1032" s="1" t="s">
        <v>16</v>
      </c>
      <c r="G1032" s="10">
        <v>11167.74</v>
      </c>
      <c r="H1032" s="1" t="s">
        <v>38</v>
      </c>
      <c r="I1032" t="s">
        <v>51</v>
      </c>
      <c r="J1032" t="s">
        <v>22</v>
      </c>
    </row>
    <row r="1033" spans="1:10" x14ac:dyDescent="0.35">
      <c r="A1033">
        <v>1032</v>
      </c>
      <c r="B1033" s="1" t="s">
        <v>27</v>
      </c>
      <c r="C1033">
        <v>2007</v>
      </c>
      <c r="D1033" s="4">
        <v>1.1000000000000001</v>
      </c>
      <c r="E1033" s="5">
        <v>36303</v>
      </c>
      <c r="F1033" s="1" t="s">
        <v>11</v>
      </c>
      <c r="G1033" s="10">
        <v>55368.39</v>
      </c>
      <c r="H1033" s="1" t="s">
        <v>28</v>
      </c>
      <c r="I1033" t="s">
        <v>52</v>
      </c>
      <c r="J1033" t="s">
        <v>22</v>
      </c>
    </row>
    <row r="1034" spans="1:10" x14ac:dyDescent="0.35">
      <c r="A1034">
        <v>1033</v>
      </c>
      <c r="B1034" s="1" t="s">
        <v>27</v>
      </c>
      <c r="C1034">
        <v>2022</v>
      </c>
      <c r="D1034" s="4">
        <v>4.2</v>
      </c>
      <c r="E1034" s="5">
        <v>27453</v>
      </c>
      <c r="F1034" s="1" t="s">
        <v>16</v>
      </c>
      <c r="G1034" s="10">
        <v>90639.13</v>
      </c>
      <c r="H1034" s="1" t="s">
        <v>37</v>
      </c>
      <c r="I1034" t="s">
        <v>51</v>
      </c>
      <c r="J1034" t="s">
        <v>14</v>
      </c>
    </row>
    <row r="1035" spans="1:10" x14ac:dyDescent="0.35">
      <c r="A1035">
        <v>1034</v>
      </c>
      <c r="B1035" s="1" t="s">
        <v>35</v>
      </c>
      <c r="C1035">
        <v>2008</v>
      </c>
      <c r="D1035" s="4">
        <v>3.1</v>
      </c>
      <c r="E1035" s="5">
        <v>199521</v>
      </c>
      <c r="F1035" s="1" t="s">
        <v>15</v>
      </c>
      <c r="G1035" s="10">
        <v>72016.11</v>
      </c>
      <c r="H1035" s="1" t="s">
        <v>45</v>
      </c>
      <c r="I1035" t="s">
        <v>53</v>
      </c>
      <c r="J1035" t="s">
        <v>22</v>
      </c>
    </row>
    <row r="1036" spans="1:10" x14ac:dyDescent="0.35">
      <c r="A1036">
        <v>1035</v>
      </c>
      <c r="B1036" s="1" t="s">
        <v>23</v>
      </c>
      <c r="C1036">
        <v>2014</v>
      </c>
      <c r="D1036" s="4">
        <v>3.7</v>
      </c>
      <c r="E1036" s="5">
        <v>156837</v>
      </c>
      <c r="F1036" s="1" t="s">
        <v>15</v>
      </c>
      <c r="G1036" s="10">
        <v>80722.3</v>
      </c>
      <c r="H1036" s="1" t="s">
        <v>24</v>
      </c>
      <c r="I1036" t="s">
        <v>52</v>
      </c>
      <c r="J1036" t="s">
        <v>14</v>
      </c>
    </row>
    <row r="1037" spans="1:10" x14ac:dyDescent="0.35">
      <c r="A1037">
        <v>1036</v>
      </c>
      <c r="B1037" s="1" t="s">
        <v>23</v>
      </c>
      <c r="C1037">
        <v>2014</v>
      </c>
      <c r="D1037" s="4">
        <v>1.9</v>
      </c>
      <c r="E1037" s="5">
        <v>222787</v>
      </c>
      <c r="F1037" s="1" t="s">
        <v>11</v>
      </c>
      <c r="G1037" s="10">
        <v>69759.19</v>
      </c>
      <c r="H1037" s="1" t="s">
        <v>42</v>
      </c>
      <c r="I1037" t="s">
        <v>13</v>
      </c>
      <c r="J1037" t="s">
        <v>14</v>
      </c>
    </row>
    <row r="1038" spans="1:10" x14ac:dyDescent="0.35">
      <c r="A1038">
        <v>1037</v>
      </c>
      <c r="B1038" s="1" t="s">
        <v>23</v>
      </c>
      <c r="C1038">
        <v>2015</v>
      </c>
      <c r="D1038" s="4">
        <v>2.5</v>
      </c>
      <c r="E1038" s="5">
        <v>38057</v>
      </c>
      <c r="F1038" s="1" t="s">
        <v>15</v>
      </c>
      <c r="G1038" s="10">
        <v>24625.97</v>
      </c>
      <c r="H1038" s="1" t="s">
        <v>42</v>
      </c>
      <c r="I1038" t="s">
        <v>52</v>
      </c>
      <c r="J1038" t="s">
        <v>22</v>
      </c>
    </row>
    <row r="1039" spans="1:10" x14ac:dyDescent="0.35">
      <c r="A1039">
        <v>1038</v>
      </c>
      <c r="B1039" s="1" t="s">
        <v>25</v>
      </c>
      <c r="C1039">
        <v>2013</v>
      </c>
      <c r="D1039" s="4">
        <v>4.3</v>
      </c>
      <c r="E1039" s="5">
        <v>189060</v>
      </c>
      <c r="F1039" s="1" t="s">
        <v>15</v>
      </c>
      <c r="G1039" s="10">
        <v>15495.96</v>
      </c>
      <c r="H1039" s="1" t="s">
        <v>41</v>
      </c>
      <c r="I1039" t="s">
        <v>51</v>
      </c>
      <c r="J1039" t="s">
        <v>14</v>
      </c>
    </row>
    <row r="1040" spans="1:10" x14ac:dyDescent="0.35">
      <c r="A1040">
        <v>1039</v>
      </c>
      <c r="B1040" s="1" t="s">
        <v>20</v>
      </c>
      <c r="C1040">
        <v>2007</v>
      </c>
      <c r="D1040" s="4">
        <v>5.8</v>
      </c>
      <c r="E1040" s="5">
        <v>94655</v>
      </c>
      <c r="F1040" s="1" t="s">
        <v>15</v>
      </c>
      <c r="G1040" s="10">
        <v>83801.61</v>
      </c>
      <c r="H1040" s="1" t="s">
        <v>39</v>
      </c>
      <c r="I1040" t="s">
        <v>53</v>
      </c>
      <c r="J1040" t="s">
        <v>22</v>
      </c>
    </row>
    <row r="1041" spans="1:10" x14ac:dyDescent="0.35">
      <c r="A1041">
        <v>1040</v>
      </c>
      <c r="B1041" s="1" t="s">
        <v>25</v>
      </c>
      <c r="C1041">
        <v>2017</v>
      </c>
      <c r="D1041" s="4">
        <v>1.3</v>
      </c>
      <c r="E1041" s="5">
        <v>277169</v>
      </c>
      <c r="F1041" s="1" t="s">
        <v>11</v>
      </c>
      <c r="G1041" s="10">
        <v>71072.92</v>
      </c>
      <c r="H1041" s="1" t="s">
        <v>41</v>
      </c>
      <c r="I1041" t="s">
        <v>51</v>
      </c>
      <c r="J1041" t="s">
        <v>14</v>
      </c>
    </row>
    <row r="1042" spans="1:10" x14ac:dyDescent="0.35">
      <c r="A1042">
        <v>1041</v>
      </c>
      <c r="B1042" s="1" t="s">
        <v>20</v>
      </c>
      <c r="C1042">
        <v>2009</v>
      </c>
      <c r="D1042" s="4">
        <v>5.5</v>
      </c>
      <c r="E1042" s="5">
        <v>269289</v>
      </c>
      <c r="F1042" s="1" t="s">
        <v>15</v>
      </c>
      <c r="G1042" s="10">
        <v>59630.85</v>
      </c>
      <c r="H1042" s="1" t="s">
        <v>39</v>
      </c>
      <c r="I1042" t="s">
        <v>52</v>
      </c>
      <c r="J1042" t="s">
        <v>22</v>
      </c>
    </row>
    <row r="1043" spans="1:10" x14ac:dyDescent="0.35">
      <c r="A1043">
        <v>1042</v>
      </c>
      <c r="B1043" s="1" t="s">
        <v>23</v>
      </c>
      <c r="C1043">
        <v>2019</v>
      </c>
      <c r="D1043" s="4">
        <v>3.9</v>
      </c>
      <c r="E1043" s="5">
        <v>101206</v>
      </c>
      <c r="F1043" s="1" t="s">
        <v>16</v>
      </c>
      <c r="G1043" s="10">
        <v>22981.87</v>
      </c>
      <c r="H1043" s="1" t="s">
        <v>34</v>
      </c>
      <c r="I1043" t="s">
        <v>51</v>
      </c>
      <c r="J1043" t="s">
        <v>22</v>
      </c>
    </row>
    <row r="1044" spans="1:10" x14ac:dyDescent="0.35">
      <c r="A1044">
        <v>1043</v>
      </c>
      <c r="B1044" s="1" t="s">
        <v>23</v>
      </c>
      <c r="C1044">
        <v>2005</v>
      </c>
      <c r="D1044" s="4">
        <v>3.8</v>
      </c>
      <c r="E1044" s="5">
        <v>186869</v>
      </c>
      <c r="F1044" s="1" t="s">
        <v>11</v>
      </c>
      <c r="G1044" s="10">
        <v>62317.77</v>
      </c>
      <c r="H1044" s="1" t="s">
        <v>24</v>
      </c>
      <c r="I1044" t="s">
        <v>51</v>
      </c>
      <c r="J1044" t="s">
        <v>22</v>
      </c>
    </row>
    <row r="1045" spans="1:10" x14ac:dyDescent="0.35">
      <c r="A1045">
        <v>1044</v>
      </c>
      <c r="B1045" s="1" t="s">
        <v>25</v>
      </c>
      <c r="C1045">
        <v>2011</v>
      </c>
      <c r="D1045" s="4">
        <v>3.5</v>
      </c>
      <c r="E1045" s="5">
        <v>73230</v>
      </c>
      <c r="F1045" s="1" t="s">
        <v>16</v>
      </c>
      <c r="G1045" s="10">
        <v>7975.57</v>
      </c>
      <c r="H1045" s="1" t="s">
        <v>26</v>
      </c>
      <c r="I1045" t="s">
        <v>53</v>
      </c>
      <c r="J1045" t="s">
        <v>22</v>
      </c>
    </row>
    <row r="1046" spans="1:10" x14ac:dyDescent="0.35">
      <c r="A1046">
        <v>1045</v>
      </c>
      <c r="B1046" s="1" t="s">
        <v>25</v>
      </c>
      <c r="C1046">
        <v>2001</v>
      </c>
      <c r="D1046" s="4">
        <v>1.3</v>
      </c>
      <c r="E1046" s="5">
        <v>155002</v>
      </c>
      <c r="F1046" s="1" t="s">
        <v>16</v>
      </c>
      <c r="G1046" s="10">
        <v>16289.72</v>
      </c>
      <c r="H1046" s="1" t="s">
        <v>44</v>
      </c>
      <c r="I1046" t="s">
        <v>13</v>
      </c>
      <c r="J1046" t="s">
        <v>14</v>
      </c>
    </row>
    <row r="1047" spans="1:10" x14ac:dyDescent="0.35">
      <c r="A1047">
        <v>1046</v>
      </c>
      <c r="B1047" s="1" t="s">
        <v>20</v>
      </c>
      <c r="C1047">
        <v>2006</v>
      </c>
      <c r="D1047" s="4">
        <v>1.4</v>
      </c>
      <c r="E1047" s="5">
        <v>108138</v>
      </c>
      <c r="F1047" s="1" t="s">
        <v>11</v>
      </c>
      <c r="G1047" s="10">
        <v>34629.56</v>
      </c>
      <c r="H1047" s="1" t="s">
        <v>39</v>
      </c>
      <c r="I1047" t="s">
        <v>52</v>
      </c>
      <c r="J1047" t="s">
        <v>14</v>
      </c>
    </row>
    <row r="1048" spans="1:10" x14ac:dyDescent="0.35">
      <c r="A1048">
        <v>1047</v>
      </c>
      <c r="B1048" s="1" t="s">
        <v>27</v>
      </c>
      <c r="C1048">
        <v>2015</v>
      </c>
      <c r="D1048" s="4">
        <v>4</v>
      </c>
      <c r="E1048" s="5">
        <v>207097</v>
      </c>
      <c r="F1048" s="1" t="s">
        <v>16</v>
      </c>
      <c r="G1048" s="10">
        <v>47155.14</v>
      </c>
      <c r="H1048" s="1" t="s">
        <v>48</v>
      </c>
      <c r="I1048" t="s">
        <v>53</v>
      </c>
      <c r="J1048" t="s">
        <v>14</v>
      </c>
    </row>
    <row r="1049" spans="1:10" x14ac:dyDescent="0.35">
      <c r="A1049">
        <v>1048</v>
      </c>
      <c r="B1049" s="1" t="s">
        <v>20</v>
      </c>
      <c r="C1049">
        <v>2002</v>
      </c>
      <c r="D1049" s="4">
        <v>2.7</v>
      </c>
      <c r="E1049" s="5">
        <v>212376</v>
      </c>
      <c r="F1049" s="1" t="s">
        <v>11</v>
      </c>
      <c r="G1049" s="10">
        <v>16453.63</v>
      </c>
      <c r="H1049" s="1" t="s">
        <v>21</v>
      </c>
      <c r="I1049" t="s">
        <v>13</v>
      </c>
      <c r="J1049" t="s">
        <v>14</v>
      </c>
    </row>
    <row r="1050" spans="1:10" x14ac:dyDescent="0.35">
      <c r="A1050">
        <v>1049</v>
      </c>
      <c r="B1050" s="1" t="s">
        <v>25</v>
      </c>
      <c r="C1050">
        <v>2012</v>
      </c>
      <c r="D1050" s="4">
        <v>5.6</v>
      </c>
      <c r="E1050" s="5">
        <v>62040</v>
      </c>
      <c r="F1050" s="1" t="s">
        <v>16</v>
      </c>
      <c r="G1050" s="10">
        <v>16394.32</v>
      </c>
      <c r="H1050" s="1" t="s">
        <v>41</v>
      </c>
      <c r="I1050" t="s">
        <v>51</v>
      </c>
      <c r="J1050" t="s">
        <v>14</v>
      </c>
    </row>
    <row r="1051" spans="1:10" x14ac:dyDescent="0.35">
      <c r="A1051">
        <v>1050</v>
      </c>
      <c r="B1051" s="1" t="s">
        <v>29</v>
      </c>
      <c r="C1051">
        <v>2002</v>
      </c>
      <c r="D1051" s="4">
        <v>3</v>
      </c>
      <c r="E1051" s="5">
        <v>108668</v>
      </c>
      <c r="F1051" s="1" t="s">
        <v>11</v>
      </c>
      <c r="G1051" s="10">
        <v>73959.899999999994</v>
      </c>
      <c r="H1051" s="1" t="s">
        <v>30</v>
      </c>
      <c r="I1051" t="s">
        <v>13</v>
      </c>
      <c r="J1051" t="s">
        <v>22</v>
      </c>
    </row>
    <row r="1052" spans="1:10" x14ac:dyDescent="0.35">
      <c r="A1052">
        <v>1051</v>
      </c>
      <c r="B1052" s="1" t="s">
        <v>25</v>
      </c>
      <c r="C1052">
        <v>2017</v>
      </c>
      <c r="D1052" s="4">
        <v>1.7</v>
      </c>
      <c r="E1052" s="5">
        <v>198768</v>
      </c>
      <c r="F1052" s="1" t="s">
        <v>15</v>
      </c>
      <c r="G1052" s="10">
        <v>59123.34</v>
      </c>
      <c r="H1052" s="1" t="s">
        <v>41</v>
      </c>
      <c r="I1052" t="s">
        <v>51</v>
      </c>
      <c r="J1052" t="s">
        <v>22</v>
      </c>
    </row>
    <row r="1053" spans="1:10" x14ac:dyDescent="0.35">
      <c r="A1053">
        <v>1052</v>
      </c>
      <c r="B1053" s="1" t="s">
        <v>29</v>
      </c>
      <c r="C1053">
        <v>2010</v>
      </c>
      <c r="D1053" s="4">
        <v>4.5999999999999996</v>
      </c>
      <c r="E1053" s="5">
        <v>56815</v>
      </c>
      <c r="F1053" s="1" t="s">
        <v>15</v>
      </c>
      <c r="G1053" s="10">
        <v>55705.49</v>
      </c>
      <c r="H1053" s="1" t="s">
        <v>30</v>
      </c>
      <c r="I1053" t="s">
        <v>51</v>
      </c>
      <c r="J1053" t="s">
        <v>22</v>
      </c>
    </row>
    <row r="1054" spans="1:10" x14ac:dyDescent="0.35">
      <c r="A1054">
        <v>1053</v>
      </c>
      <c r="B1054" s="1" t="s">
        <v>35</v>
      </c>
      <c r="C1054">
        <v>2007</v>
      </c>
      <c r="D1054" s="4">
        <v>2.5</v>
      </c>
      <c r="E1054" s="5">
        <v>216741</v>
      </c>
      <c r="F1054" s="1" t="s">
        <v>16</v>
      </c>
      <c r="G1054" s="10">
        <v>47981.279999999999</v>
      </c>
      <c r="H1054" s="1" t="s">
        <v>45</v>
      </c>
      <c r="I1054" t="s">
        <v>53</v>
      </c>
      <c r="J1054" t="s">
        <v>22</v>
      </c>
    </row>
    <row r="1055" spans="1:10" x14ac:dyDescent="0.35">
      <c r="A1055">
        <v>1054</v>
      </c>
      <c r="B1055" s="1" t="s">
        <v>25</v>
      </c>
      <c r="C1055">
        <v>2005</v>
      </c>
      <c r="D1055" s="4">
        <v>3.6</v>
      </c>
      <c r="E1055" s="5">
        <v>112789</v>
      </c>
      <c r="F1055" s="1" t="s">
        <v>15</v>
      </c>
      <c r="G1055" s="10">
        <v>97771.6</v>
      </c>
      <c r="H1055" s="1" t="s">
        <v>49</v>
      </c>
      <c r="I1055" t="s">
        <v>51</v>
      </c>
      <c r="J1055" t="s">
        <v>22</v>
      </c>
    </row>
    <row r="1056" spans="1:10" x14ac:dyDescent="0.35">
      <c r="A1056">
        <v>1055</v>
      </c>
      <c r="B1056" s="1" t="s">
        <v>35</v>
      </c>
      <c r="C1056">
        <v>2000</v>
      </c>
      <c r="D1056" s="4">
        <v>4.5</v>
      </c>
      <c r="E1056" s="5">
        <v>219478</v>
      </c>
      <c r="F1056" s="1" t="s">
        <v>11</v>
      </c>
      <c r="G1056" s="10">
        <v>9731.0300000000007</v>
      </c>
      <c r="H1056" s="1" t="s">
        <v>36</v>
      </c>
      <c r="I1056" t="s">
        <v>53</v>
      </c>
      <c r="J1056" t="s">
        <v>14</v>
      </c>
    </row>
    <row r="1057" spans="1:10" x14ac:dyDescent="0.35">
      <c r="A1057">
        <v>1056</v>
      </c>
      <c r="B1057" s="1" t="s">
        <v>27</v>
      </c>
      <c r="C1057">
        <v>2000</v>
      </c>
      <c r="D1057" s="4">
        <v>5.5</v>
      </c>
      <c r="E1057" s="5">
        <v>167644</v>
      </c>
      <c r="F1057" s="1" t="s">
        <v>16</v>
      </c>
      <c r="G1057" s="10">
        <v>22159.58</v>
      </c>
      <c r="H1057" s="1" t="s">
        <v>40</v>
      </c>
      <c r="I1057" t="s">
        <v>13</v>
      </c>
      <c r="J1057" t="s">
        <v>22</v>
      </c>
    </row>
    <row r="1058" spans="1:10" x14ac:dyDescent="0.35">
      <c r="A1058">
        <v>1057</v>
      </c>
      <c r="B1058" s="1" t="s">
        <v>20</v>
      </c>
      <c r="C1058">
        <v>2022</v>
      </c>
      <c r="D1058" s="4">
        <v>5</v>
      </c>
      <c r="E1058" s="5">
        <v>185102</v>
      </c>
      <c r="F1058" s="1" t="s">
        <v>15</v>
      </c>
      <c r="G1058" s="10">
        <v>66513.240000000005</v>
      </c>
      <c r="H1058" s="1" t="s">
        <v>39</v>
      </c>
      <c r="I1058" t="s">
        <v>13</v>
      </c>
      <c r="J1058" t="s">
        <v>22</v>
      </c>
    </row>
    <row r="1059" spans="1:10" x14ac:dyDescent="0.35">
      <c r="A1059">
        <v>1058</v>
      </c>
      <c r="B1059" s="1" t="s">
        <v>29</v>
      </c>
      <c r="C1059">
        <v>2007</v>
      </c>
      <c r="D1059" s="4">
        <v>4.4000000000000004</v>
      </c>
      <c r="E1059" s="5">
        <v>244533</v>
      </c>
      <c r="F1059" s="1" t="s">
        <v>15</v>
      </c>
      <c r="G1059" s="10">
        <v>17954.740000000002</v>
      </c>
      <c r="H1059" s="1" t="s">
        <v>30</v>
      </c>
      <c r="I1059" t="s">
        <v>51</v>
      </c>
      <c r="J1059" t="s">
        <v>14</v>
      </c>
    </row>
    <row r="1060" spans="1:10" x14ac:dyDescent="0.35">
      <c r="A1060">
        <v>1059</v>
      </c>
      <c r="B1060" s="1" t="s">
        <v>20</v>
      </c>
      <c r="C1060">
        <v>2004</v>
      </c>
      <c r="D1060" s="4">
        <v>4.4000000000000004</v>
      </c>
      <c r="E1060" s="5">
        <v>237469</v>
      </c>
      <c r="F1060" s="1" t="s">
        <v>16</v>
      </c>
      <c r="G1060" s="10">
        <v>60991.19</v>
      </c>
      <c r="H1060" s="1" t="s">
        <v>46</v>
      </c>
      <c r="I1060" t="s">
        <v>53</v>
      </c>
      <c r="J1060" t="s">
        <v>14</v>
      </c>
    </row>
    <row r="1061" spans="1:10" x14ac:dyDescent="0.35">
      <c r="A1061">
        <v>1060</v>
      </c>
      <c r="B1061" s="1" t="s">
        <v>35</v>
      </c>
      <c r="C1061">
        <v>2015</v>
      </c>
      <c r="D1061" s="4">
        <v>5.7</v>
      </c>
      <c r="E1061" s="5">
        <v>233308</v>
      </c>
      <c r="F1061" s="1" t="s">
        <v>15</v>
      </c>
      <c r="G1061" s="10">
        <v>58937.32</v>
      </c>
      <c r="H1061" s="1" t="s">
        <v>47</v>
      </c>
      <c r="I1061" t="s">
        <v>51</v>
      </c>
      <c r="J1061" t="s">
        <v>22</v>
      </c>
    </row>
    <row r="1062" spans="1:10" x14ac:dyDescent="0.35">
      <c r="A1062">
        <v>1061</v>
      </c>
      <c r="B1062" s="1" t="s">
        <v>29</v>
      </c>
      <c r="C1062">
        <v>2010</v>
      </c>
      <c r="D1062" s="4">
        <v>2.5</v>
      </c>
      <c r="E1062" s="5">
        <v>160275</v>
      </c>
      <c r="F1062" s="1" t="s">
        <v>15</v>
      </c>
      <c r="G1062" s="10">
        <v>97245.49</v>
      </c>
      <c r="H1062" s="1" t="s">
        <v>31</v>
      </c>
      <c r="I1062" t="s">
        <v>53</v>
      </c>
      <c r="J1062" t="s">
        <v>22</v>
      </c>
    </row>
    <row r="1063" spans="1:10" x14ac:dyDescent="0.35">
      <c r="A1063">
        <v>1062</v>
      </c>
      <c r="B1063" s="1" t="s">
        <v>20</v>
      </c>
      <c r="C1063">
        <v>2004</v>
      </c>
      <c r="D1063" s="4">
        <v>1</v>
      </c>
      <c r="E1063" s="5">
        <v>77088</v>
      </c>
      <c r="F1063" s="1" t="s">
        <v>16</v>
      </c>
      <c r="G1063" s="10">
        <v>88921.72</v>
      </c>
      <c r="H1063" s="1" t="s">
        <v>33</v>
      </c>
      <c r="I1063" t="s">
        <v>53</v>
      </c>
      <c r="J1063" t="s">
        <v>14</v>
      </c>
    </row>
    <row r="1064" spans="1:10" x14ac:dyDescent="0.35">
      <c r="A1064">
        <v>1063</v>
      </c>
      <c r="B1064" s="1" t="s">
        <v>25</v>
      </c>
      <c r="C1064">
        <v>2003</v>
      </c>
      <c r="D1064" s="4">
        <v>2.4</v>
      </c>
      <c r="E1064" s="5">
        <v>5608</v>
      </c>
      <c r="F1064" s="1" t="s">
        <v>15</v>
      </c>
      <c r="G1064" s="10">
        <v>94827.57</v>
      </c>
      <c r="H1064" s="1" t="s">
        <v>26</v>
      </c>
      <c r="I1064" t="s">
        <v>53</v>
      </c>
      <c r="J1064" t="s">
        <v>22</v>
      </c>
    </row>
    <row r="1065" spans="1:10" x14ac:dyDescent="0.35">
      <c r="A1065">
        <v>1064</v>
      </c>
      <c r="B1065" s="1" t="s">
        <v>23</v>
      </c>
      <c r="C1065">
        <v>2005</v>
      </c>
      <c r="D1065" s="4">
        <v>2.1</v>
      </c>
      <c r="E1065" s="5">
        <v>45667</v>
      </c>
      <c r="F1065" s="1" t="s">
        <v>15</v>
      </c>
      <c r="G1065" s="10">
        <v>15792.23</v>
      </c>
      <c r="H1065" s="1" t="s">
        <v>24</v>
      </c>
      <c r="I1065" t="s">
        <v>13</v>
      </c>
      <c r="J1065" t="s">
        <v>22</v>
      </c>
    </row>
    <row r="1066" spans="1:10" x14ac:dyDescent="0.35">
      <c r="A1066">
        <v>1065</v>
      </c>
      <c r="B1066" s="1" t="s">
        <v>35</v>
      </c>
      <c r="C1066">
        <v>2013</v>
      </c>
      <c r="D1066" s="4">
        <v>4.3</v>
      </c>
      <c r="E1066" s="5">
        <v>55547</v>
      </c>
      <c r="F1066" s="1" t="s">
        <v>15</v>
      </c>
      <c r="G1066" s="10">
        <v>87474.1</v>
      </c>
      <c r="H1066" s="1" t="s">
        <v>50</v>
      </c>
      <c r="I1066" t="s">
        <v>53</v>
      </c>
      <c r="J1066" t="s">
        <v>22</v>
      </c>
    </row>
    <row r="1067" spans="1:10" x14ac:dyDescent="0.35">
      <c r="A1067">
        <v>1066</v>
      </c>
      <c r="B1067" s="1" t="s">
        <v>20</v>
      </c>
      <c r="C1067">
        <v>2021</v>
      </c>
      <c r="D1067" s="4">
        <v>4.2</v>
      </c>
      <c r="E1067" s="5">
        <v>234907</v>
      </c>
      <c r="F1067" s="1" t="s">
        <v>15</v>
      </c>
      <c r="G1067" s="10">
        <v>17263.61</v>
      </c>
      <c r="H1067" s="1" t="s">
        <v>33</v>
      </c>
      <c r="I1067" t="s">
        <v>13</v>
      </c>
      <c r="J1067" t="s">
        <v>14</v>
      </c>
    </row>
    <row r="1068" spans="1:10" x14ac:dyDescent="0.35">
      <c r="A1068">
        <v>1067</v>
      </c>
      <c r="B1068" s="1" t="s">
        <v>35</v>
      </c>
      <c r="C1068">
        <v>2018</v>
      </c>
      <c r="D1068" s="4">
        <v>4</v>
      </c>
      <c r="E1068" s="5">
        <v>57560</v>
      </c>
      <c r="F1068" s="1" t="s">
        <v>16</v>
      </c>
      <c r="G1068" s="10">
        <v>65128.56</v>
      </c>
      <c r="H1068" s="1" t="s">
        <v>36</v>
      </c>
      <c r="I1068" t="s">
        <v>53</v>
      </c>
      <c r="J1068" t="s">
        <v>22</v>
      </c>
    </row>
    <row r="1069" spans="1:10" x14ac:dyDescent="0.35">
      <c r="A1069">
        <v>1068</v>
      </c>
      <c r="B1069" s="1" t="s">
        <v>10</v>
      </c>
      <c r="C1069">
        <v>2008</v>
      </c>
      <c r="D1069" s="4">
        <v>1.1000000000000001</v>
      </c>
      <c r="E1069" s="5">
        <v>214601</v>
      </c>
      <c r="F1069" s="1" t="s">
        <v>11</v>
      </c>
      <c r="G1069" s="10">
        <v>73407.429999999993</v>
      </c>
      <c r="H1069" s="1" t="s">
        <v>12</v>
      </c>
      <c r="I1069" t="s">
        <v>13</v>
      </c>
      <c r="J1069" t="s">
        <v>14</v>
      </c>
    </row>
    <row r="1070" spans="1:10" x14ac:dyDescent="0.35">
      <c r="A1070">
        <v>1069</v>
      </c>
      <c r="B1070" s="1" t="s">
        <v>35</v>
      </c>
      <c r="C1070">
        <v>2011</v>
      </c>
      <c r="D1070" s="4">
        <v>4.5999999999999996</v>
      </c>
      <c r="E1070" s="5">
        <v>159487</v>
      </c>
      <c r="F1070" s="1" t="s">
        <v>11</v>
      </c>
      <c r="G1070" s="10">
        <v>20281.080000000002</v>
      </c>
      <c r="H1070" s="1" t="s">
        <v>50</v>
      </c>
      <c r="I1070" t="s">
        <v>52</v>
      </c>
      <c r="J1070" t="s">
        <v>14</v>
      </c>
    </row>
    <row r="1071" spans="1:10" x14ac:dyDescent="0.35">
      <c r="A1071">
        <v>1070</v>
      </c>
      <c r="B1071" s="1" t="s">
        <v>29</v>
      </c>
      <c r="C1071">
        <v>2010</v>
      </c>
      <c r="D1071" s="4">
        <v>2.6</v>
      </c>
      <c r="E1071" s="5">
        <v>184286</v>
      </c>
      <c r="F1071" s="1" t="s">
        <v>15</v>
      </c>
      <c r="G1071" s="10">
        <v>65102.64</v>
      </c>
      <c r="H1071" s="1" t="s">
        <v>31</v>
      </c>
      <c r="I1071" t="s">
        <v>13</v>
      </c>
      <c r="J1071" t="s">
        <v>14</v>
      </c>
    </row>
    <row r="1072" spans="1:10" x14ac:dyDescent="0.35">
      <c r="A1072">
        <v>1071</v>
      </c>
      <c r="B1072" s="1" t="s">
        <v>10</v>
      </c>
      <c r="C1072">
        <v>2013</v>
      </c>
      <c r="D1072" s="4">
        <v>4.3</v>
      </c>
      <c r="E1072" s="5">
        <v>280141</v>
      </c>
      <c r="F1072" s="1" t="s">
        <v>15</v>
      </c>
      <c r="G1072" s="10">
        <v>9983.75</v>
      </c>
      <c r="H1072" s="1" t="s">
        <v>17</v>
      </c>
      <c r="I1072" t="s">
        <v>13</v>
      </c>
      <c r="J1072" t="s">
        <v>14</v>
      </c>
    </row>
    <row r="1073" spans="1:10" x14ac:dyDescent="0.35">
      <c r="A1073">
        <v>1072</v>
      </c>
      <c r="B1073" s="1" t="s">
        <v>29</v>
      </c>
      <c r="C1073">
        <v>2022</v>
      </c>
      <c r="D1073" s="4">
        <v>3.8</v>
      </c>
      <c r="E1073" s="5">
        <v>121266</v>
      </c>
      <c r="F1073" s="1" t="s">
        <v>11</v>
      </c>
      <c r="G1073" s="10">
        <v>32860.28</v>
      </c>
      <c r="H1073" s="1" t="s">
        <v>38</v>
      </c>
      <c r="I1073" t="s">
        <v>51</v>
      </c>
      <c r="J1073" t="s">
        <v>22</v>
      </c>
    </row>
    <row r="1074" spans="1:10" x14ac:dyDescent="0.35">
      <c r="A1074">
        <v>1073</v>
      </c>
      <c r="B1074" s="1" t="s">
        <v>23</v>
      </c>
      <c r="C1074">
        <v>2015</v>
      </c>
      <c r="D1074" s="4">
        <v>2.7</v>
      </c>
      <c r="E1074" s="5">
        <v>3679</v>
      </c>
      <c r="F1074" s="1" t="s">
        <v>15</v>
      </c>
      <c r="G1074" s="10">
        <v>92510.06</v>
      </c>
      <c r="H1074" s="1" t="s">
        <v>24</v>
      </c>
      <c r="I1074" t="s">
        <v>53</v>
      </c>
      <c r="J1074" t="s">
        <v>14</v>
      </c>
    </row>
    <row r="1075" spans="1:10" x14ac:dyDescent="0.35">
      <c r="A1075">
        <v>1074</v>
      </c>
      <c r="B1075" s="1" t="s">
        <v>10</v>
      </c>
      <c r="C1075">
        <v>2000</v>
      </c>
      <c r="D1075" s="4">
        <v>1.7</v>
      </c>
      <c r="E1075" s="5">
        <v>40308</v>
      </c>
      <c r="F1075" s="1" t="s">
        <v>11</v>
      </c>
      <c r="G1075" s="10">
        <v>21314.46</v>
      </c>
      <c r="H1075" s="1" t="s">
        <v>19</v>
      </c>
      <c r="I1075" t="s">
        <v>13</v>
      </c>
      <c r="J1075" t="s">
        <v>14</v>
      </c>
    </row>
    <row r="1076" spans="1:10" x14ac:dyDescent="0.35">
      <c r="A1076">
        <v>1075</v>
      </c>
      <c r="B1076" s="1" t="s">
        <v>25</v>
      </c>
      <c r="C1076">
        <v>2012</v>
      </c>
      <c r="D1076" s="4">
        <v>1.5</v>
      </c>
      <c r="E1076" s="5">
        <v>206096</v>
      </c>
      <c r="F1076" s="1" t="s">
        <v>16</v>
      </c>
      <c r="G1076" s="10">
        <v>11200.65</v>
      </c>
      <c r="H1076" s="1" t="s">
        <v>26</v>
      </c>
      <c r="I1076" t="s">
        <v>51</v>
      </c>
      <c r="J1076" t="s">
        <v>14</v>
      </c>
    </row>
    <row r="1077" spans="1:10" x14ac:dyDescent="0.35">
      <c r="A1077">
        <v>1076</v>
      </c>
      <c r="B1077" s="1" t="s">
        <v>35</v>
      </c>
      <c r="C1077">
        <v>2022</v>
      </c>
      <c r="D1077" s="4">
        <v>5.2</v>
      </c>
      <c r="E1077" s="5">
        <v>170914</v>
      </c>
      <c r="F1077" s="1" t="s">
        <v>16</v>
      </c>
      <c r="G1077" s="10">
        <v>47149.43</v>
      </c>
      <c r="H1077" s="1" t="s">
        <v>50</v>
      </c>
      <c r="I1077" t="s">
        <v>53</v>
      </c>
      <c r="J1077" t="s">
        <v>22</v>
      </c>
    </row>
    <row r="1078" spans="1:10" x14ac:dyDescent="0.35">
      <c r="A1078">
        <v>1077</v>
      </c>
      <c r="B1078" s="1" t="s">
        <v>20</v>
      </c>
      <c r="C1078">
        <v>2020</v>
      </c>
      <c r="D1078" s="4">
        <v>5.6</v>
      </c>
      <c r="E1078" s="5">
        <v>5695</v>
      </c>
      <c r="F1078" s="1" t="s">
        <v>16</v>
      </c>
      <c r="G1078" s="10">
        <v>85808.73</v>
      </c>
      <c r="H1078" s="1" t="s">
        <v>21</v>
      </c>
      <c r="I1078" t="s">
        <v>52</v>
      </c>
      <c r="J1078" t="s">
        <v>14</v>
      </c>
    </row>
    <row r="1079" spans="1:10" x14ac:dyDescent="0.35">
      <c r="A1079">
        <v>1078</v>
      </c>
      <c r="B1079" s="1" t="s">
        <v>27</v>
      </c>
      <c r="C1079">
        <v>2020</v>
      </c>
      <c r="D1079" s="4">
        <v>4.2</v>
      </c>
      <c r="E1079" s="5">
        <v>226812</v>
      </c>
      <c r="F1079" s="1" t="s">
        <v>16</v>
      </c>
      <c r="G1079" s="10">
        <v>12283.88</v>
      </c>
      <c r="H1079" s="1" t="s">
        <v>48</v>
      </c>
      <c r="I1079" t="s">
        <v>52</v>
      </c>
      <c r="J1079" t="s">
        <v>22</v>
      </c>
    </row>
    <row r="1080" spans="1:10" x14ac:dyDescent="0.35">
      <c r="A1080">
        <v>1079</v>
      </c>
      <c r="B1080" s="1" t="s">
        <v>35</v>
      </c>
      <c r="C1080">
        <v>2012</v>
      </c>
      <c r="D1080" s="4">
        <v>1.5</v>
      </c>
      <c r="E1080" s="5">
        <v>58499</v>
      </c>
      <c r="F1080" s="1" t="s">
        <v>16</v>
      </c>
      <c r="G1080" s="10">
        <v>38775.86</v>
      </c>
      <c r="H1080" s="1" t="s">
        <v>47</v>
      </c>
      <c r="I1080" t="s">
        <v>52</v>
      </c>
      <c r="J1080" t="s">
        <v>22</v>
      </c>
    </row>
    <row r="1081" spans="1:10" x14ac:dyDescent="0.35">
      <c r="A1081">
        <v>1080</v>
      </c>
      <c r="B1081" s="1" t="s">
        <v>35</v>
      </c>
      <c r="C1081">
        <v>2001</v>
      </c>
      <c r="D1081" s="4">
        <v>3</v>
      </c>
      <c r="E1081" s="5">
        <v>23382</v>
      </c>
      <c r="F1081" s="1" t="s">
        <v>16</v>
      </c>
      <c r="G1081" s="10">
        <v>90478.61</v>
      </c>
      <c r="H1081" s="1" t="s">
        <v>45</v>
      </c>
      <c r="I1081" t="s">
        <v>53</v>
      </c>
      <c r="J1081" t="s">
        <v>14</v>
      </c>
    </row>
    <row r="1082" spans="1:10" x14ac:dyDescent="0.35">
      <c r="A1082">
        <v>1081</v>
      </c>
      <c r="B1082" s="1" t="s">
        <v>23</v>
      </c>
      <c r="C1082">
        <v>2003</v>
      </c>
      <c r="D1082" s="4">
        <v>4.5999999999999996</v>
      </c>
      <c r="E1082" s="5">
        <v>276379</v>
      </c>
      <c r="F1082" s="1" t="s">
        <v>11</v>
      </c>
      <c r="G1082" s="10">
        <v>16224.78</v>
      </c>
      <c r="H1082" s="1" t="s">
        <v>42</v>
      </c>
      <c r="I1082" t="s">
        <v>52</v>
      </c>
      <c r="J1082" t="s">
        <v>14</v>
      </c>
    </row>
    <row r="1083" spans="1:10" x14ac:dyDescent="0.35">
      <c r="A1083">
        <v>1082</v>
      </c>
      <c r="B1083" s="1" t="s">
        <v>25</v>
      </c>
      <c r="C1083">
        <v>2005</v>
      </c>
      <c r="D1083" s="4">
        <v>4.9000000000000004</v>
      </c>
      <c r="E1083" s="5">
        <v>193295</v>
      </c>
      <c r="F1083" s="1" t="s">
        <v>15</v>
      </c>
      <c r="G1083" s="10">
        <v>34513.51</v>
      </c>
      <c r="H1083" s="1" t="s">
        <v>41</v>
      </c>
      <c r="I1083" t="s">
        <v>52</v>
      </c>
      <c r="J1083" t="s">
        <v>22</v>
      </c>
    </row>
    <row r="1084" spans="1:10" x14ac:dyDescent="0.35">
      <c r="A1084">
        <v>1083</v>
      </c>
      <c r="B1084" s="1" t="s">
        <v>27</v>
      </c>
      <c r="C1084">
        <v>2022</v>
      </c>
      <c r="D1084" s="4">
        <v>1.6</v>
      </c>
      <c r="E1084" s="5">
        <v>133438</v>
      </c>
      <c r="F1084" s="1" t="s">
        <v>11</v>
      </c>
      <c r="G1084" s="10">
        <v>78949.960000000006</v>
      </c>
      <c r="H1084" s="1" t="s">
        <v>37</v>
      </c>
      <c r="I1084" t="s">
        <v>51</v>
      </c>
      <c r="J1084" t="s">
        <v>14</v>
      </c>
    </row>
    <row r="1085" spans="1:10" x14ac:dyDescent="0.35">
      <c r="A1085">
        <v>1084</v>
      </c>
      <c r="B1085" s="1" t="s">
        <v>10</v>
      </c>
      <c r="C1085">
        <v>2004</v>
      </c>
      <c r="D1085" s="4">
        <v>1</v>
      </c>
      <c r="E1085" s="5">
        <v>158539</v>
      </c>
      <c r="F1085" s="1" t="s">
        <v>16</v>
      </c>
      <c r="G1085" s="10">
        <v>56605.04</v>
      </c>
      <c r="H1085" s="1" t="s">
        <v>18</v>
      </c>
      <c r="I1085" t="s">
        <v>13</v>
      </c>
      <c r="J1085" t="s">
        <v>14</v>
      </c>
    </row>
    <row r="1086" spans="1:10" x14ac:dyDescent="0.35">
      <c r="A1086">
        <v>1085</v>
      </c>
      <c r="B1086" s="1" t="s">
        <v>10</v>
      </c>
      <c r="C1086">
        <v>2002</v>
      </c>
      <c r="D1086" s="4">
        <v>4.5999999999999996</v>
      </c>
      <c r="E1086" s="5">
        <v>6764</v>
      </c>
      <c r="F1086" s="1" t="s">
        <v>15</v>
      </c>
      <c r="G1086" s="10">
        <v>84071.65</v>
      </c>
      <c r="H1086" s="1" t="s">
        <v>17</v>
      </c>
      <c r="I1086" t="s">
        <v>13</v>
      </c>
      <c r="J1086" t="s">
        <v>14</v>
      </c>
    </row>
    <row r="1087" spans="1:10" x14ac:dyDescent="0.35">
      <c r="A1087">
        <v>1086</v>
      </c>
      <c r="B1087" s="1" t="s">
        <v>10</v>
      </c>
      <c r="C1087">
        <v>2000</v>
      </c>
      <c r="D1087" s="4">
        <v>2.8</v>
      </c>
      <c r="E1087" s="5">
        <v>221968</v>
      </c>
      <c r="F1087" s="1" t="s">
        <v>15</v>
      </c>
      <c r="G1087" s="10">
        <v>15601.56</v>
      </c>
      <c r="H1087" s="1" t="s">
        <v>17</v>
      </c>
      <c r="I1087" t="s">
        <v>13</v>
      </c>
      <c r="J1087" t="s">
        <v>14</v>
      </c>
    </row>
    <row r="1088" spans="1:10" x14ac:dyDescent="0.35">
      <c r="A1088">
        <v>1087</v>
      </c>
      <c r="B1088" s="1" t="s">
        <v>29</v>
      </c>
      <c r="C1088">
        <v>2003</v>
      </c>
      <c r="D1088" s="4">
        <v>2.2999999999999998</v>
      </c>
      <c r="E1088" s="5">
        <v>113831</v>
      </c>
      <c r="F1088" s="1" t="s">
        <v>16</v>
      </c>
      <c r="G1088" s="10">
        <v>92452.65</v>
      </c>
      <c r="H1088" s="1" t="s">
        <v>30</v>
      </c>
      <c r="I1088" t="s">
        <v>51</v>
      </c>
      <c r="J1088" t="s">
        <v>22</v>
      </c>
    </row>
    <row r="1089" spans="1:10" x14ac:dyDescent="0.35">
      <c r="A1089">
        <v>1088</v>
      </c>
      <c r="B1089" s="1" t="s">
        <v>29</v>
      </c>
      <c r="C1089">
        <v>2019</v>
      </c>
      <c r="D1089" s="4">
        <v>1.1000000000000001</v>
      </c>
      <c r="E1089" s="5">
        <v>61836</v>
      </c>
      <c r="F1089" s="1" t="s">
        <v>16</v>
      </c>
      <c r="G1089" s="10">
        <v>93816.62</v>
      </c>
      <c r="H1089" s="1" t="s">
        <v>31</v>
      </c>
      <c r="I1089" t="s">
        <v>13</v>
      </c>
      <c r="J1089" t="s">
        <v>14</v>
      </c>
    </row>
    <row r="1090" spans="1:10" x14ac:dyDescent="0.35">
      <c r="A1090">
        <v>1089</v>
      </c>
      <c r="B1090" s="1" t="s">
        <v>20</v>
      </c>
      <c r="C1090">
        <v>2001</v>
      </c>
      <c r="D1090" s="4">
        <v>3.7</v>
      </c>
      <c r="E1090" s="5">
        <v>294067</v>
      </c>
      <c r="F1090" s="1" t="s">
        <v>16</v>
      </c>
      <c r="G1090" s="10">
        <v>19754.740000000002</v>
      </c>
      <c r="H1090" s="1" t="s">
        <v>46</v>
      </c>
      <c r="I1090" t="s">
        <v>52</v>
      </c>
      <c r="J1090" t="s">
        <v>14</v>
      </c>
    </row>
    <row r="1091" spans="1:10" x14ac:dyDescent="0.35">
      <c r="A1091">
        <v>1090</v>
      </c>
      <c r="B1091" s="1" t="s">
        <v>27</v>
      </c>
      <c r="C1091">
        <v>2004</v>
      </c>
      <c r="D1091" s="4">
        <v>5.3</v>
      </c>
      <c r="E1091" s="5">
        <v>255033</v>
      </c>
      <c r="F1091" s="1" t="s">
        <v>16</v>
      </c>
      <c r="G1091" s="10">
        <v>8218.17</v>
      </c>
      <c r="H1091" s="1" t="s">
        <v>37</v>
      </c>
      <c r="I1091" t="s">
        <v>52</v>
      </c>
      <c r="J1091" t="s">
        <v>22</v>
      </c>
    </row>
    <row r="1092" spans="1:10" x14ac:dyDescent="0.35">
      <c r="A1092">
        <v>1091</v>
      </c>
      <c r="B1092" s="1" t="s">
        <v>10</v>
      </c>
      <c r="C1092">
        <v>2002</v>
      </c>
      <c r="D1092" s="4">
        <v>5.8</v>
      </c>
      <c r="E1092" s="5">
        <v>16292</v>
      </c>
      <c r="F1092" s="1" t="s">
        <v>16</v>
      </c>
      <c r="G1092" s="10">
        <v>99034.93</v>
      </c>
      <c r="H1092" s="1" t="s">
        <v>18</v>
      </c>
      <c r="I1092" t="s">
        <v>13</v>
      </c>
      <c r="J1092" t="s">
        <v>14</v>
      </c>
    </row>
    <row r="1093" spans="1:10" x14ac:dyDescent="0.35">
      <c r="A1093">
        <v>1092</v>
      </c>
      <c r="B1093" s="1" t="s">
        <v>29</v>
      </c>
      <c r="C1093">
        <v>2008</v>
      </c>
      <c r="D1093" s="4">
        <v>3.8</v>
      </c>
      <c r="E1093" s="5">
        <v>283083</v>
      </c>
      <c r="F1093" s="1" t="s">
        <v>16</v>
      </c>
      <c r="G1093" s="10">
        <v>50813.9</v>
      </c>
      <c r="H1093" s="1" t="s">
        <v>38</v>
      </c>
      <c r="I1093" t="s">
        <v>53</v>
      </c>
      <c r="J1093" t="s">
        <v>14</v>
      </c>
    </row>
    <row r="1094" spans="1:10" x14ac:dyDescent="0.35">
      <c r="A1094">
        <v>1093</v>
      </c>
      <c r="B1094" s="1" t="s">
        <v>20</v>
      </c>
      <c r="C1094">
        <v>2019</v>
      </c>
      <c r="D1094" s="4">
        <v>3.6</v>
      </c>
      <c r="E1094" s="5">
        <v>243772</v>
      </c>
      <c r="F1094" s="1" t="s">
        <v>15</v>
      </c>
      <c r="G1094" s="10">
        <v>59347.16</v>
      </c>
      <c r="H1094" s="1" t="s">
        <v>46</v>
      </c>
      <c r="I1094" t="s">
        <v>53</v>
      </c>
      <c r="J1094" t="s">
        <v>22</v>
      </c>
    </row>
    <row r="1095" spans="1:10" x14ac:dyDescent="0.35">
      <c r="A1095">
        <v>1094</v>
      </c>
      <c r="B1095" s="1" t="s">
        <v>25</v>
      </c>
      <c r="C1095">
        <v>2005</v>
      </c>
      <c r="D1095" s="4">
        <v>1.4</v>
      </c>
      <c r="E1095" s="5">
        <v>18800</v>
      </c>
      <c r="F1095" s="1" t="s">
        <v>16</v>
      </c>
      <c r="G1095" s="10">
        <v>63510.95</v>
      </c>
      <c r="H1095" s="1" t="s">
        <v>49</v>
      </c>
      <c r="I1095" t="s">
        <v>51</v>
      </c>
      <c r="J1095" t="s">
        <v>14</v>
      </c>
    </row>
    <row r="1096" spans="1:10" x14ac:dyDescent="0.35">
      <c r="A1096">
        <v>1095</v>
      </c>
      <c r="B1096" s="1" t="s">
        <v>20</v>
      </c>
      <c r="C1096">
        <v>2017</v>
      </c>
      <c r="D1096" s="4">
        <v>3.7</v>
      </c>
      <c r="E1096" s="5">
        <v>56440</v>
      </c>
      <c r="F1096" s="1" t="s">
        <v>16</v>
      </c>
      <c r="G1096" s="10">
        <v>80018.5</v>
      </c>
      <c r="H1096" s="1" t="s">
        <v>39</v>
      </c>
      <c r="I1096" t="s">
        <v>53</v>
      </c>
      <c r="J1096" t="s">
        <v>14</v>
      </c>
    </row>
    <row r="1097" spans="1:10" x14ac:dyDescent="0.35">
      <c r="A1097">
        <v>1096</v>
      </c>
      <c r="B1097" s="1" t="s">
        <v>29</v>
      </c>
      <c r="C1097">
        <v>2005</v>
      </c>
      <c r="D1097" s="4">
        <v>2.9</v>
      </c>
      <c r="E1097" s="5">
        <v>127521</v>
      </c>
      <c r="F1097" s="1" t="s">
        <v>15</v>
      </c>
      <c r="G1097" s="10">
        <v>82138.86</v>
      </c>
      <c r="H1097" s="1" t="s">
        <v>43</v>
      </c>
      <c r="I1097" t="s">
        <v>51</v>
      </c>
      <c r="J1097" t="s">
        <v>22</v>
      </c>
    </row>
    <row r="1098" spans="1:10" x14ac:dyDescent="0.35">
      <c r="A1098">
        <v>1097</v>
      </c>
      <c r="B1098" s="1" t="s">
        <v>23</v>
      </c>
      <c r="C1098">
        <v>2018</v>
      </c>
      <c r="D1098" s="4">
        <v>4</v>
      </c>
      <c r="E1098" s="5">
        <v>121327</v>
      </c>
      <c r="F1098" s="1" t="s">
        <v>11</v>
      </c>
      <c r="G1098" s="10">
        <v>23422.9</v>
      </c>
      <c r="H1098" s="1" t="s">
        <v>32</v>
      </c>
      <c r="I1098" t="s">
        <v>52</v>
      </c>
      <c r="J1098" t="s">
        <v>22</v>
      </c>
    </row>
    <row r="1099" spans="1:10" x14ac:dyDescent="0.35">
      <c r="A1099">
        <v>1098</v>
      </c>
      <c r="B1099" s="1" t="s">
        <v>23</v>
      </c>
      <c r="C1099">
        <v>2011</v>
      </c>
      <c r="D1099" s="4">
        <v>2.9</v>
      </c>
      <c r="E1099" s="5">
        <v>49648</v>
      </c>
      <c r="F1099" s="1" t="s">
        <v>16</v>
      </c>
      <c r="G1099" s="10">
        <v>27480.49</v>
      </c>
      <c r="H1099" s="1" t="s">
        <v>42</v>
      </c>
      <c r="I1099" t="s">
        <v>13</v>
      </c>
      <c r="J1099" t="s">
        <v>22</v>
      </c>
    </row>
    <row r="1100" spans="1:10" x14ac:dyDescent="0.35">
      <c r="A1100">
        <v>1099</v>
      </c>
      <c r="B1100" s="1" t="s">
        <v>10</v>
      </c>
      <c r="C1100">
        <v>2010</v>
      </c>
      <c r="D1100" s="4">
        <v>2.2000000000000002</v>
      </c>
      <c r="E1100" s="5">
        <v>291908</v>
      </c>
      <c r="F1100" s="1" t="s">
        <v>15</v>
      </c>
      <c r="G1100" s="10">
        <v>88299.14</v>
      </c>
      <c r="H1100" s="1" t="s">
        <v>12</v>
      </c>
      <c r="I1100" t="s">
        <v>13</v>
      </c>
      <c r="J1100" t="s">
        <v>14</v>
      </c>
    </row>
    <row r="1101" spans="1:10" x14ac:dyDescent="0.35">
      <c r="A1101">
        <v>1100</v>
      </c>
      <c r="B1101" s="1" t="s">
        <v>23</v>
      </c>
      <c r="C1101">
        <v>2001</v>
      </c>
      <c r="D1101" s="4">
        <v>1.5</v>
      </c>
      <c r="E1101" s="5">
        <v>294614</v>
      </c>
      <c r="F1101" s="1" t="s">
        <v>15</v>
      </c>
      <c r="G1101" s="10">
        <v>82854.17</v>
      </c>
      <c r="H1101" s="1" t="s">
        <v>32</v>
      </c>
      <c r="I1101" t="s">
        <v>52</v>
      </c>
      <c r="J1101" t="s">
        <v>22</v>
      </c>
    </row>
    <row r="1102" spans="1:10" x14ac:dyDescent="0.35">
      <c r="A1102">
        <v>1101</v>
      </c>
      <c r="B1102" s="1" t="s">
        <v>10</v>
      </c>
      <c r="C1102">
        <v>2014</v>
      </c>
      <c r="D1102" s="4">
        <v>2.6</v>
      </c>
      <c r="E1102" s="5">
        <v>256160</v>
      </c>
      <c r="F1102" s="1" t="s">
        <v>11</v>
      </c>
      <c r="G1102" s="10">
        <v>63673.84</v>
      </c>
      <c r="H1102" s="1" t="s">
        <v>19</v>
      </c>
      <c r="I1102" t="s">
        <v>13</v>
      </c>
      <c r="J1102" t="s">
        <v>14</v>
      </c>
    </row>
    <row r="1103" spans="1:10" x14ac:dyDescent="0.35">
      <c r="A1103">
        <v>1102</v>
      </c>
      <c r="B1103" s="1" t="s">
        <v>10</v>
      </c>
      <c r="C1103">
        <v>2011</v>
      </c>
      <c r="D1103" s="4">
        <v>1.5</v>
      </c>
      <c r="E1103" s="5">
        <v>169573</v>
      </c>
      <c r="F1103" s="1" t="s">
        <v>16</v>
      </c>
      <c r="G1103" s="10">
        <v>99496.42</v>
      </c>
      <c r="H1103" s="1" t="s">
        <v>19</v>
      </c>
      <c r="I1103" t="s">
        <v>13</v>
      </c>
      <c r="J1103" t="s">
        <v>14</v>
      </c>
    </row>
    <row r="1104" spans="1:10" x14ac:dyDescent="0.35">
      <c r="A1104">
        <v>1103</v>
      </c>
      <c r="B1104" s="1" t="s">
        <v>29</v>
      </c>
      <c r="C1104">
        <v>2011</v>
      </c>
      <c r="D1104" s="4">
        <v>1.9</v>
      </c>
      <c r="E1104" s="5">
        <v>57207</v>
      </c>
      <c r="F1104" s="1" t="s">
        <v>16</v>
      </c>
      <c r="G1104" s="10">
        <v>74842.47</v>
      </c>
      <c r="H1104" s="1" t="s">
        <v>43</v>
      </c>
      <c r="I1104" t="s">
        <v>53</v>
      </c>
      <c r="J1104" t="s">
        <v>14</v>
      </c>
    </row>
    <row r="1105" spans="1:10" x14ac:dyDescent="0.35">
      <c r="A1105">
        <v>1104</v>
      </c>
      <c r="B1105" s="1" t="s">
        <v>23</v>
      </c>
      <c r="C1105">
        <v>2008</v>
      </c>
      <c r="D1105" s="4">
        <v>5.9</v>
      </c>
      <c r="E1105" s="5">
        <v>62157</v>
      </c>
      <c r="F1105" s="1" t="s">
        <v>16</v>
      </c>
      <c r="G1105" s="10">
        <v>25504.49</v>
      </c>
      <c r="H1105" s="1" t="s">
        <v>34</v>
      </c>
      <c r="I1105" t="s">
        <v>53</v>
      </c>
      <c r="J1105" t="s">
        <v>22</v>
      </c>
    </row>
    <row r="1106" spans="1:10" x14ac:dyDescent="0.35">
      <c r="A1106">
        <v>1105</v>
      </c>
      <c r="B1106" s="1" t="s">
        <v>10</v>
      </c>
      <c r="C1106">
        <v>2020</v>
      </c>
      <c r="D1106" s="4">
        <v>3.2</v>
      </c>
      <c r="E1106" s="5">
        <v>134288</v>
      </c>
      <c r="F1106" s="1" t="s">
        <v>15</v>
      </c>
      <c r="G1106" s="10">
        <v>85431.19</v>
      </c>
      <c r="H1106" s="1" t="s">
        <v>19</v>
      </c>
      <c r="I1106" t="s">
        <v>13</v>
      </c>
      <c r="J1106" t="s">
        <v>14</v>
      </c>
    </row>
    <row r="1107" spans="1:10" x14ac:dyDescent="0.35">
      <c r="A1107">
        <v>1106</v>
      </c>
      <c r="B1107" s="1" t="s">
        <v>27</v>
      </c>
      <c r="C1107">
        <v>2023</v>
      </c>
      <c r="D1107" s="4">
        <v>3.7</v>
      </c>
      <c r="E1107" s="5">
        <v>153144</v>
      </c>
      <c r="F1107" s="1" t="s">
        <v>16</v>
      </c>
      <c r="G1107" s="10">
        <v>44399.6</v>
      </c>
      <c r="H1107" s="1" t="s">
        <v>28</v>
      </c>
      <c r="I1107" t="s">
        <v>53</v>
      </c>
      <c r="J1107" t="s">
        <v>14</v>
      </c>
    </row>
    <row r="1108" spans="1:10" x14ac:dyDescent="0.35">
      <c r="A1108">
        <v>1107</v>
      </c>
      <c r="B1108" s="1" t="s">
        <v>25</v>
      </c>
      <c r="C1108">
        <v>2001</v>
      </c>
      <c r="D1108" s="4">
        <v>5.4</v>
      </c>
      <c r="E1108" s="5">
        <v>93778</v>
      </c>
      <c r="F1108" s="1" t="s">
        <v>16</v>
      </c>
      <c r="G1108" s="10">
        <v>8434.5</v>
      </c>
      <c r="H1108" s="1" t="s">
        <v>26</v>
      </c>
      <c r="I1108" t="s">
        <v>51</v>
      </c>
      <c r="J1108" t="s">
        <v>14</v>
      </c>
    </row>
    <row r="1109" spans="1:10" x14ac:dyDescent="0.35">
      <c r="A1109">
        <v>1108</v>
      </c>
      <c r="B1109" s="1" t="s">
        <v>20</v>
      </c>
      <c r="C1109">
        <v>2021</v>
      </c>
      <c r="D1109" s="4">
        <v>6</v>
      </c>
      <c r="E1109" s="5">
        <v>130016</v>
      </c>
      <c r="F1109" s="1" t="s">
        <v>16</v>
      </c>
      <c r="G1109" s="10">
        <v>35535.019999999997</v>
      </c>
      <c r="H1109" s="1" t="s">
        <v>46</v>
      </c>
      <c r="I1109" t="s">
        <v>52</v>
      </c>
      <c r="J1109" t="s">
        <v>14</v>
      </c>
    </row>
    <row r="1110" spans="1:10" x14ac:dyDescent="0.35">
      <c r="A1110">
        <v>1109</v>
      </c>
      <c r="B1110" s="1" t="s">
        <v>20</v>
      </c>
      <c r="C1110">
        <v>2002</v>
      </c>
      <c r="D1110" s="4">
        <v>3.9</v>
      </c>
      <c r="E1110" s="5">
        <v>124288</v>
      </c>
      <c r="F1110" s="1" t="s">
        <v>16</v>
      </c>
      <c r="G1110" s="10">
        <v>77537.37</v>
      </c>
      <c r="H1110" s="1" t="s">
        <v>46</v>
      </c>
      <c r="I1110" t="s">
        <v>13</v>
      </c>
      <c r="J1110" t="s">
        <v>22</v>
      </c>
    </row>
    <row r="1111" spans="1:10" x14ac:dyDescent="0.35">
      <c r="A1111">
        <v>1110</v>
      </c>
      <c r="B1111" s="1" t="s">
        <v>29</v>
      </c>
      <c r="C1111">
        <v>2011</v>
      </c>
      <c r="D1111" s="4">
        <v>5.0999999999999996</v>
      </c>
      <c r="E1111" s="5">
        <v>168204</v>
      </c>
      <c r="F1111" s="1" t="s">
        <v>11</v>
      </c>
      <c r="G1111" s="10">
        <v>96219.59</v>
      </c>
      <c r="H1111" s="1" t="s">
        <v>38</v>
      </c>
      <c r="I1111" t="s">
        <v>13</v>
      </c>
      <c r="J1111" t="s">
        <v>14</v>
      </c>
    </row>
    <row r="1112" spans="1:10" x14ac:dyDescent="0.35">
      <c r="A1112">
        <v>1111</v>
      </c>
      <c r="B1112" s="1" t="s">
        <v>23</v>
      </c>
      <c r="C1112">
        <v>2015</v>
      </c>
      <c r="D1112" s="4">
        <v>2.6</v>
      </c>
      <c r="E1112" s="5">
        <v>110573</v>
      </c>
      <c r="F1112" s="1" t="s">
        <v>11</v>
      </c>
      <c r="G1112" s="10">
        <v>31232.959999999999</v>
      </c>
      <c r="H1112" s="1" t="s">
        <v>32</v>
      </c>
      <c r="I1112" t="s">
        <v>13</v>
      </c>
      <c r="J1112" t="s">
        <v>14</v>
      </c>
    </row>
    <row r="1113" spans="1:10" x14ac:dyDescent="0.35">
      <c r="A1113">
        <v>1112</v>
      </c>
      <c r="B1113" s="1" t="s">
        <v>23</v>
      </c>
      <c r="C1113">
        <v>2020</v>
      </c>
      <c r="D1113" s="4">
        <v>2.5</v>
      </c>
      <c r="E1113" s="5">
        <v>120730</v>
      </c>
      <c r="F1113" s="1" t="s">
        <v>11</v>
      </c>
      <c r="G1113" s="10">
        <v>28419.05</v>
      </c>
      <c r="H1113" s="1" t="s">
        <v>24</v>
      </c>
      <c r="I1113" t="s">
        <v>13</v>
      </c>
      <c r="J1113" t="s">
        <v>22</v>
      </c>
    </row>
    <row r="1114" spans="1:10" x14ac:dyDescent="0.35">
      <c r="A1114">
        <v>1113</v>
      </c>
      <c r="B1114" s="1" t="s">
        <v>10</v>
      </c>
      <c r="C1114">
        <v>2023</v>
      </c>
      <c r="D1114" s="4">
        <v>3</v>
      </c>
      <c r="E1114" s="5">
        <v>64186</v>
      </c>
      <c r="F1114" s="1" t="s">
        <v>16</v>
      </c>
      <c r="G1114" s="10">
        <v>58543.58</v>
      </c>
      <c r="H1114" s="1" t="s">
        <v>17</v>
      </c>
      <c r="I1114" t="s">
        <v>13</v>
      </c>
      <c r="J1114" t="s">
        <v>14</v>
      </c>
    </row>
    <row r="1115" spans="1:10" x14ac:dyDescent="0.35">
      <c r="A1115">
        <v>1114</v>
      </c>
      <c r="B1115" s="1" t="s">
        <v>35</v>
      </c>
      <c r="C1115">
        <v>2000</v>
      </c>
      <c r="D1115" s="4">
        <v>4.4000000000000004</v>
      </c>
      <c r="E1115" s="5">
        <v>267104</v>
      </c>
      <c r="F1115" s="1" t="s">
        <v>16</v>
      </c>
      <c r="G1115" s="10">
        <v>82109.97</v>
      </c>
      <c r="H1115" s="1" t="s">
        <v>47</v>
      </c>
      <c r="I1115" t="s">
        <v>51</v>
      </c>
      <c r="J1115" t="s">
        <v>22</v>
      </c>
    </row>
    <row r="1116" spans="1:10" x14ac:dyDescent="0.35">
      <c r="A1116">
        <v>1115</v>
      </c>
      <c r="B1116" s="1" t="s">
        <v>10</v>
      </c>
      <c r="C1116">
        <v>2020</v>
      </c>
      <c r="D1116" s="4">
        <v>4.4000000000000004</v>
      </c>
      <c r="E1116" s="5">
        <v>18781</v>
      </c>
      <c r="F1116" s="1" t="s">
        <v>15</v>
      </c>
      <c r="G1116" s="10">
        <v>75919.94</v>
      </c>
      <c r="H1116" s="1" t="s">
        <v>18</v>
      </c>
      <c r="I1116" t="s">
        <v>13</v>
      </c>
      <c r="J1116" t="s">
        <v>14</v>
      </c>
    </row>
    <row r="1117" spans="1:10" x14ac:dyDescent="0.35">
      <c r="A1117">
        <v>1116</v>
      </c>
      <c r="B1117" s="1" t="s">
        <v>25</v>
      </c>
      <c r="C1117">
        <v>2002</v>
      </c>
      <c r="D1117" s="4">
        <v>2.6</v>
      </c>
      <c r="E1117" s="5">
        <v>237677</v>
      </c>
      <c r="F1117" s="1" t="s">
        <v>15</v>
      </c>
      <c r="G1117" s="10">
        <v>58196.1</v>
      </c>
      <c r="H1117" s="1" t="s">
        <v>49</v>
      </c>
      <c r="I1117" t="s">
        <v>13</v>
      </c>
      <c r="J1117" t="s">
        <v>14</v>
      </c>
    </row>
    <row r="1118" spans="1:10" x14ac:dyDescent="0.35">
      <c r="A1118">
        <v>1117</v>
      </c>
      <c r="B1118" s="1" t="s">
        <v>27</v>
      </c>
      <c r="C1118">
        <v>2019</v>
      </c>
      <c r="D1118" s="4">
        <v>1.7</v>
      </c>
      <c r="E1118" s="5">
        <v>257506</v>
      </c>
      <c r="F1118" s="1" t="s">
        <v>15</v>
      </c>
      <c r="G1118" s="10">
        <v>64982.02</v>
      </c>
      <c r="H1118" s="1" t="s">
        <v>40</v>
      </c>
      <c r="I1118" t="s">
        <v>52</v>
      </c>
      <c r="J1118" t="s">
        <v>22</v>
      </c>
    </row>
    <row r="1119" spans="1:10" x14ac:dyDescent="0.35">
      <c r="A1119">
        <v>1118</v>
      </c>
      <c r="B1119" s="1" t="s">
        <v>20</v>
      </c>
      <c r="C1119">
        <v>2001</v>
      </c>
      <c r="D1119" s="4">
        <v>4.2</v>
      </c>
      <c r="E1119" s="5">
        <v>31126</v>
      </c>
      <c r="F1119" s="1" t="s">
        <v>16</v>
      </c>
      <c r="G1119" s="10">
        <v>27999.4</v>
      </c>
      <c r="H1119" s="1" t="s">
        <v>33</v>
      </c>
      <c r="I1119" t="s">
        <v>53</v>
      </c>
      <c r="J1119" t="s">
        <v>14</v>
      </c>
    </row>
    <row r="1120" spans="1:10" x14ac:dyDescent="0.35">
      <c r="A1120">
        <v>1119</v>
      </c>
      <c r="B1120" s="1" t="s">
        <v>10</v>
      </c>
      <c r="C1120">
        <v>2008</v>
      </c>
      <c r="D1120" s="4">
        <v>1.6</v>
      </c>
      <c r="E1120" s="5">
        <v>238217</v>
      </c>
      <c r="F1120" s="1" t="s">
        <v>11</v>
      </c>
      <c r="G1120" s="10">
        <v>46094.559999999998</v>
      </c>
      <c r="H1120" s="1" t="s">
        <v>12</v>
      </c>
      <c r="I1120" t="s">
        <v>13</v>
      </c>
      <c r="J1120" t="s">
        <v>14</v>
      </c>
    </row>
    <row r="1121" spans="1:10" x14ac:dyDescent="0.35">
      <c r="A1121">
        <v>1120</v>
      </c>
      <c r="B1121" s="1" t="s">
        <v>35</v>
      </c>
      <c r="C1121">
        <v>2018</v>
      </c>
      <c r="D1121" s="4">
        <v>3.9</v>
      </c>
      <c r="E1121" s="5">
        <v>280027</v>
      </c>
      <c r="F1121" s="1" t="s">
        <v>11</v>
      </c>
      <c r="G1121" s="10">
        <v>29259.73</v>
      </c>
      <c r="H1121" s="1" t="s">
        <v>47</v>
      </c>
      <c r="I1121" t="s">
        <v>13</v>
      </c>
      <c r="J1121" t="s">
        <v>22</v>
      </c>
    </row>
    <row r="1122" spans="1:10" x14ac:dyDescent="0.35">
      <c r="A1122">
        <v>1121</v>
      </c>
      <c r="B1122" s="1" t="s">
        <v>35</v>
      </c>
      <c r="C1122">
        <v>2014</v>
      </c>
      <c r="D1122" s="4">
        <v>4.5</v>
      </c>
      <c r="E1122" s="5">
        <v>29782</v>
      </c>
      <c r="F1122" s="1" t="s">
        <v>11</v>
      </c>
      <c r="G1122" s="10">
        <v>89019.71</v>
      </c>
      <c r="H1122" s="1" t="s">
        <v>47</v>
      </c>
      <c r="I1122" t="s">
        <v>52</v>
      </c>
      <c r="J1122" t="s">
        <v>22</v>
      </c>
    </row>
    <row r="1123" spans="1:10" x14ac:dyDescent="0.35">
      <c r="A1123">
        <v>1122</v>
      </c>
      <c r="B1123" s="1" t="s">
        <v>10</v>
      </c>
      <c r="C1123">
        <v>2017</v>
      </c>
      <c r="D1123" s="4">
        <v>4.5</v>
      </c>
      <c r="E1123" s="5">
        <v>148051</v>
      </c>
      <c r="F1123" s="1" t="s">
        <v>16</v>
      </c>
      <c r="G1123" s="10">
        <v>15692.68</v>
      </c>
      <c r="H1123" s="1" t="s">
        <v>12</v>
      </c>
      <c r="I1123" t="s">
        <v>13</v>
      </c>
      <c r="J1123" t="s">
        <v>14</v>
      </c>
    </row>
    <row r="1124" spans="1:10" x14ac:dyDescent="0.35">
      <c r="A1124">
        <v>1123</v>
      </c>
      <c r="B1124" s="1" t="s">
        <v>29</v>
      </c>
      <c r="C1124">
        <v>2010</v>
      </c>
      <c r="D1124" s="4">
        <v>4.8</v>
      </c>
      <c r="E1124" s="5">
        <v>295890</v>
      </c>
      <c r="F1124" s="1" t="s">
        <v>11</v>
      </c>
      <c r="G1124" s="10">
        <v>69575.350000000006</v>
      </c>
      <c r="H1124" s="1" t="s">
        <v>30</v>
      </c>
      <c r="I1124" t="s">
        <v>13</v>
      </c>
      <c r="J1124" t="s">
        <v>22</v>
      </c>
    </row>
    <row r="1125" spans="1:10" x14ac:dyDescent="0.35">
      <c r="A1125">
        <v>1124</v>
      </c>
      <c r="B1125" s="1" t="s">
        <v>20</v>
      </c>
      <c r="C1125">
        <v>2022</v>
      </c>
      <c r="D1125" s="4">
        <v>5.4</v>
      </c>
      <c r="E1125" s="5">
        <v>261161</v>
      </c>
      <c r="F1125" s="1" t="s">
        <v>15</v>
      </c>
      <c r="G1125" s="10">
        <v>29726.9</v>
      </c>
      <c r="H1125" s="1" t="s">
        <v>21</v>
      </c>
      <c r="I1125" t="s">
        <v>13</v>
      </c>
      <c r="J1125" t="s">
        <v>22</v>
      </c>
    </row>
    <row r="1126" spans="1:10" x14ac:dyDescent="0.35">
      <c r="A1126">
        <v>1125</v>
      </c>
      <c r="B1126" s="1" t="s">
        <v>29</v>
      </c>
      <c r="C1126">
        <v>2015</v>
      </c>
      <c r="D1126" s="4">
        <v>3.5</v>
      </c>
      <c r="E1126" s="5">
        <v>66266</v>
      </c>
      <c r="F1126" s="1" t="s">
        <v>15</v>
      </c>
      <c r="G1126" s="10">
        <v>50179.85</v>
      </c>
      <c r="H1126" s="1" t="s">
        <v>43</v>
      </c>
      <c r="I1126" t="s">
        <v>51</v>
      </c>
      <c r="J1126" t="s">
        <v>22</v>
      </c>
    </row>
    <row r="1127" spans="1:10" x14ac:dyDescent="0.35">
      <c r="A1127">
        <v>1126</v>
      </c>
      <c r="B1127" s="1" t="s">
        <v>27</v>
      </c>
      <c r="C1127">
        <v>2021</v>
      </c>
      <c r="D1127" s="4">
        <v>4.7</v>
      </c>
      <c r="E1127" s="5">
        <v>56</v>
      </c>
      <c r="F1127" s="1" t="s">
        <v>11</v>
      </c>
      <c r="G1127" s="10">
        <v>33444.21</v>
      </c>
      <c r="H1127" s="1" t="s">
        <v>48</v>
      </c>
      <c r="I1127" t="s">
        <v>51</v>
      </c>
      <c r="J1127" t="s">
        <v>14</v>
      </c>
    </row>
    <row r="1128" spans="1:10" x14ac:dyDescent="0.35">
      <c r="A1128">
        <v>1127</v>
      </c>
      <c r="B1128" s="1" t="s">
        <v>35</v>
      </c>
      <c r="C1128">
        <v>2016</v>
      </c>
      <c r="D1128" s="4">
        <v>4.0999999999999996</v>
      </c>
      <c r="E1128" s="5">
        <v>293601</v>
      </c>
      <c r="F1128" s="1" t="s">
        <v>15</v>
      </c>
      <c r="G1128" s="10">
        <v>35708.31</v>
      </c>
      <c r="H1128" s="1" t="s">
        <v>36</v>
      </c>
      <c r="I1128" t="s">
        <v>13</v>
      </c>
      <c r="J1128" t="s">
        <v>14</v>
      </c>
    </row>
    <row r="1129" spans="1:10" x14ac:dyDescent="0.35">
      <c r="A1129">
        <v>1128</v>
      </c>
      <c r="B1129" s="1" t="s">
        <v>35</v>
      </c>
      <c r="C1129">
        <v>2004</v>
      </c>
      <c r="D1129" s="4">
        <v>1.9</v>
      </c>
      <c r="E1129" s="5">
        <v>132773</v>
      </c>
      <c r="F1129" s="1" t="s">
        <v>11</v>
      </c>
      <c r="G1129" s="10">
        <v>29737.34</v>
      </c>
      <c r="H1129" s="1" t="s">
        <v>36</v>
      </c>
      <c r="I1129" t="s">
        <v>51</v>
      </c>
      <c r="J1129" t="s">
        <v>14</v>
      </c>
    </row>
    <row r="1130" spans="1:10" x14ac:dyDescent="0.35">
      <c r="A1130">
        <v>1129</v>
      </c>
      <c r="B1130" s="1" t="s">
        <v>25</v>
      </c>
      <c r="C1130">
        <v>2011</v>
      </c>
      <c r="D1130" s="4">
        <v>1.1000000000000001</v>
      </c>
      <c r="E1130" s="5">
        <v>187453</v>
      </c>
      <c r="F1130" s="1" t="s">
        <v>11</v>
      </c>
      <c r="G1130" s="10">
        <v>76515.33</v>
      </c>
      <c r="H1130" s="1" t="s">
        <v>49</v>
      </c>
      <c r="I1130" t="s">
        <v>53</v>
      </c>
      <c r="J1130" t="s">
        <v>14</v>
      </c>
    </row>
    <row r="1131" spans="1:10" x14ac:dyDescent="0.35">
      <c r="A1131">
        <v>1130</v>
      </c>
      <c r="B1131" s="1" t="s">
        <v>27</v>
      </c>
      <c r="C1131">
        <v>2010</v>
      </c>
      <c r="D1131" s="4">
        <v>2.4</v>
      </c>
      <c r="E1131" s="5">
        <v>181510</v>
      </c>
      <c r="F1131" s="1" t="s">
        <v>15</v>
      </c>
      <c r="G1131" s="10">
        <v>39743.01</v>
      </c>
      <c r="H1131" s="1" t="s">
        <v>48</v>
      </c>
      <c r="I1131" t="s">
        <v>13</v>
      </c>
      <c r="J1131" t="s">
        <v>22</v>
      </c>
    </row>
    <row r="1132" spans="1:10" x14ac:dyDescent="0.35">
      <c r="A1132">
        <v>1131</v>
      </c>
      <c r="B1132" s="1" t="s">
        <v>35</v>
      </c>
      <c r="C1132">
        <v>2014</v>
      </c>
      <c r="D1132" s="4">
        <v>3.2</v>
      </c>
      <c r="E1132" s="5">
        <v>80636</v>
      </c>
      <c r="F1132" s="1" t="s">
        <v>15</v>
      </c>
      <c r="G1132" s="10">
        <v>74003.92</v>
      </c>
      <c r="H1132" s="1" t="s">
        <v>50</v>
      </c>
      <c r="I1132" t="s">
        <v>53</v>
      </c>
      <c r="J1132" t="s">
        <v>22</v>
      </c>
    </row>
    <row r="1133" spans="1:10" x14ac:dyDescent="0.35">
      <c r="A1133">
        <v>1132</v>
      </c>
      <c r="B1133" s="1" t="s">
        <v>27</v>
      </c>
      <c r="C1133">
        <v>2002</v>
      </c>
      <c r="D1133" s="4">
        <v>4.0999999999999996</v>
      </c>
      <c r="E1133" s="5">
        <v>66483</v>
      </c>
      <c r="F1133" s="1" t="s">
        <v>15</v>
      </c>
      <c r="G1133" s="10">
        <v>48326.64</v>
      </c>
      <c r="H1133" s="1" t="s">
        <v>28</v>
      </c>
      <c r="I1133" t="s">
        <v>52</v>
      </c>
      <c r="J1133" t="s">
        <v>14</v>
      </c>
    </row>
    <row r="1134" spans="1:10" x14ac:dyDescent="0.35">
      <c r="A1134">
        <v>1133</v>
      </c>
      <c r="B1134" s="1" t="s">
        <v>20</v>
      </c>
      <c r="C1134">
        <v>2000</v>
      </c>
      <c r="D1134" s="4">
        <v>5.2</v>
      </c>
      <c r="E1134" s="5">
        <v>20505</v>
      </c>
      <c r="F1134" s="1" t="s">
        <v>15</v>
      </c>
      <c r="G1134" s="10">
        <v>56988.37</v>
      </c>
      <c r="H1134" s="1" t="s">
        <v>39</v>
      </c>
      <c r="I1134" t="s">
        <v>53</v>
      </c>
      <c r="J1134" t="s">
        <v>14</v>
      </c>
    </row>
    <row r="1135" spans="1:10" x14ac:dyDescent="0.35">
      <c r="A1135">
        <v>1134</v>
      </c>
      <c r="B1135" s="1" t="s">
        <v>23</v>
      </c>
      <c r="C1135">
        <v>2019</v>
      </c>
      <c r="D1135" s="4">
        <v>2</v>
      </c>
      <c r="E1135" s="5">
        <v>33525</v>
      </c>
      <c r="F1135" s="1" t="s">
        <v>11</v>
      </c>
      <c r="G1135" s="10">
        <v>56612.31</v>
      </c>
      <c r="H1135" s="1" t="s">
        <v>34</v>
      </c>
      <c r="I1135" t="s">
        <v>52</v>
      </c>
      <c r="J1135" t="s">
        <v>14</v>
      </c>
    </row>
    <row r="1136" spans="1:10" x14ac:dyDescent="0.35">
      <c r="A1136">
        <v>1135</v>
      </c>
      <c r="B1136" s="1" t="s">
        <v>35</v>
      </c>
      <c r="C1136">
        <v>2015</v>
      </c>
      <c r="D1136" s="4">
        <v>1.6</v>
      </c>
      <c r="E1136" s="5">
        <v>211474</v>
      </c>
      <c r="F1136" s="1" t="s">
        <v>15</v>
      </c>
      <c r="G1136" s="10">
        <v>97705.95</v>
      </c>
      <c r="H1136" s="1" t="s">
        <v>50</v>
      </c>
      <c r="I1136" t="s">
        <v>13</v>
      </c>
      <c r="J1136" t="s">
        <v>22</v>
      </c>
    </row>
    <row r="1137" spans="1:10" x14ac:dyDescent="0.35">
      <c r="A1137">
        <v>1136</v>
      </c>
      <c r="B1137" s="1" t="s">
        <v>25</v>
      </c>
      <c r="C1137">
        <v>2001</v>
      </c>
      <c r="D1137" s="4">
        <v>5.8</v>
      </c>
      <c r="E1137" s="5">
        <v>96008</v>
      </c>
      <c r="F1137" s="1" t="s">
        <v>15</v>
      </c>
      <c r="G1137" s="10">
        <v>39870.93</v>
      </c>
      <c r="H1137" s="1" t="s">
        <v>41</v>
      </c>
      <c r="I1137" t="s">
        <v>52</v>
      </c>
      <c r="J1137" t="s">
        <v>22</v>
      </c>
    </row>
    <row r="1138" spans="1:10" x14ac:dyDescent="0.35">
      <c r="A1138">
        <v>1137</v>
      </c>
      <c r="B1138" s="1" t="s">
        <v>20</v>
      </c>
      <c r="C1138">
        <v>2001</v>
      </c>
      <c r="D1138" s="4">
        <v>1.5</v>
      </c>
      <c r="E1138" s="5">
        <v>44348</v>
      </c>
      <c r="F1138" s="1" t="s">
        <v>16</v>
      </c>
      <c r="G1138" s="10">
        <v>24729.99</v>
      </c>
      <c r="H1138" s="1" t="s">
        <v>39</v>
      </c>
      <c r="I1138" t="s">
        <v>52</v>
      </c>
      <c r="J1138" t="s">
        <v>22</v>
      </c>
    </row>
    <row r="1139" spans="1:10" x14ac:dyDescent="0.35">
      <c r="A1139">
        <v>1138</v>
      </c>
      <c r="B1139" s="1" t="s">
        <v>10</v>
      </c>
      <c r="C1139">
        <v>2002</v>
      </c>
      <c r="D1139" s="4">
        <v>3.4</v>
      </c>
      <c r="E1139" s="5">
        <v>202259</v>
      </c>
      <c r="F1139" s="1" t="s">
        <v>15</v>
      </c>
      <c r="G1139" s="10">
        <v>91620.23</v>
      </c>
      <c r="H1139" s="1" t="s">
        <v>18</v>
      </c>
      <c r="I1139" t="s">
        <v>13</v>
      </c>
      <c r="J1139" t="s">
        <v>14</v>
      </c>
    </row>
    <row r="1140" spans="1:10" x14ac:dyDescent="0.35">
      <c r="A1140">
        <v>1139</v>
      </c>
      <c r="B1140" s="1" t="s">
        <v>27</v>
      </c>
      <c r="C1140">
        <v>2007</v>
      </c>
      <c r="D1140" s="4">
        <v>3.9</v>
      </c>
      <c r="E1140" s="5">
        <v>269417</v>
      </c>
      <c r="F1140" s="1" t="s">
        <v>15</v>
      </c>
      <c r="G1140" s="10">
        <v>21609.73</v>
      </c>
      <c r="H1140" s="1" t="s">
        <v>28</v>
      </c>
      <c r="I1140" t="s">
        <v>53</v>
      </c>
      <c r="J1140" t="s">
        <v>14</v>
      </c>
    </row>
    <row r="1141" spans="1:10" x14ac:dyDescent="0.35">
      <c r="A1141">
        <v>1140</v>
      </c>
      <c r="B1141" s="1" t="s">
        <v>10</v>
      </c>
      <c r="C1141">
        <v>2023</v>
      </c>
      <c r="D1141" s="4">
        <v>3.7</v>
      </c>
      <c r="E1141" s="5">
        <v>206641</v>
      </c>
      <c r="F1141" s="1" t="s">
        <v>11</v>
      </c>
      <c r="G1141" s="10">
        <v>84270.17</v>
      </c>
      <c r="H1141" s="1" t="s">
        <v>18</v>
      </c>
      <c r="I1141" t="s">
        <v>13</v>
      </c>
      <c r="J1141" t="s">
        <v>14</v>
      </c>
    </row>
    <row r="1142" spans="1:10" x14ac:dyDescent="0.35">
      <c r="A1142">
        <v>1141</v>
      </c>
      <c r="B1142" s="1" t="s">
        <v>29</v>
      </c>
      <c r="C1142">
        <v>2014</v>
      </c>
      <c r="D1142" s="4">
        <v>1.4</v>
      </c>
      <c r="E1142" s="5">
        <v>134607</v>
      </c>
      <c r="F1142" s="1" t="s">
        <v>11</v>
      </c>
      <c r="G1142" s="10">
        <v>19270.419999999998</v>
      </c>
      <c r="H1142" s="1" t="s">
        <v>31</v>
      </c>
      <c r="I1142" t="s">
        <v>13</v>
      </c>
      <c r="J1142" t="s">
        <v>22</v>
      </c>
    </row>
    <row r="1143" spans="1:10" x14ac:dyDescent="0.35">
      <c r="A1143">
        <v>1142</v>
      </c>
      <c r="B1143" s="1" t="s">
        <v>20</v>
      </c>
      <c r="C1143">
        <v>2006</v>
      </c>
      <c r="D1143" s="4">
        <v>1.3</v>
      </c>
      <c r="E1143" s="5">
        <v>214096</v>
      </c>
      <c r="F1143" s="1" t="s">
        <v>16</v>
      </c>
      <c r="G1143" s="10">
        <v>67578.81</v>
      </c>
      <c r="H1143" s="1" t="s">
        <v>39</v>
      </c>
      <c r="I1143" t="s">
        <v>13</v>
      </c>
      <c r="J1143" t="s">
        <v>14</v>
      </c>
    </row>
    <row r="1144" spans="1:10" x14ac:dyDescent="0.35">
      <c r="A1144">
        <v>1143</v>
      </c>
      <c r="B1144" s="1" t="s">
        <v>10</v>
      </c>
      <c r="C1144">
        <v>2005</v>
      </c>
      <c r="D1144" s="4">
        <v>1.5</v>
      </c>
      <c r="E1144" s="5">
        <v>107157</v>
      </c>
      <c r="F1144" s="1" t="s">
        <v>15</v>
      </c>
      <c r="G1144" s="10">
        <v>19301.38</v>
      </c>
      <c r="H1144" s="1" t="s">
        <v>18</v>
      </c>
      <c r="I1144" t="s">
        <v>13</v>
      </c>
      <c r="J1144" t="s">
        <v>14</v>
      </c>
    </row>
    <row r="1145" spans="1:10" x14ac:dyDescent="0.35">
      <c r="A1145">
        <v>1144</v>
      </c>
      <c r="B1145" s="1" t="s">
        <v>35</v>
      </c>
      <c r="C1145">
        <v>2008</v>
      </c>
      <c r="D1145" s="4">
        <v>3.9</v>
      </c>
      <c r="E1145" s="5">
        <v>908</v>
      </c>
      <c r="F1145" s="1" t="s">
        <v>15</v>
      </c>
      <c r="G1145" s="10">
        <v>92693.15</v>
      </c>
      <c r="H1145" s="1" t="s">
        <v>36</v>
      </c>
      <c r="I1145" t="s">
        <v>13</v>
      </c>
      <c r="J1145" t="s">
        <v>22</v>
      </c>
    </row>
    <row r="1146" spans="1:10" x14ac:dyDescent="0.35">
      <c r="A1146">
        <v>1145</v>
      </c>
      <c r="B1146" s="1" t="s">
        <v>27</v>
      </c>
      <c r="C1146">
        <v>2019</v>
      </c>
      <c r="D1146" s="4">
        <v>3.7</v>
      </c>
      <c r="E1146" s="5">
        <v>252299</v>
      </c>
      <c r="F1146" s="1" t="s">
        <v>15</v>
      </c>
      <c r="G1146" s="10">
        <v>58675.79</v>
      </c>
      <c r="H1146" s="1" t="s">
        <v>40</v>
      </c>
      <c r="I1146" t="s">
        <v>13</v>
      </c>
      <c r="J1146" t="s">
        <v>14</v>
      </c>
    </row>
    <row r="1147" spans="1:10" x14ac:dyDescent="0.35">
      <c r="A1147">
        <v>1146</v>
      </c>
      <c r="B1147" s="1" t="s">
        <v>23</v>
      </c>
      <c r="C1147">
        <v>2000</v>
      </c>
      <c r="D1147" s="4">
        <v>2.2000000000000002</v>
      </c>
      <c r="E1147" s="5">
        <v>201225</v>
      </c>
      <c r="F1147" s="1" t="s">
        <v>15</v>
      </c>
      <c r="G1147" s="10">
        <v>36281.01</v>
      </c>
      <c r="H1147" s="1" t="s">
        <v>32</v>
      </c>
      <c r="I1147" t="s">
        <v>52</v>
      </c>
      <c r="J1147" t="s">
        <v>22</v>
      </c>
    </row>
    <row r="1148" spans="1:10" x14ac:dyDescent="0.35">
      <c r="A1148">
        <v>1147</v>
      </c>
      <c r="B1148" s="1" t="s">
        <v>20</v>
      </c>
      <c r="C1148">
        <v>2007</v>
      </c>
      <c r="D1148" s="4">
        <v>4.2</v>
      </c>
      <c r="E1148" s="5">
        <v>108352</v>
      </c>
      <c r="F1148" s="1" t="s">
        <v>15</v>
      </c>
      <c r="G1148" s="10">
        <v>18330.66</v>
      </c>
      <c r="H1148" s="1" t="s">
        <v>39</v>
      </c>
      <c r="I1148" t="s">
        <v>52</v>
      </c>
      <c r="J1148" t="s">
        <v>22</v>
      </c>
    </row>
    <row r="1149" spans="1:10" x14ac:dyDescent="0.35">
      <c r="A1149">
        <v>1148</v>
      </c>
      <c r="B1149" s="1" t="s">
        <v>35</v>
      </c>
      <c r="C1149">
        <v>2022</v>
      </c>
      <c r="D1149" s="4">
        <v>5.0999999999999996</v>
      </c>
      <c r="E1149" s="5">
        <v>95967</v>
      </c>
      <c r="F1149" s="1" t="s">
        <v>15</v>
      </c>
      <c r="G1149" s="10">
        <v>40263.26</v>
      </c>
      <c r="H1149" s="1" t="s">
        <v>47</v>
      </c>
      <c r="I1149" t="s">
        <v>53</v>
      </c>
      <c r="J1149" t="s">
        <v>14</v>
      </c>
    </row>
    <row r="1150" spans="1:10" x14ac:dyDescent="0.35">
      <c r="A1150">
        <v>1149</v>
      </c>
      <c r="B1150" s="1" t="s">
        <v>25</v>
      </c>
      <c r="C1150">
        <v>2022</v>
      </c>
      <c r="D1150" s="4">
        <v>1.2</v>
      </c>
      <c r="E1150" s="5">
        <v>35079</v>
      </c>
      <c r="F1150" s="1" t="s">
        <v>16</v>
      </c>
      <c r="G1150" s="10">
        <v>71976.899999999994</v>
      </c>
      <c r="H1150" s="1" t="s">
        <v>41</v>
      </c>
      <c r="I1150" t="s">
        <v>13</v>
      </c>
      <c r="J1150" t="s">
        <v>14</v>
      </c>
    </row>
    <row r="1151" spans="1:10" x14ac:dyDescent="0.35">
      <c r="A1151">
        <v>1150</v>
      </c>
      <c r="B1151" s="1" t="s">
        <v>29</v>
      </c>
      <c r="C1151">
        <v>2002</v>
      </c>
      <c r="D1151" s="4">
        <v>3.5</v>
      </c>
      <c r="E1151" s="5">
        <v>212628</v>
      </c>
      <c r="F1151" s="1" t="s">
        <v>15</v>
      </c>
      <c r="G1151" s="10">
        <v>41570.33</v>
      </c>
      <c r="H1151" s="1" t="s">
        <v>38</v>
      </c>
      <c r="I1151" t="s">
        <v>52</v>
      </c>
      <c r="J1151" t="s">
        <v>14</v>
      </c>
    </row>
    <row r="1152" spans="1:10" x14ac:dyDescent="0.35">
      <c r="A1152">
        <v>1151</v>
      </c>
      <c r="B1152" s="1" t="s">
        <v>27</v>
      </c>
      <c r="C1152">
        <v>2003</v>
      </c>
      <c r="D1152" s="4">
        <v>4.4000000000000004</v>
      </c>
      <c r="E1152" s="5">
        <v>111889</v>
      </c>
      <c r="F1152" s="1" t="s">
        <v>15</v>
      </c>
      <c r="G1152" s="10">
        <v>28378.94</v>
      </c>
      <c r="H1152" s="1" t="s">
        <v>40</v>
      </c>
      <c r="I1152" t="s">
        <v>51</v>
      </c>
      <c r="J1152" t="s">
        <v>22</v>
      </c>
    </row>
    <row r="1153" spans="1:10" x14ac:dyDescent="0.35">
      <c r="A1153">
        <v>1152</v>
      </c>
      <c r="B1153" s="1" t="s">
        <v>20</v>
      </c>
      <c r="C1153">
        <v>2014</v>
      </c>
      <c r="D1153" s="4">
        <v>2.2999999999999998</v>
      </c>
      <c r="E1153" s="5">
        <v>262063</v>
      </c>
      <c r="F1153" s="1" t="s">
        <v>15</v>
      </c>
      <c r="G1153" s="10">
        <v>59853.9</v>
      </c>
      <c r="H1153" s="1" t="s">
        <v>33</v>
      </c>
      <c r="I1153" t="s">
        <v>13</v>
      </c>
      <c r="J1153" t="s">
        <v>14</v>
      </c>
    </row>
    <row r="1154" spans="1:10" x14ac:dyDescent="0.35">
      <c r="A1154">
        <v>1153</v>
      </c>
      <c r="B1154" s="1" t="s">
        <v>20</v>
      </c>
      <c r="C1154">
        <v>2005</v>
      </c>
      <c r="D1154" s="4">
        <v>2.5</v>
      </c>
      <c r="E1154" s="5">
        <v>46105</v>
      </c>
      <c r="F1154" s="1" t="s">
        <v>16</v>
      </c>
      <c r="G1154" s="10">
        <v>44693.08</v>
      </c>
      <c r="H1154" s="1" t="s">
        <v>46</v>
      </c>
      <c r="I1154" t="s">
        <v>51</v>
      </c>
      <c r="J1154" t="s">
        <v>14</v>
      </c>
    </row>
    <row r="1155" spans="1:10" x14ac:dyDescent="0.35">
      <c r="A1155">
        <v>1154</v>
      </c>
      <c r="B1155" s="1" t="s">
        <v>23</v>
      </c>
      <c r="C1155">
        <v>2014</v>
      </c>
      <c r="D1155" s="4">
        <v>4.0999999999999996</v>
      </c>
      <c r="E1155" s="5">
        <v>132957</v>
      </c>
      <c r="F1155" s="1" t="s">
        <v>15</v>
      </c>
      <c r="G1155" s="10">
        <v>20751.59</v>
      </c>
      <c r="H1155" s="1" t="s">
        <v>42</v>
      </c>
      <c r="I1155" t="s">
        <v>53</v>
      </c>
      <c r="J1155" t="s">
        <v>22</v>
      </c>
    </row>
    <row r="1156" spans="1:10" x14ac:dyDescent="0.35">
      <c r="A1156">
        <v>1155</v>
      </c>
      <c r="B1156" s="1" t="s">
        <v>23</v>
      </c>
      <c r="C1156">
        <v>2020</v>
      </c>
      <c r="D1156" s="4">
        <v>5.5</v>
      </c>
      <c r="E1156" s="5">
        <v>1049</v>
      </c>
      <c r="F1156" s="1" t="s">
        <v>16</v>
      </c>
      <c r="G1156" s="10">
        <v>19628.86</v>
      </c>
      <c r="H1156" s="1" t="s">
        <v>32</v>
      </c>
      <c r="I1156" t="s">
        <v>13</v>
      </c>
      <c r="J1156" t="s">
        <v>22</v>
      </c>
    </row>
    <row r="1157" spans="1:10" x14ac:dyDescent="0.35">
      <c r="A1157">
        <v>1156</v>
      </c>
      <c r="B1157" s="1" t="s">
        <v>25</v>
      </c>
      <c r="C1157">
        <v>2002</v>
      </c>
      <c r="D1157" s="4">
        <v>5</v>
      </c>
      <c r="E1157" s="5">
        <v>53281</v>
      </c>
      <c r="F1157" s="1" t="s">
        <v>11</v>
      </c>
      <c r="G1157" s="10">
        <v>72208.89</v>
      </c>
      <c r="H1157" s="1" t="s">
        <v>26</v>
      </c>
      <c r="I1157" t="s">
        <v>53</v>
      </c>
      <c r="J1157" t="s">
        <v>14</v>
      </c>
    </row>
    <row r="1158" spans="1:10" x14ac:dyDescent="0.35">
      <c r="A1158">
        <v>1157</v>
      </c>
      <c r="B1158" s="1" t="s">
        <v>29</v>
      </c>
      <c r="C1158">
        <v>2020</v>
      </c>
      <c r="D1158" s="4">
        <v>3.9</v>
      </c>
      <c r="E1158" s="5">
        <v>66697</v>
      </c>
      <c r="F1158" s="1" t="s">
        <v>15</v>
      </c>
      <c r="G1158" s="10">
        <v>97593.83</v>
      </c>
      <c r="H1158" s="1" t="s">
        <v>31</v>
      </c>
      <c r="I1158" t="s">
        <v>53</v>
      </c>
      <c r="J1158" t="s">
        <v>22</v>
      </c>
    </row>
    <row r="1159" spans="1:10" x14ac:dyDescent="0.35">
      <c r="A1159">
        <v>1158</v>
      </c>
      <c r="B1159" s="1" t="s">
        <v>25</v>
      </c>
      <c r="C1159">
        <v>2020</v>
      </c>
      <c r="D1159" s="4">
        <v>4.7</v>
      </c>
      <c r="E1159" s="5">
        <v>36534</v>
      </c>
      <c r="F1159" s="1" t="s">
        <v>16</v>
      </c>
      <c r="G1159" s="10">
        <v>27143.94</v>
      </c>
      <c r="H1159" s="1" t="s">
        <v>26</v>
      </c>
      <c r="I1159" t="s">
        <v>53</v>
      </c>
      <c r="J1159" t="s">
        <v>22</v>
      </c>
    </row>
    <row r="1160" spans="1:10" x14ac:dyDescent="0.35">
      <c r="A1160">
        <v>1159</v>
      </c>
      <c r="B1160" s="1" t="s">
        <v>35</v>
      </c>
      <c r="C1160">
        <v>2013</v>
      </c>
      <c r="D1160" s="4">
        <v>2.8</v>
      </c>
      <c r="E1160" s="5">
        <v>93034</v>
      </c>
      <c r="F1160" s="1" t="s">
        <v>11</v>
      </c>
      <c r="G1160" s="10">
        <v>78449.119999999995</v>
      </c>
      <c r="H1160" s="1" t="s">
        <v>36</v>
      </c>
      <c r="I1160" t="s">
        <v>53</v>
      </c>
      <c r="J1160" t="s">
        <v>22</v>
      </c>
    </row>
    <row r="1161" spans="1:10" x14ac:dyDescent="0.35">
      <c r="A1161">
        <v>1160</v>
      </c>
      <c r="B1161" s="1" t="s">
        <v>35</v>
      </c>
      <c r="C1161">
        <v>2019</v>
      </c>
      <c r="D1161" s="4">
        <v>4.2</v>
      </c>
      <c r="E1161" s="5">
        <v>58097</v>
      </c>
      <c r="F1161" s="1" t="s">
        <v>16</v>
      </c>
      <c r="G1161" s="10">
        <v>13322.64</v>
      </c>
      <c r="H1161" s="1" t="s">
        <v>47</v>
      </c>
      <c r="I1161" t="s">
        <v>53</v>
      </c>
      <c r="J1161" t="s">
        <v>14</v>
      </c>
    </row>
    <row r="1162" spans="1:10" x14ac:dyDescent="0.35">
      <c r="A1162">
        <v>1161</v>
      </c>
      <c r="B1162" s="1" t="s">
        <v>25</v>
      </c>
      <c r="C1162">
        <v>2013</v>
      </c>
      <c r="D1162" s="4">
        <v>3.3</v>
      </c>
      <c r="E1162" s="5">
        <v>184885</v>
      </c>
      <c r="F1162" s="1" t="s">
        <v>16</v>
      </c>
      <c r="G1162" s="10">
        <v>41249.71</v>
      </c>
      <c r="H1162" s="1" t="s">
        <v>26</v>
      </c>
      <c r="I1162" t="s">
        <v>13</v>
      </c>
      <c r="J1162" t="s">
        <v>14</v>
      </c>
    </row>
    <row r="1163" spans="1:10" x14ac:dyDescent="0.35">
      <c r="A1163">
        <v>1162</v>
      </c>
      <c r="B1163" s="1" t="s">
        <v>29</v>
      </c>
      <c r="C1163">
        <v>2003</v>
      </c>
      <c r="D1163" s="4">
        <v>1.9</v>
      </c>
      <c r="E1163" s="5">
        <v>287181</v>
      </c>
      <c r="F1163" s="1" t="s">
        <v>11</v>
      </c>
      <c r="G1163" s="10">
        <v>53135.37</v>
      </c>
      <c r="H1163" s="1" t="s">
        <v>38</v>
      </c>
      <c r="I1163" t="s">
        <v>51</v>
      </c>
      <c r="J1163" t="s">
        <v>22</v>
      </c>
    </row>
    <row r="1164" spans="1:10" x14ac:dyDescent="0.35">
      <c r="A1164">
        <v>1163</v>
      </c>
      <c r="B1164" s="1" t="s">
        <v>25</v>
      </c>
      <c r="C1164">
        <v>2011</v>
      </c>
      <c r="D1164" s="4">
        <v>4.5</v>
      </c>
      <c r="E1164" s="5">
        <v>27278</v>
      </c>
      <c r="F1164" s="1" t="s">
        <v>15</v>
      </c>
      <c r="G1164" s="10">
        <v>30530.959999999999</v>
      </c>
      <c r="H1164" s="1" t="s">
        <v>26</v>
      </c>
      <c r="I1164" t="s">
        <v>13</v>
      </c>
      <c r="J1164" t="s">
        <v>22</v>
      </c>
    </row>
    <row r="1165" spans="1:10" x14ac:dyDescent="0.35">
      <c r="A1165">
        <v>1164</v>
      </c>
      <c r="B1165" s="1" t="s">
        <v>29</v>
      </c>
      <c r="C1165">
        <v>2016</v>
      </c>
      <c r="D1165" s="4">
        <v>3.8</v>
      </c>
      <c r="E1165" s="5">
        <v>139344</v>
      </c>
      <c r="F1165" s="1" t="s">
        <v>15</v>
      </c>
      <c r="G1165" s="10">
        <v>55309.95</v>
      </c>
      <c r="H1165" s="1" t="s">
        <v>31</v>
      </c>
      <c r="I1165" t="s">
        <v>13</v>
      </c>
      <c r="J1165" t="s">
        <v>22</v>
      </c>
    </row>
    <row r="1166" spans="1:10" x14ac:dyDescent="0.35">
      <c r="A1166">
        <v>1165</v>
      </c>
      <c r="B1166" s="1" t="s">
        <v>29</v>
      </c>
      <c r="C1166">
        <v>2006</v>
      </c>
      <c r="D1166" s="4">
        <v>2.8</v>
      </c>
      <c r="E1166" s="5">
        <v>73277</v>
      </c>
      <c r="F1166" s="1" t="s">
        <v>16</v>
      </c>
      <c r="G1166" s="10">
        <v>88848.37</v>
      </c>
      <c r="H1166" s="1" t="s">
        <v>31</v>
      </c>
      <c r="I1166" t="s">
        <v>13</v>
      </c>
      <c r="J1166" t="s">
        <v>14</v>
      </c>
    </row>
    <row r="1167" spans="1:10" x14ac:dyDescent="0.35">
      <c r="A1167">
        <v>1166</v>
      </c>
      <c r="B1167" s="1" t="s">
        <v>10</v>
      </c>
      <c r="C1167">
        <v>2008</v>
      </c>
      <c r="D1167" s="4">
        <v>5.6</v>
      </c>
      <c r="E1167" s="5">
        <v>4694</v>
      </c>
      <c r="F1167" s="1" t="s">
        <v>11</v>
      </c>
      <c r="G1167" s="10">
        <v>94721.61</v>
      </c>
      <c r="H1167" s="1" t="s">
        <v>18</v>
      </c>
      <c r="I1167" t="s">
        <v>13</v>
      </c>
      <c r="J1167" t="s">
        <v>14</v>
      </c>
    </row>
    <row r="1168" spans="1:10" x14ac:dyDescent="0.35">
      <c r="A1168">
        <v>1167</v>
      </c>
      <c r="B1168" s="1" t="s">
        <v>27</v>
      </c>
      <c r="C1168">
        <v>2002</v>
      </c>
      <c r="D1168" s="4">
        <v>1.1000000000000001</v>
      </c>
      <c r="E1168" s="5">
        <v>58150</v>
      </c>
      <c r="F1168" s="1" t="s">
        <v>15</v>
      </c>
      <c r="G1168" s="10">
        <v>14552.91</v>
      </c>
      <c r="H1168" s="1" t="s">
        <v>37</v>
      </c>
      <c r="I1168" t="s">
        <v>52</v>
      </c>
      <c r="J1168" t="s">
        <v>22</v>
      </c>
    </row>
    <row r="1169" spans="1:10" x14ac:dyDescent="0.35">
      <c r="A1169">
        <v>1168</v>
      </c>
      <c r="B1169" s="1" t="s">
        <v>29</v>
      </c>
      <c r="C1169">
        <v>2012</v>
      </c>
      <c r="D1169" s="4">
        <v>2.6</v>
      </c>
      <c r="E1169" s="5">
        <v>67470</v>
      </c>
      <c r="F1169" s="1" t="s">
        <v>16</v>
      </c>
      <c r="G1169" s="10">
        <v>30825.360000000001</v>
      </c>
      <c r="H1169" s="1" t="s">
        <v>43</v>
      </c>
      <c r="I1169" t="s">
        <v>13</v>
      </c>
      <c r="J1169" t="s">
        <v>14</v>
      </c>
    </row>
    <row r="1170" spans="1:10" x14ac:dyDescent="0.35">
      <c r="A1170">
        <v>1169</v>
      </c>
      <c r="B1170" s="1" t="s">
        <v>23</v>
      </c>
      <c r="C1170">
        <v>2014</v>
      </c>
      <c r="D1170" s="4">
        <v>1.3</v>
      </c>
      <c r="E1170" s="5">
        <v>21556</v>
      </c>
      <c r="F1170" s="1" t="s">
        <v>11</v>
      </c>
      <c r="G1170" s="10">
        <v>98017.72</v>
      </c>
      <c r="H1170" s="1" t="s">
        <v>24</v>
      </c>
      <c r="I1170" t="s">
        <v>51</v>
      </c>
      <c r="J1170" t="s">
        <v>22</v>
      </c>
    </row>
    <row r="1171" spans="1:10" x14ac:dyDescent="0.35">
      <c r="A1171">
        <v>1170</v>
      </c>
      <c r="B1171" s="1" t="s">
        <v>29</v>
      </c>
      <c r="C1171">
        <v>2017</v>
      </c>
      <c r="D1171" s="4">
        <v>4.8</v>
      </c>
      <c r="E1171" s="5">
        <v>195543</v>
      </c>
      <c r="F1171" s="1" t="s">
        <v>16</v>
      </c>
      <c r="G1171" s="10">
        <v>30689.75</v>
      </c>
      <c r="H1171" s="1" t="s">
        <v>38</v>
      </c>
      <c r="I1171" t="s">
        <v>13</v>
      </c>
      <c r="J1171" t="s">
        <v>14</v>
      </c>
    </row>
    <row r="1172" spans="1:10" x14ac:dyDescent="0.35">
      <c r="A1172">
        <v>1171</v>
      </c>
      <c r="B1172" s="1" t="s">
        <v>29</v>
      </c>
      <c r="C1172">
        <v>2018</v>
      </c>
      <c r="D1172" s="4">
        <v>4.5</v>
      </c>
      <c r="E1172" s="5">
        <v>49086</v>
      </c>
      <c r="F1172" s="1" t="s">
        <v>11</v>
      </c>
      <c r="G1172" s="10">
        <v>70807.199999999997</v>
      </c>
      <c r="H1172" s="1" t="s">
        <v>31</v>
      </c>
      <c r="I1172" t="s">
        <v>53</v>
      </c>
      <c r="J1172" t="s">
        <v>14</v>
      </c>
    </row>
    <row r="1173" spans="1:10" x14ac:dyDescent="0.35">
      <c r="A1173">
        <v>1172</v>
      </c>
      <c r="B1173" s="1" t="s">
        <v>29</v>
      </c>
      <c r="C1173">
        <v>2000</v>
      </c>
      <c r="D1173" s="4">
        <v>2.7</v>
      </c>
      <c r="E1173" s="5">
        <v>149979</v>
      </c>
      <c r="F1173" s="1" t="s">
        <v>15</v>
      </c>
      <c r="G1173" s="10">
        <v>29078.1</v>
      </c>
      <c r="H1173" s="1" t="s">
        <v>30</v>
      </c>
      <c r="I1173" t="s">
        <v>52</v>
      </c>
      <c r="J1173" t="s">
        <v>14</v>
      </c>
    </row>
    <row r="1174" spans="1:10" x14ac:dyDescent="0.35">
      <c r="A1174">
        <v>1173</v>
      </c>
      <c r="B1174" s="1" t="s">
        <v>10</v>
      </c>
      <c r="C1174">
        <v>2005</v>
      </c>
      <c r="D1174" s="4">
        <v>4.4000000000000004</v>
      </c>
      <c r="E1174" s="5">
        <v>248399</v>
      </c>
      <c r="F1174" s="1" t="s">
        <v>15</v>
      </c>
      <c r="G1174" s="10">
        <v>38854.730000000003</v>
      </c>
      <c r="H1174" s="1" t="s">
        <v>18</v>
      </c>
      <c r="I1174" t="s">
        <v>13</v>
      </c>
      <c r="J1174" t="s">
        <v>14</v>
      </c>
    </row>
    <row r="1175" spans="1:10" x14ac:dyDescent="0.35">
      <c r="A1175">
        <v>1174</v>
      </c>
      <c r="B1175" s="1" t="s">
        <v>10</v>
      </c>
      <c r="C1175">
        <v>2022</v>
      </c>
      <c r="D1175" s="4">
        <v>3</v>
      </c>
      <c r="E1175" s="5">
        <v>179559</v>
      </c>
      <c r="F1175" s="1" t="s">
        <v>16</v>
      </c>
      <c r="G1175" s="10">
        <v>23171.5</v>
      </c>
      <c r="H1175" s="1" t="s">
        <v>19</v>
      </c>
      <c r="I1175" t="s">
        <v>13</v>
      </c>
      <c r="J1175" t="s">
        <v>14</v>
      </c>
    </row>
    <row r="1176" spans="1:10" x14ac:dyDescent="0.35">
      <c r="A1176">
        <v>1175</v>
      </c>
      <c r="B1176" s="1" t="s">
        <v>35</v>
      </c>
      <c r="C1176">
        <v>2001</v>
      </c>
      <c r="D1176" s="4">
        <v>4.8</v>
      </c>
      <c r="E1176" s="5">
        <v>99468</v>
      </c>
      <c r="F1176" s="1" t="s">
        <v>15</v>
      </c>
      <c r="G1176" s="10">
        <v>86348.52</v>
      </c>
      <c r="H1176" s="1" t="s">
        <v>47</v>
      </c>
      <c r="I1176" t="s">
        <v>13</v>
      </c>
      <c r="J1176" t="s">
        <v>14</v>
      </c>
    </row>
    <row r="1177" spans="1:10" x14ac:dyDescent="0.35">
      <c r="A1177">
        <v>1176</v>
      </c>
      <c r="B1177" s="1" t="s">
        <v>10</v>
      </c>
      <c r="C1177">
        <v>2023</v>
      </c>
      <c r="D1177" s="4">
        <v>3.3</v>
      </c>
      <c r="E1177" s="5">
        <v>295531</v>
      </c>
      <c r="F1177" s="1" t="s">
        <v>15</v>
      </c>
      <c r="G1177" s="10">
        <v>88851.63</v>
      </c>
      <c r="H1177" s="1" t="s">
        <v>12</v>
      </c>
      <c r="I1177" t="s">
        <v>13</v>
      </c>
      <c r="J1177" t="s">
        <v>14</v>
      </c>
    </row>
    <row r="1178" spans="1:10" x14ac:dyDescent="0.35">
      <c r="A1178">
        <v>1177</v>
      </c>
      <c r="B1178" s="1" t="s">
        <v>23</v>
      </c>
      <c r="C1178">
        <v>2013</v>
      </c>
      <c r="D1178" s="4">
        <v>3.1</v>
      </c>
      <c r="E1178" s="5">
        <v>68602</v>
      </c>
      <c r="F1178" s="1" t="s">
        <v>11</v>
      </c>
      <c r="G1178" s="10">
        <v>33206.69</v>
      </c>
      <c r="H1178" s="1" t="s">
        <v>34</v>
      </c>
      <c r="I1178" t="s">
        <v>51</v>
      </c>
      <c r="J1178" t="s">
        <v>14</v>
      </c>
    </row>
    <row r="1179" spans="1:10" x14ac:dyDescent="0.35">
      <c r="A1179">
        <v>1178</v>
      </c>
      <c r="B1179" s="1" t="s">
        <v>23</v>
      </c>
      <c r="C1179">
        <v>2005</v>
      </c>
      <c r="D1179" s="4">
        <v>5.7</v>
      </c>
      <c r="E1179" s="5">
        <v>2460</v>
      </c>
      <c r="F1179" s="1" t="s">
        <v>15</v>
      </c>
      <c r="G1179" s="10">
        <v>83241.03</v>
      </c>
      <c r="H1179" s="1" t="s">
        <v>32</v>
      </c>
      <c r="I1179" t="s">
        <v>53</v>
      </c>
      <c r="J1179" t="s">
        <v>22</v>
      </c>
    </row>
    <row r="1180" spans="1:10" x14ac:dyDescent="0.35">
      <c r="A1180">
        <v>1179</v>
      </c>
      <c r="B1180" s="1" t="s">
        <v>10</v>
      </c>
      <c r="C1180">
        <v>2013</v>
      </c>
      <c r="D1180" s="4">
        <v>2.2999999999999998</v>
      </c>
      <c r="E1180" s="5">
        <v>72356</v>
      </c>
      <c r="F1180" s="1" t="s">
        <v>11</v>
      </c>
      <c r="G1180" s="10">
        <v>39032.959999999999</v>
      </c>
      <c r="H1180" s="1" t="s">
        <v>19</v>
      </c>
      <c r="I1180" t="s">
        <v>13</v>
      </c>
      <c r="J1180" t="s">
        <v>14</v>
      </c>
    </row>
    <row r="1181" spans="1:10" x14ac:dyDescent="0.35">
      <c r="A1181">
        <v>1180</v>
      </c>
      <c r="B1181" s="1" t="s">
        <v>25</v>
      </c>
      <c r="C1181">
        <v>2003</v>
      </c>
      <c r="D1181" s="4">
        <v>1.6</v>
      </c>
      <c r="E1181" s="5">
        <v>259925</v>
      </c>
      <c r="F1181" s="1" t="s">
        <v>11</v>
      </c>
      <c r="G1181" s="10">
        <v>14406.85</v>
      </c>
      <c r="H1181" s="1" t="s">
        <v>26</v>
      </c>
      <c r="I1181" t="s">
        <v>13</v>
      </c>
      <c r="J1181" t="s">
        <v>14</v>
      </c>
    </row>
    <row r="1182" spans="1:10" x14ac:dyDescent="0.35">
      <c r="A1182">
        <v>1181</v>
      </c>
      <c r="B1182" s="1" t="s">
        <v>27</v>
      </c>
      <c r="C1182">
        <v>2020</v>
      </c>
      <c r="D1182" s="4">
        <v>3.9</v>
      </c>
      <c r="E1182" s="5">
        <v>16191</v>
      </c>
      <c r="F1182" s="1" t="s">
        <v>16</v>
      </c>
      <c r="G1182" s="10">
        <v>77017.259999999995</v>
      </c>
      <c r="H1182" s="1" t="s">
        <v>40</v>
      </c>
      <c r="I1182" t="s">
        <v>13</v>
      </c>
      <c r="J1182" t="s">
        <v>22</v>
      </c>
    </row>
    <row r="1183" spans="1:10" x14ac:dyDescent="0.35">
      <c r="A1183">
        <v>1182</v>
      </c>
      <c r="B1183" s="1" t="s">
        <v>10</v>
      </c>
      <c r="C1183">
        <v>2007</v>
      </c>
      <c r="D1183" s="4">
        <v>5.8</v>
      </c>
      <c r="E1183" s="5">
        <v>84631</v>
      </c>
      <c r="F1183" s="1" t="s">
        <v>11</v>
      </c>
      <c r="G1183" s="10">
        <v>61662.39</v>
      </c>
      <c r="H1183" s="1" t="s">
        <v>19</v>
      </c>
      <c r="I1183" t="s">
        <v>13</v>
      </c>
      <c r="J1183" t="s">
        <v>14</v>
      </c>
    </row>
    <row r="1184" spans="1:10" x14ac:dyDescent="0.35">
      <c r="A1184">
        <v>1183</v>
      </c>
      <c r="B1184" s="1" t="s">
        <v>29</v>
      </c>
      <c r="C1184">
        <v>2002</v>
      </c>
      <c r="D1184" s="4">
        <v>2.9</v>
      </c>
      <c r="E1184" s="5">
        <v>245702</v>
      </c>
      <c r="F1184" s="1" t="s">
        <v>15</v>
      </c>
      <c r="G1184" s="10">
        <v>31066.33</v>
      </c>
      <c r="H1184" s="1" t="s">
        <v>30</v>
      </c>
      <c r="I1184" t="s">
        <v>53</v>
      </c>
      <c r="J1184" t="s">
        <v>22</v>
      </c>
    </row>
    <row r="1185" spans="1:10" x14ac:dyDescent="0.35">
      <c r="A1185">
        <v>1184</v>
      </c>
      <c r="B1185" s="1" t="s">
        <v>20</v>
      </c>
      <c r="C1185">
        <v>2018</v>
      </c>
      <c r="D1185" s="4">
        <v>1.3</v>
      </c>
      <c r="E1185" s="5">
        <v>272673</v>
      </c>
      <c r="F1185" s="1" t="s">
        <v>11</v>
      </c>
      <c r="G1185" s="10">
        <v>29034.98</v>
      </c>
      <c r="H1185" s="1" t="s">
        <v>46</v>
      </c>
      <c r="I1185" t="s">
        <v>51</v>
      </c>
      <c r="J1185" t="s">
        <v>22</v>
      </c>
    </row>
    <row r="1186" spans="1:10" x14ac:dyDescent="0.35">
      <c r="A1186">
        <v>1185</v>
      </c>
      <c r="B1186" s="1" t="s">
        <v>27</v>
      </c>
      <c r="C1186">
        <v>2013</v>
      </c>
      <c r="D1186" s="4">
        <v>2.7</v>
      </c>
      <c r="E1186" s="5">
        <v>32175</v>
      </c>
      <c r="F1186" s="1" t="s">
        <v>11</v>
      </c>
      <c r="G1186" s="10">
        <v>97684.22</v>
      </c>
      <c r="H1186" s="1" t="s">
        <v>37</v>
      </c>
      <c r="I1186" t="s">
        <v>52</v>
      </c>
      <c r="J1186" t="s">
        <v>14</v>
      </c>
    </row>
    <row r="1187" spans="1:10" x14ac:dyDescent="0.35">
      <c r="A1187">
        <v>1186</v>
      </c>
      <c r="B1187" s="1" t="s">
        <v>27</v>
      </c>
      <c r="C1187">
        <v>2019</v>
      </c>
      <c r="D1187" s="4">
        <v>3.5</v>
      </c>
      <c r="E1187" s="5">
        <v>279819</v>
      </c>
      <c r="F1187" s="1" t="s">
        <v>16</v>
      </c>
      <c r="G1187" s="10">
        <v>86937.600000000006</v>
      </c>
      <c r="H1187" s="1" t="s">
        <v>28</v>
      </c>
      <c r="I1187" t="s">
        <v>52</v>
      </c>
      <c r="J1187" t="s">
        <v>14</v>
      </c>
    </row>
    <row r="1188" spans="1:10" x14ac:dyDescent="0.35">
      <c r="A1188">
        <v>1187</v>
      </c>
      <c r="B1188" s="1" t="s">
        <v>23</v>
      </c>
      <c r="C1188">
        <v>2016</v>
      </c>
      <c r="D1188" s="4">
        <v>1.8</v>
      </c>
      <c r="E1188" s="5">
        <v>157048</v>
      </c>
      <c r="F1188" s="1" t="s">
        <v>15</v>
      </c>
      <c r="G1188" s="10">
        <v>81930.84</v>
      </c>
      <c r="H1188" s="1" t="s">
        <v>34</v>
      </c>
      <c r="I1188" t="s">
        <v>52</v>
      </c>
      <c r="J1188" t="s">
        <v>22</v>
      </c>
    </row>
    <row r="1189" spans="1:10" x14ac:dyDescent="0.35">
      <c r="A1189">
        <v>1188</v>
      </c>
      <c r="B1189" s="1" t="s">
        <v>27</v>
      </c>
      <c r="C1189">
        <v>2007</v>
      </c>
      <c r="D1189" s="4">
        <v>4.3</v>
      </c>
      <c r="E1189" s="5">
        <v>194188</v>
      </c>
      <c r="F1189" s="1" t="s">
        <v>15</v>
      </c>
      <c r="G1189" s="10">
        <v>17161.68</v>
      </c>
      <c r="H1189" s="1" t="s">
        <v>48</v>
      </c>
      <c r="I1189" t="s">
        <v>52</v>
      </c>
      <c r="J1189" t="s">
        <v>22</v>
      </c>
    </row>
    <row r="1190" spans="1:10" x14ac:dyDescent="0.35">
      <c r="A1190">
        <v>1189</v>
      </c>
      <c r="B1190" s="1" t="s">
        <v>10</v>
      </c>
      <c r="C1190">
        <v>2023</v>
      </c>
      <c r="D1190" s="4">
        <v>6</v>
      </c>
      <c r="E1190" s="5">
        <v>62821</v>
      </c>
      <c r="F1190" s="1" t="s">
        <v>15</v>
      </c>
      <c r="G1190" s="10">
        <v>76742.789999999994</v>
      </c>
      <c r="H1190" s="1" t="s">
        <v>17</v>
      </c>
      <c r="I1190" t="s">
        <v>13</v>
      </c>
      <c r="J1190" t="s">
        <v>14</v>
      </c>
    </row>
    <row r="1191" spans="1:10" x14ac:dyDescent="0.35">
      <c r="A1191">
        <v>1190</v>
      </c>
      <c r="B1191" s="1" t="s">
        <v>29</v>
      </c>
      <c r="C1191">
        <v>2013</v>
      </c>
      <c r="D1191" s="4">
        <v>3.3</v>
      </c>
      <c r="E1191" s="5">
        <v>12204</v>
      </c>
      <c r="F1191" s="1" t="s">
        <v>11</v>
      </c>
      <c r="G1191" s="10">
        <v>25381.32</v>
      </c>
      <c r="H1191" s="1" t="s">
        <v>31</v>
      </c>
      <c r="I1191" t="s">
        <v>13</v>
      </c>
      <c r="J1191" t="s">
        <v>22</v>
      </c>
    </row>
    <row r="1192" spans="1:10" x14ac:dyDescent="0.35">
      <c r="A1192">
        <v>1191</v>
      </c>
      <c r="B1192" s="1" t="s">
        <v>29</v>
      </c>
      <c r="C1192">
        <v>2005</v>
      </c>
      <c r="D1192" s="4">
        <v>2.8</v>
      </c>
      <c r="E1192" s="5">
        <v>269538</v>
      </c>
      <c r="F1192" s="1" t="s">
        <v>15</v>
      </c>
      <c r="G1192" s="10">
        <v>97851.95</v>
      </c>
      <c r="H1192" s="1" t="s">
        <v>43</v>
      </c>
      <c r="I1192" t="s">
        <v>51</v>
      </c>
      <c r="J1192" t="s">
        <v>22</v>
      </c>
    </row>
    <row r="1193" spans="1:10" x14ac:dyDescent="0.35">
      <c r="A1193">
        <v>1192</v>
      </c>
      <c r="B1193" s="1" t="s">
        <v>35</v>
      </c>
      <c r="C1193">
        <v>2022</v>
      </c>
      <c r="D1193" s="4">
        <v>3</v>
      </c>
      <c r="E1193" s="5">
        <v>246464</v>
      </c>
      <c r="F1193" s="1" t="s">
        <v>15</v>
      </c>
      <c r="G1193" s="10">
        <v>9948.4699999999993</v>
      </c>
      <c r="H1193" s="1" t="s">
        <v>50</v>
      </c>
      <c r="I1193" t="s">
        <v>51</v>
      </c>
      <c r="J1193" t="s">
        <v>22</v>
      </c>
    </row>
    <row r="1194" spans="1:10" x14ac:dyDescent="0.35">
      <c r="A1194">
        <v>1193</v>
      </c>
      <c r="B1194" s="1" t="s">
        <v>29</v>
      </c>
      <c r="C1194">
        <v>2021</v>
      </c>
      <c r="D1194" s="4">
        <v>1.6</v>
      </c>
      <c r="E1194" s="5">
        <v>33593</v>
      </c>
      <c r="F1194" s="1" t="s">
        <v>11</v>
      </c>
      <c r="G1194" s="10">
        <v>38453.160000000003</v>
      </c>
      <c r="H1194" s="1" t="s">
        <v>30</v>
      </c>
      <c r="I1194" t="s">
        <v>52</v>
      </c>
      <c r="J1194" t="s">
        <v>22</v>
      </c>
    </row>
    <row r="1195" spans="1:10" x14ac:dyDescent="0.35">
      <c r="A1195">
        <v>1194</v>
      </c>
      <c r="B1195" s="1" t="s">
        <v>29</v>
      </c>
      <c r="C1195">
        <v>2015</v>
      </c>
      <c r="D1195" s="4">
        <v>5.4</v>
      </c>
      <c r="E1195" s="5">
        <v>208260</v>
      </c>
      <c r="F1195" s="1" t="s">
        <v>16</v>
      </c>
      <c r="G1195" s="10">
        <v>45721.54</v>
      </c>
      <c r="H1195" s="1" t="s">
        <v>38</v>
      </c>
      <c r="I1195" t="s">
        <v>52</v>
      </c>
      <c r="J1195" t="s">
        <v>14</v>
      </c>
    </row>
    <row r="1196" spans="1:10" x14ac:dyDescent="0.35">
      <c r="A1196">
        <v>1195</v>
      </c>
      <c r="B1196" s="1" t="s">
        <v>23</v>
      </c>
      <c r="C1196">
        <v>2018</v>
      </c>
      <c r="D1196" s="4">
        <v>3.1</v>
      </c>
      <c r="E1196" s="5">
        <v>115064</v>
      </c>
      <c r="F1196" s="1" t="s">
        <v>16</v>
      </c>
      <c r="G1196" s="10">
        <v>83299.28</v>
      </c>
      <c r="H1196" s="1" t="s">
        <v>32</v>
      </c>
      <c r="I1196" t="s">
        <v>53</v>
      </c>
      <c r="J1196" t="s">
        <v>14</v>
      </c>
    </row>
    <row r="1197" spans="1:10" x14ac:dyDescent="0.35">
      <c r="A1197">
        <v>1196</v>
      </c>
      <c r="B1197" s="1" t="s">
        <v>29</v>
      </c>
      <c r="C1197">
        <v>2013</v>
      </c>
      <c r="D1197" s="4">
        <v>2.9</v>
      </c>
      <c r="E1197" s="5">
        <v>53365</v>
      </c>
      <c r="F1197" s="1" t="s">
        <v>11</v>
      </c>
      <c r="G1197" s="10">
        <v>77791.17</v>
      </c>
      <c r="H1197" s="1" t="s">
        <v>30</v>
      </c>
      <c r="I1197" t="s">
        <v>52</v>
      </c>
      <c r="J1197" t="s">
        <v>22</v>
      </c>
    </row>
    <row r="1198" spans="1:10" x14ac:dyDescent="0.35">
      <c r="A1198">
        <v>1197</v>
      </c>
      <c r="B1198" s="1" t="s">
        <v>35</v>
      </c>
      <c r="C1198">
        <v>2018</v>
      </c>
      <c r="D1198" s="4">
        <v>4.3</v>
      </c>
      <c r="E1198" s="5">
        <v>240644</v>
      </c>
      <c r="F1198" s="1" t="s">
        <v>16</v>
      </c>
      <c r="G1198" s="10">
        <v>40624.25</v>
      </c>
      <c r="H1198" s="1" t="s">
        <v>50</v>
      </c>
      <c r="I1198" t="s">
        <v>51</v>
      </c>
      <c r="J1198" t="s">
        <v>14</v>
      </c>
    </row>
    <row r="1199" spans="1:10" x14ac:dyDescent="0.35">
      <c r="A1199">
        <v>1198</v>
      </c>
      <c r="B1199" s="1" t="s">
        <v>20</v>
      </c>
      <c r="C1199">
        <v>2002</v>
      </c>
      <c r="D1199" s="4">
        <v>3.2</v>
      </c>
      <c r="E1199" s="5">
        <v>220511</v>
      </c>
      <c r="F1199" s="1" t="s">
        <v>16</v>
      </c>
      <c r="G1199" s="10">
        <v>58728.23</v>
      </c>
      <c r="H1199" s="1" t="s">
        <v>33</v>
      </c>
      <c r="I1199" t="s">
        <v>51</v>
      </c>
      <c r="J1199" t="s">
        <v>22</v>
      </c>
    </row>
    <row r="1200" spans="1:10" x14ac:dyDescent="0.35">
      <c r="A1200">
        <v>1199</v>
      </c>
      <c r="B1200" s="1" t="s">
        <v>10</v>
      </c>
      <c r="C1200">
        <v>2009</v>
      </c>
      <c r="D1200" s="4">
        <v>4.2</v>
      </c>
      <c r="E1200" s="5">
        <v>206971</v>
      </c>
      <c r="F1200" s="1" t="s">
        <v>16</v>
      </c>
      <c r="G1200" s="10">
        <v>84381.54</v>
      </c>
      <c r="H1200" s="1" t="s">
        <v>12</v>
      </c>
      <c r="I1200" t="s">
        <v>13</v>
      </c>
      <c r="J1200" t="s">
        <v>14</v>
      </c>
    </row>
    <row r="1201" spans="1:10" x14ac:dyDescent="0.35">
      <c r="A1201">
        <v>1200</v>
      </c>
      <c r="B1201" s="1" t="s">
        <v>23</v>
      </c>
      <c r="C1201">
        <v>2018</v>
      </c>
      <c r="D1201" s="4">
        <v>1.3</v>
      </c>
      <c r="E1201" s="5">
        <v>103700</v>
      </c>
      <c r="F1201" s="1" t="s">
        <v>15</v>
      </c>
      <c r="G1201" s="10">
        <v>6728.96</v>
      </c>
      <c r="H1201" s="1" t="s">
        <v>32</v>
      </c>
      <c r="I1201" t="s">
        <v>13</v>
      </c>
      <c r="J1201" t="s">
        <v>22</v>
      </c>
    </row>
    <row r="1202" spans="1:10" x14ac:dyDescent="0.35">
      <c r="A1202">
        <v>1201</v>
      </c>
      <c r="B1202" s="1" t="s">
        <v>20</v>
      </c>
      <c r="C1202">
        <v>2008</v>
      </c>
      <c r="D1202" s="4">
        <v>5.0999999999999996</v>
      </c>
      <c r="E1202" s="5">
        <v>68247</v>
      </c>
      <c r="F1202" s="1" t="s">
        <v>16</v>
      </c>
      <c r="G1202" s="10">
        <v>81206.92</v>
      </c>
      <c r="H1202" s="1" t="s">
        <v>39</v>
      </c>
      <c r="I1202" t="s">
        <v>51</v>
      </c>
      <c r="J1202" t="s">
        <v>14</v>
      </c>
    </row>
    <row r="1203" spans="1:10" x14ac:dyDescent="0.35">
      <c r="A1203">
        <v>1202</v>
      </c>
      <c r="B1203" s="1" t="s">
        <v>23</v>
      </c>
      <c r="C1203">
        <v>2019</v>
      </c>
      <c r="D1203" s="4">
        <v>5.7</v>
      </c>
      <c r="E1203" s="5">
        <v>182631</v>
      </c>
      <c r="F1203" s="1" t="s">
        <v>15</v>
      </c>
      <c r="G1203" s="10">
        <v>94955.12</v>
      </c>
      <c r="H1203" s="1" t="s">
        <v>42</v>
      </c>
      <c r="I1203" t="s">
        <v>51</v>
      </c>
      <c r="J1203" t="s">
        <v>14</v>
      </c>
    </row>
    <row r="1204" spans="1:10" x14ac:dyDescent="0.35">
      <c r="A1204">
        <v>1203</v>
      </c>
      <c r="B1204" s="1" t="s">
        <v>25</v>
      </c>
      <c r="C1204">
        <v>2012</v>
      </c>
      <c r="D1204" s="4">
        <v>4.2</v>
      </c>
      <c r="E1204" s="5">
        <v>156270</v>
      </c>
      <c r="F1204" s="1" t="s">
        <v>16</v>
      </c>
      <c r="G1204" s="10">
        <v>8046.13</v>
      </c>
      <c r="H1204" s="1" t="s">
        <v>49</v>
      </c>
      <c r="I1204" t="s">
        <v>53</v>
      </c>
      <c r="J1204" t="s">
        <v>14</v>
      </c>
    </row>
    <row r="1205" spans="1:10" x14ac:dyDescent="0.35">
      <c r="A1205">
        <v>1204</v>
      </c>
      <c r="B1205" s="1" t="s">
        <v>27</v>
      </c>
      <c r="C1205">
        <v>2006</v>
      </c>
      <c r="D1205" s="4">
        <v>5.8</v>
      </c>
      <c r="E1205" s="5">
        <v>153560</v>
      </c>
      <c r="F1205" s="1" t="s">
        <v>15</v>
      </c>
      <c r="G1205" s="10">
        <v>9330.19</v>
      </c>
      <c r="H1205" s="1" t="s">
        <v>48</v>
      </c>
      <c r="I1205" t="s">
        <v>53</v>
      </c>
      <c r="J1205" t="s">
        <v>14</v>
      </c>
    </row>
    <row r="1206" spans="1:10" x14ac:dyDescent="0.35">
      <c r="A1206">
        <v>1205</v>
      </c>
      <c r="B1206" s="1" t="s">
        <v>25</v>
      </c>
      <c r="C1206">
        <v>2013</v>
      </c>
      <c r="D1206" s="4">
        <v>1.8</v>
      </c>
      <c r="E1206" s="5">
        <v>169587</v>
      </c>
      <c r="F1206" s="1" t="s">
        <v>11</v>
      </c>
      <c r="G1206" s="10">
        <v>37728.83</v>
      </c>
      <c r="H1206" s="1" t="s">
        <v>49</v>
      </c>
      <c r="I1206" t="s">
        <v>51</v>
      </c>
      <c r="J1206" t="s">
        <v>14</v>
      </c>
    </row>
    <row r="1207" spans="1:10" x14ac:dyDescent="0.35">
      <c r="A1207">
        <v>1206</v>
      </c>
      <c r="B1207" s="1" t="s">
        <v>29</v>
      </c>
      <c r="C1207">
        <v>2008</v>
      </c>
      <c r="D1207" s="4">
        <v>3.4</v>
      </c>
      <c r="E1207" s="5">
        <v>290042</v>
      </c>
      <c r="F1207" s="1" t="s">
        <v>11</v>
      </c>
      <c r="G1207" s="10">
        <v>13338.11</v>
      </c>
      <c r="H1207" s="1" t="s">
        <v>31</v>
      </c>
      <c r="I1207" t="s">
        <v>52</v>
      </c>
      <c r="J1207" t="s">
        <v>22</v>
      </c>
    </row>
    <row r="1208" spans="1:10" x14ac:dyDescent="0.35">
      <c r="A1208">
        <v>1207</v>
      </c>
      <c r="B1208" s="1" t="s">
        <v>20</v>
      </c>
      <c r="C1208">
        <v>2022</v>
      </c>
      <c r="D1208" s="4">
        <v>4</v>
      </c>
      <c r="E1208" s="5">
        <v>181142</v>
      </c>
      <c r="F1208" s="1" t="s">
        <v>16</v>
      </c>
      <c r="G1208" s="10">
        <v>50531.23</v>
      </c>
      <c r="H1208" s="1" t="s">
        <v>33</v>
      </c>
      <c r="I1208" t="s">
        <v>13</v>
      </c>
      <c r="J1208" t="s">
        <v>22</v>
      </c>
    </row>
    <row r="1209" spans="1:10" x14ac:dyDescent="0.35">
      <c r="A1209">
        <v>1208</v>
      </c>
      <c r="B1209" s="1" t="s">
        <v>29</v>
      </c>
      <c r="C1209">
        <v>2018</v>
      </c>
      <c r="D1209" s="4">
        <v>3.9</v>
      </c>
      <c r="E1209" s="5">
        <v>62613</v>
      </c>
      <c r="F1209" s="1" t="s">
        <v>15</v>
      </c>
      <c r="G1209" s="10">
        <v>74227.520000000004</v>
      </c>
      <c r="H1209" s="1" t="s">
        <v>38</v>
      </c>
      <c r="I1209" t="s">
        <v>51</v>
      </c>
      <c r="J1209" t="s">
        <v>14</v>
      </c>
    </row>
    <row r="1210" spans="1:10" x14ac:dyDescent="0.35">
      <c r="A1210">
        <v>1209</v>
      </c>
      <c r="B1210" s="1" t="s">
        <v>27</v>
      </c>
      <c r="C1210">
        <v>2014</v>
      </c>
      <c r="D1210" s="4">
        <v>3</v>
      </c>
      <c r="E1210" s="5">
        <v>96707</v>
      </c>
      <c r="F1210" s="1" t="s">
        <v>11</v>
      </c>
      <c r="G1210" s="10">
        <v>58855.43</v>
      </c>
      <c r="H1210" s="1" t="s">
        <v>28</v>
      </c>
      <c r="I1210" t="s">
        <v>52</v>
      </c>
      <c r="J1210" t="s">
        <v>14</v>
      </c>
    </row>
    <row r="1211" spans="1:10" x14ac:dyDescent="0.35">
      <c r="A1211">
        <v>1210</v>
      </c>
      <c r="B1211" s="1" t="s">
        <v>23</v>
      </c>
      <c r="C1211">
        <v>2019</v>
      </c>
      <c r="D1211" s="4">
        <v>2.7</v>
      </c>
      <c r="E1211" s="5">
        <v>47003</v>
      </c>
      <c r="F1211" s="1" t="s">
        <v>11</v>
      </c>
      <c r="G1211" s="10">
        <v>23661.03</v>
      </c>
      <c r="H1211" s="1" t="s">
        <v>32</v>
      </c>
      <c r="I1211" t="s">
        <v>51</v>
      </c>
      <c r="J1211" t="s">
        <v>14</v>
      </c>
    </row>
    <row r="1212" spans="1:10" x14ac:dyDescent="0.35">
      <c r="A1212">
        <v>1211</v>
      </c>
      <c r="B1212" s="1" t="s">
        <v>27</v>
      </c>
      <c r="C1212">
        <v>2013</v>
      </c>
      <c r="D1212" s="4">
        <v>1.6</v>
      </c>
      <c r="E1212" s="5">
        <v>48478</v>
      </c>
      <c r="F1212" s="1" t="s">
        <v>11</v>
      </c>
      <c r="G1212" s="10">
        <v>67207.070000000007</v>
      </c>
      <c r="H1212" s="1" t="s">
        <v>40</v>
      </c>
      <c r="I1212" t="s">
        <v>13</v>
      </c>
      <c r="J1212" t="s">
        <v>22</v>
      </c>
    </row>
    <row r="1213" spans="1:10" x14ac:dyDescent="0.35">
      <c r="A1213">
        <v>1212</v>
      </c>
      <c r="B1213" s="1" t="s">
        <v>35</v>
      </c>
      <c r="C1213">
        <v>2023</v>
      </c>
      <c r="D1213" s="4">
        <v>3</v>
      </c>
      <c r="E1213" s="5">
        <v>59030</v>
      </c>
      <c r="F1213" s="1" t="s">
        <v>11</v>
      </c>
      <c r="G1213" s="10">
        <v>70061.179999999993</v>
      </c>
      <c r="H1213" s="1" t="s">
        <v>50</v>
      </c>
      <c r="I1213" t="s">
        <v>13</v>
      </c>
      <c r="J1213" t="s">
        <v>14</v>
      </c>
    </row>
    <row r="1214" spans="1:10" x14ac:dyDescent="0.35">
      <c r="A1214">
        <v>1213</v>
      </c>
      <c r="B1214" s="1" t="s">
        <v>27</v>
      </c>
      <c r="C1214">
        <v>2005</v>
      </c>
      <c r="D1214" s="4">
        <v>1.8</v>
      </c>
      <c r="E1214" s="5">
        <v>184133</v>
      </c>
      <c r="F1214" s="1" t="s">
        <v>16</v>
      </c>
      <c r="G1214" s="10">
        <v>93582.37</v>
      </c>
      <c r="H1214" s="1" t="s">
        <v>37</v>
      </c>
      <c r="I1214" t="s">
        <v>53</v>
      </c>
      <c r="J1214" t="s">
        <v>22</v>
      </c>
    </row>
    <row r="1215" spans="1:10" x14ac:dyDescent="0.35">
      <c r="A1215">
        <v>1214</v>
      </c>
      <c r="B1215" s="1" t="s">
        <v>35</v>
      </c>
      <c r="C1215">
        <v>2020</v>
      </c>
      <c r="D1215" s="4">
        <v>4.7</v>
      </c>
      <c r="E1215" s="5">
        <v>145921</v>
      </c>
      <c r="F1215" s="1" t="s">
        <v>15</v>
      </c>
      <c r="G1215" s="10">
        <v>18945.71</v>
      </c>
      <c r="H1215" s="1" t="s">
        <v>50</v>
      </c>
      <c r="I1215" t="s">
        <v>53</v>
      </c>
      <c r="J1215" t="s">
        <v>22</v>
      </c>
    </row>
    <row r="1216" spans="1:10" x14ac:dyDescent="0.35">
      <c r="A1216">
        <v>1215</v>
      </c>
      <c r="B1216" s="1" t="s">
        <v>27</v>
      </c>
      <c r="C1216">
        <v>2003</v>
      </c>
      <c r="D1216" s="4">
        <v>2</v>
      </c>
      <c r="E1216" s="5">
        <v>246160</v>
      </c>
      <c r="F1216" s="1" t="s">
        <v>11</v>
      </c>
      <c r="G1216" s="10">
        <v>70771.94</v>
      </c>
      <c r="H1216" s="1" t="s">
        <v>28</v>
      </c>
      <c r="I1216" t="s">
        <v>53</v>
      </c>
      <c r="J1216" t="s">
        <v>14</v>
      </c>
    </row>
    <row r="1217" spans="1:10" x14ac:dyDescent="0.35">
      <c r="A1217">
        <v>1216</v>
      </c>
      <c r="B1217" s="1" t="s">
        <v>10</v>
      </c>
      <c r="C1217">
        <v>2007</v>
      </c>
      <c r="D1217" s="4">
        <v>1.3</v>
      </c>
      <c r="E1217" s="5">
        <v>267589</v>
      </c>
      <c r="F1217" s="1" t="s">
        <v>16</v>
      </c>
      <c r="G1217" s="10">
        <v>91585.59</v>
      </c>
      <c r="H1217" s="1" t="s">
        <v>18</v>
      </c>
      <c r="I1217" t="s">
        <v>13</v>
      </c>
      <c r="J1217" t="s">
        <v>14</v>
      </c>
    </row>
    <row r="1218" spans="1:10" x14ac:dyDescent="0.35">
      <c r="A1218">
        <v>1217</v>
      </c>
      <c r="B1218" s="1" t="s">
        <v>35</v>
      </c>
      <c r="C1218">
        <v>2016</v>
      </c>
      <c r="D1218" s="4">
        <v>3.8</v>
      </c>
      <c r="E1218" s="5">
        <v>149112</v>
      </c>
      <c r="F1218" s="1" t="s">
        <v>11</v>
      </c>
      <c r="G1218" s="10">
        <v>52648.59</v>
      </c>
      <c r="H1218" s="1" t="s">
        <v>50</v>
      </c>
      <c r="I1218" t="s">
        <v>13</v>
      </c>
      <c r="J1218" t="s">
        <v>22</v>
      </c>
    </row>
    <row r="1219" spans="1:10" x14ac:dyDescent="0.35">
      <c r="A1219">
        <v>1218</v>
      </c>
      <c r="B1219" s="1" t="s">
        <v>20</v>
      </c>
      <c r="C1219">
        <v>2008</v>
      </c>
      <c r="D1219" s="4">
        <v>4</v>
      </c>
      <c r="E1219" s="5">
        <v>262390</v>
      </c>
      <c r="F1219" s="1" t="s">
        <v>11</v>
      </c>
      <c r="G1219" s="10">
        <v>39370.97</v>
      </c>
      <c r="H1219" s="1" t="s">
        <v>33</v>
      </c>
      <c r="I1219" t="s">
        <v>52</v>
      </c>
      <c r="J1219" t="s">
        <v>14</v>
      </c>
    </row>
    <row r="1220" spans="1:10" x14ac:dyDescent="0.35">
      <c r="A1220">
        <v>1219</v>
      </c>
      <c r="B1220" s="1" t="s">
        <v>29</v>
      </c>
      <c r="C1220">
        <v>2000</v>
      </c>
      <c r="D1220" s="4">
        <v>5.4</v>
      </c>
      <c r="E1220" s="5">
        <v>31153</v>
      </c>
      <c r="F1220" s="1" t="s">
        <v>11</v>
      </c>
      <c r="G1220" s="10">
        <v>21221.200000000001</v>
      </c>
      <c r="H1220" s="1" t="s">
        <v>31</v>
      </c>
      <c r="I1220" t="s">
        <v>52</v>
      </c>
      <c r="J1220" t="s">
        <v>22</v>
      </c>
    </row>
    <row r="1221" spans="1:10" x14ac:dyDescent="0.35">
      <c r="A1221">
        <v>1220</v>
      </c>
      <c r="B1221" s="1" t="s">
        <v>29</v>
      </c>
      <c r="C1221">
        <v>2023</v>
      </c>
      <c r="D1221" s="4">
        <v>3.9</v>
      </c>
      <c r="E1221" s="5">
        <v>267356</v>
      </c>
      <c r="F1221" s="1" t="s">
        <v>11</v>
      </c>
      <c r="G1221" s="10">
        <v>87344.75</v>
      </c>
      <c r="H1221" s="1" t="s">
        <v>38</v>
      </c>
      <c r="I1221" t="s">
        <v>52</v>
      </c>
      <c r="J1221" t="s">
        <v>14</v>
      </c>
    </row>
    <row r="1222" spans="1:10" x14ac:dyDescent="0.35">
      <c r="A1222">
        <v>1221</v>
      </c>
      <c r="B1222" s="1" t="s">
        <v>25</v>
      </c>
      <c r="C1222">
        <v>2019</v>
      </c>
      <c r="D1222" s="4">
        <v>2.7</v>
      </c>
      <c r="E1222" s="5">
        <v>134411</v>
      </c>
      <c r="F1222" s="1" t="s">
        <v>16</v>
      </c>
      <c r="G1222" s="10">
        <v>42453.41</v>
      </c>
      <c r="H1222" s="1" t="s">
        <v>49</v>
      </c>
      <c r="I1222" t="s">
        <v>51</v>
      </c>
      <c r="J1222" t="s">
        <v>22</v>
      </c>
    </row>
    <row r="1223" spans="1:10" x14ac:dyDescent="0.35">
      <c r="A1223">
        <v>1222</v>
      </c>
      <c r="B1223" s="1" t="s">
        <v>29</v>
      </c>
      <c r="C1223">
        <v>2013</v>
      </c>
      <c r="D1223" s="4">
        <v>5</v>
      </c>
      <c r="E1223" s="5">
        <v>56238</v>
      </c>
      <c r="F1223" s="1" t="s">
        <v>15</v>
      </c>
      <c r="G1223" s="10">
        <v>92863.83</v>
      </c>
      <c r="H1223" s="1" t="s">
        <v>38</v>
      </c>
      <c r="I1223" t="s">
        <v>53</v>
      </c>
      <c r="J1223" t="s">
        <v>14</v>
      </c>
    </row>
    <row r="1224" spans="1:10" x14ac:dyDescent="0.35">
      <c r="A1224">
        <v>1223</v>
      </c>
      <c r="B1224" s="1" t="s">
        <v>23</v>
      </c>
      <c r="C1224">
        <v>2010</v>
      </c>
      <c r="D1224" s="4">
        <v>3.7</v>
      </c>
      <c r="E1224" s="5">
        <v>296751</v>
      </c>
      <c r="F1224" s="1" t="s">
        <v>16</v>
      </c>
      <c r="G1224" s="10">
        <v>85537.04</v>
      </c>
      <c r="H1224" s="1" t="s">
        <v>42</v>
      </c>
      <c r="I1224" t="s">
        <v>53</v>
      </c>
      <c r="J1224" t="s">
        <v>14</v>
      </c>
    </row>
    <row r="1225" spans="1:10" x14ac:dyDescent="0.35">
      <c r="A1225">
        <v>1224</v>
      </c>
      <c r="B1225" s="1" t="s">
        <v>10</v>
      </c>
      <c r="C1225">
        <v>2020</v>
      </c>
      <c r="D1225" s="4">
        <v>1.4</v>
      </c>
      <c r="E1225" s="5">
        <v>52055</v>
      </c>
      <c r="F1225" s="1" t="s">
        <v>16</v>
      </c>
      <c r="G1225" s="10">
        <v>40780.79</v>
      </c>
      <c r="H1225" s="1" t="s">
        <v>18</v>
      </c>
      <c r="I1225" t="s">
        <v>13</v>
      </c>
      <c r="J1225" t="s">
        <v>14</v>
      </c>
    </row>
    <row r="1226" spans="1:10" x14ac:dyDescent="0.35">
      <c r="A1226">
        <v>1225</v>
      </c>
      <c r="B1226" s="1" t="s">
        <v>27</v>
      </c>
      <c r="C1226">
        <v>2002</v>
      </c>
      <c r="D1226" s="4">
        <v>3.8</v>
      </c>
      <c r="E1226" s="5">
        <v>104509</v>
      </c>
      <c r="F1226" s="1" t="s">
        <v>16</v>
      </c>
      <c r="G1226" s="10">
        <v>59521.86</v>
      </c>
      <c r="H1226" s="1" t="s">
        <v>40</v>
      </c>
      <c r="I1226" t="s">
        <v>13</v>
      </c>
      <c r="J1226" t="s">
        <v>14</v>
      </c>
    </row>
    <row r="1227" spans="1:10" x14ac:dyDescent="0.35">
      <c r="A1227">
        <v>1226</v>
      </c>
      <c r="B1227" s="1" t="s">
        <v>25</v>
      </c>
      <c r="C1227">
        <v>2008</v>
      </c>
      <c r="D1227" s="4">
        <v>5.5</v>
      </c>
      <c r="E1227" s="5">
        <v>135467</v>
      </c>
      <c r="F1227" s="1" t="s">
        <v>11</v>
      </c>
      <c r="G1227" s="10">
        <v>7581.53</v>
      </c>
      <c r="H1227" s="1" t="s">
        <v>44</v>
      </c>
      <c r="I1227" t="s">
        <v>51</v>
      </c>
      <c r="J1227" t="s">
        <v>22</v>
      </c>
    </row>
    <row r="1228" spans="1:10" x14ac:dyDescent="0.35">
      <c r="A1228">
        <v>1227</v>
      </c>
      <c r="B1228" s="1" t="s">
        <v>23</v>
      </c>
      <c r="C1228">
        <v>2013</v>
      </c>
      <c r="D1228" s="4">
        <v>3</v>
      </c>
      <c r="E1228" s="5">
        <v>127378</v>
      </c>
      <c r="F1228" s="1" t="s">
        <v>15</v>
      </c>
      <c r="G1228" s="10">
        <v>30006.03</v>
      </c>
      <c r="H1228" s="1" t="s">
        <v>24</v>
      </c>
      <c r="I1228" t="s">
        <v>51</v>
      </c>
      <c r="J1228" t="s">
        <v>22</v>
      </c>
    </row>
    <row r="1229" spans="1:10" x14ac:dyDescent="0.35">
      <c r="A1229">
        <v>1228</v>
      </c>
      <c r="B1229" s="1" t="s">
        <v>23</v>
      </c>
      <c r="C1229">
        <v>2008</v>
      </c>
      <c r="D1229" s="4">
        <v>2.5</v>
      </c>
      <c r="E1229" s="5">
        <v>87687</v>
      </c>
      <c r="F1229" s="1" t="s">
        <v>11</v>
      </c>
      <c r="G1229" s="10">
        <v>72475.92</v>
      </c>
      <c r="H1229" s="1" t="s">
        <v>42</v>
      </c>
      <c r="I1229" t="s">
        <v>52</v>
      </c>
      <c r="J1229" t="s">
        <v>14</v>
      </c>
    </row>
    <row r="1230" spans="1:10" x14ac:dyDescent="0.35">
      <c r="A1230">
        <v>1229</v>
      </c>
      <c r="B1230" s="1" t="s">
        <v>35</v>
      </c>
      <c r="C1230">
        <v>2003</v>
      </c>
      <c r="D1230" s="4">
        <v>1.7</v>
      </c>
      <c r="E1230" s="5">
        <v>102652</v>
      </c>
      <c r="F1230" s="1" t="s">
        <v>16</v>
      </c>
      <c r="G1230" s="10">
        <v>69401.539999999994</v>
      </c>
      <c r="H1230" s="1" t="s">
        <v>36</v>
      </c>
      <c r="I1230" t="s">
        <v>13</v>
      </c>
      <c r="J1230" t="s">
        <v>22</v>
      </c>
    </row>
    <row r="1231" spans="1:10" x14ac:dyDescent="0.35">
      <c r="A1231">
        <v>1230</v>
      </c>
      <c r="B1231" s="1" t="s">
        <v>29</v>
      </c>
      <c r="C1231">
        <v>2003</v>
      </c>
      <c r="D1231" s="4">
        <v>1.8</v>
      </c>
      <c r="E1231" s="5">
        <v>55773</v>
      </c>
      <c r="F1231" s="1" t="s">
        <v>11</v>
      </c>
      <c r="G1231" s="10">
        <v>38570.1</v>
      </c>
      <c r="H1231" s="1" t="s">
        <v>31</v>
      </c>
      <c r="I1231" t="s">
        <v>53</v>
      </c>
      <c r="J1231" t="s">
        <v>14</v>
      </c>
    </row>
    <row r="1232" spans="1:10" x14ac:dyDescent="0.35">
      <c r="A1232">
        <v>1231</v>
      </c>
      <c r="B1232" s="1" t="s">
        <v>20</v>
      </c>
      <c r="C1232">
        <v>2007</v>
      </c>
      <c r="D1232" s="4">
        <v>3.2</v>
      </c>
      <c r="E1232" s="5">
        <v>202668</v>
      </c>
      <c r="F1232" s="1" t="s">
        <v>15</v>
      </c>
      <c r="G1232" s="10">
        <v>81817.759999999995</v>
      </c>
      <c r="H1232" s="1" t="s">
        <v>39</v>
      </c>
      <c r="I1232" t="s">
        <v>52</v>
      </c>
      <c r="J1232" t="s">
        <v>22</v>
      </c>
    </row>
    <row r="1233" spans="1:10" x14ac:dyDescent="0.35">
      <c r="A1233">
        <v>1232</v>
      </c>
      <c r="B1233" s="1" t="s">
        <v>20</v>
      </c>
      <c r="C1233">
        <v>2001</v>
      </c>
      <c r="D1233" s="4">
        <v>4</v>
      </c>
      <c r="E1233" s="5">
        <v>27584</v>
      </c>
      <c r="F1233" s="1" t="s">
        <v>15</v>
      </c>
      <c r="G1233" s="10">
        <v>27404.42</v>
      </c>
      <c r="H1233" s="1" t="s">
        <v>39</v>
      </c>
      <c r="I1233" t="s">
        <v>53</v>
      </c>
      <c r="J1233" t="s">
        <v>22</v>
      </c>
    </row>
    <row r="1234" spans="1:10" x14ac:dyDescent="0.35">
      <c r="A1234">
        <v>1233</v>
      </c>
      <c r="B1234" s="1" t="s">
        <v>25</v>
      </c>
      <c r="C1234">
        <v>2008</v>
      </c>
      <c r="D1234" s="4">
        <v>1.4</v>
      </c>
      <c r="E1234" s="5">
        <v>244901</v>
      </c>
      <c r="F1234" s="1" t="s">
        <v>11</v>
      </c>
      <c r="G1234" s="10">
        <v>48820.7</v>
      </c>
      <c r="H1234" s="1" t="s">
        <v>41</v>
      </c>
      <c r="I1234" t="s">
        <v>52</v>
      </c>
      <c r="J1234" t="s">
        <v>14</v>
      </c>
    </row>
    <row r="1235" spans="1:10" x14ac:dyDescent="0.35">
      <c r="A1235">
        <v>1234</v>
      </c>
      <c r="B1235" s="1" t="s">
        <v>10</v>
      </c>
      <c r="C1235">
        <v>2013</v>
      </c>
      <c r="D1235" s="4">
        <v>5.7</v>
      </c>
      <c r="E1235" s="5">
        <v>265482</v>
      </c>
      <c r="F1235" s="1" t="s">
        <v>16</v>
      </c>
      <c r="G1235" s="10">
        <v>49890.41</v>
      </c>
      <c r="H1235" s="1" t="s">
        <v>19</v>
      </c>
      <c r="I1235" t="s">
        <v>13</v>
      </c>
      <c r="J1235" t="s">
        <v>14</v>
      </c>
    </row>
    <row r="1236" spans="1:10" x14ac:dyDescent="0.35">
      <c r="A1236">
        <v>1235</v>
      </c>
      <c r="B1236" s="1" t="s">
        <v>20</v>
      </c>
      <c r="C1236">
        <v>2021</v>
      </c>
      <c r="D1236" s="4">
        <v>4.8</v>
      </c>
      <c r="E1236" s="5">
        <v>62601</v>
      </c>
      <c r="F1236" s="1" t="s">
        <v>11</v>
      </c>
      <c r="G1236" s="10">
        <v>37377.589999999997</v>
      </c>
      <c r="H1236" s="1" t="s">
        <v>46</v>
      </c>
      <c r="I1236" t="s">
        <v>51</v>
      </c>
      <c r="J1236" t="s">
        <v>22</v>
      </c>
    </row>
    <row r="1237" spans="1:10" x14ac:dyDescent="0.35">
      <c r="A1237">
        <v>1236</v>
      </c>
      <c r="B1237" s="1" t="s">
        <v>27</v>
      </c>
      <c r="C1237">
        <v>2008</v>
      </c>
      <c r="D1237" s="4">
        <v>3.9</v>
      </c>
      <c r="E1237" s="5">
        <v>136559</v>
      </c>
      <c r="F1237" s="1" t="s">
        <v>16</v>
      </c>
      <c r="G1237" s="10">
        <v>95693.28</v>
      </c>
      <c r="H1237" s="1" t="s">
        <v>28</v>
      </c>
      <c r="I1237" t="s">
        <v>52</v>
      </c>
      <c r="J1237" t="s">
        <v>22</v>
      </c>
    </row>
    <row r="1238" spans="1:10" x14ac:dyDescent="0.35">
      <c r="A1238">
        <v>1237</v>
      </c>
      <c r="B1238" s="1" t="s">
        <v>20</v>
      </c>
      <c r="C1238">
        <v>2023</v>
      </c>
      <c r="D1238" s="4">
        <v>5.0999999999999996</v>
      </c>
      <c r="E1238" s="5">
        <v>36282</v>
      </c>
      <c r="F1238" s="1" t="s">
        <v>15</v>
      </c>
      <c r="G1238" s="10">
        <v>71184.98</v>
      </c>
      <c r="H1238" s="1" t="s">
        <v>21</v>
      </c>
      <c r="I1238" t="s">
        <v>53</v>
      </c>
      <c r="J1238" t="s">
        <v>22</v>
      </c>
    </row>
    <row r="1239" spans="1:10" x14ac:dyDescent="0.35">
      <c r="A1239">
        <v>1238</v>
      </c>
      <c r="B1239" s="1" t="s">
        <v>25</v>
      </c>
      <c r="C1239">
        <v>2022</v>
      </c>
      <c r="D1239" s="4">
        <v>1.4</v>
      </c>
      <c r="E1239" s="5">
        <v>226137</v>
      </c>
      <c r="F1239" s="1" t="s">
        <v>11</v>
      </c>
      <c r="G1239" s="10">
        <v>56223.94</v>
      </c>
      <c r="H1239" s="1" t="s">
        <v>44</v>
      </c>
      <c r="I1239" t="s">
        <v>53</v>
      </c>
      <c r="J1239" t="s">
        <v>22</v>
      </c>
    </row>
    <row r="1240" spans="1:10" x14ac:dyDescent="0.35">
      <c r="A1240">
        <v>1239</v>
      </c>
      <c r="B1240" s="1" t="s">
        <v>20</v>
      </c>
      <c r="C1240">
        <v>2015</v>
      </c>
      <c r="D1240" s="4">
        <v>3.4</v>
      </c>
      <c r="E1240" s="5">
        <v>95798</v>
      </c>
      <c r="F1240" s="1" t="s">
        <v>15</v>
      </c>
      <c r="G1240" s="10">
        <v>53498.93</v>
      </c>
      <c r="H1240" s="1" t="s">
        <v>39</v>
      </c>
      <c r="I1240" t="s">
        <v>13</v>
      </c>
      <c r="J1240" t="s">
        <v>22</v>
      </c>
    </row>
    <row r="1241" spans="1:10" x14ac:dyDescent="0.35">
      <c r="A1241">
        <v>1240</v>
      </c>
      <c r="B1241" s="1" t="s">
        <v>27</v>
      </c>
      <c r="C1241">
        <v>2016</v>
      </c>
      <c r="D1241" s="4">
        <v>4.2</v>
      </c>
      <c r="E1241" s="5">
        <v>130963</v>
      </c>
      <c r="F1241" s="1" t="s">
        <v>16</v>
      </c>
      <c r="G1241" s="10">
        <v>20133.13</v>
      </c>
      <c r="H1241" s="1" t="s">
        <v>40</v>
      </c>
      <c r="I1241" t="s">
        <v>52</v>
      </c>
      <c r="J1241" t="s">
        <v>22</v>
      </c>
    </row>
    <row r="1242" spans="1:10" x14ac:dyDescent="0.35">
      <c r="A1242">
        <v>1241</v>
      </c>
      <c r="B1242" s="1" t="s">
        <v>35</v>
      </c>
      <c r="C1242">
        <v>2015</v>
      </c>
      <c r="D1242" s="4">
        <v>5.0999999999999996</v>
      </c>
      <c r="E1242" s="5">
        <v>159876</v>
      </c>
      <c r="F1242" s="1" t="s">
        <v>16</v>
      </c>
      <c r="G1242" s="10">
        <v>40357.760000000002</v>
      </c>
      <c r="H1242" s="1" t="s">
        <v>50</v>
      </c>
      <c r="I1242" t="s">
        <v>53</v>
      </c>
      <c r="J1242" t="s">
        <v>22</v>
      </c>
    </row>
    <row r="1243" spans="1:10" x14ac:dyDescent="0.35">
      <c r="A1243">
        <v>1242</v>
      </c>
      <c r="B1243" s="1" t="s">
        <v>10</v>
      </c>
      <c r="C1243">
        <v>2011</v>
      </c>
      <c r="D1243" s="4">
        <v>4.9000000000000004</v>
      </c>
      <c r="E1243" s="5">
        <v>140987</v>
      </c>
      <c r="F1243" s="1" t="s">
        <v>11</v>
      </c>
      <c r="G1243" s="10">
        <v>68913.460000000006</v>
      </c>
      <c r="H1243" s="1" t="s">
        <v>17</v>
      </c>
      <c r="I1243" t="s">
        <v>13</v>
      </c>
      <c r="J1243" t="s">
        <v>14</v>
      </c>
    </row>
    <row r="1244" spans="1:10" x14ac:dyDescent="0.35">
      <c r="A1244">
        <v>1243</v>
      </c>
      <c r="B1244" s="1" t="s">
        <v>25</v>
      </c>
      <c r="C1244">
        <v>2002</v>
      </c>
      <c r="D1244" s="4">
        <v>2.4</v>
      </c>
      <c r="E1244" s="5">
        <v>273302</v>
      </c>
      <c r="F1244" s="1" t="s">
        <v>11</v>
      </c>
      <c r="G1244" s="10">
        <v>92834.17</v>
      </c>
      <c r="H1244" s="1" t="s">
        <v>41</v>
      </c>
      <c r="I1244" t="s">
        <v>53</v>
      </c>
      <c r="J1244" t="s">
        <v>22</v>
      </c>
    </row>
    <row r="1245" spans="1:10" x14ac:dyDescent="0.35">
      <c r="A1245">
        <v>1244</v>
      </c>
      <c r="B1245" s="1" t="s">
        <v>35</v>
      </c>
      <c r="C1245">
        <v>2010</v>
      </c>
      <c r="D1245" s="4">
        <v>5.7</v>
      </c>
      <c r="E1245" s="5">
        <v>205229</v>
      </c>
      <c r="F1245" s="1" t="s">
        <v>11</v>
      </c>
      <c r="G1245" s="10">
        <v>82564.09</v>
      </c>
      <c r="H1245" s="1" t="s">
        <v>36</v>
      </c>
      <c r="I1245" t="s">
        <v>52</v>
      </c>
      <c r="J1245" t="s">
        <v>22</v>
      </c>
    </row>
    <row r="1246" spans="1:10" x14ac:dyDescent="0.35">
      <c r="A1246">
        <v>1245</v>
      </c>
      <c r="B1246" s="1" t="s">
        <v>35</v>
      </c>
      <c r="C1246">
        <v>2013</v>
      </c>
      <c r="D1246" s="4">
        <v>1.6</v>
      </c>
      <c r="E1246" s="5">
        <v>10547</v>
      </c>
      <c r="F1246" s="1" t="s">
        <v>15</v>
      </c>
      <c r="G1246" s="10">
        <v>33537.03</v>
      </c>
      <c r="H1246" s="1" t="s">
        <v>47</v>
      </c>
      <c r="I1246" t="s">
        <v>51</v>
      </c>
      <c r="J1246" t="s">
        <v>14</v>
      </c>
    </row>
    <row r="1247" spans="1:10" x14ac:dyDescent="0.35">
      <c r="A1247">
        <v>1246</v>
      </c>
      <c r="B1247" s="1" t="s">
        <v>35</v>
      </c>
      <c r="C1247">
        <v>2017</v>
      </c>
      <c r="D1247" s="4">
        <v>5.4</v>
      </c>
      <c r="E1247" s="5">
        <v>264603</v>
      </c>
      <c r="F1247" s="1" t="s">
        <v>16</v>
      </c>
      <c r="G1247" s="10">
        <v>46225.88</v>
      </c>
      <c r="H1247" s="1" t="s">
        <v>47</v>
      </c>
      <c r="I1247" t="s">
        <v>52</v>
      </c>
      <c r="J1247" t="s">
        <v>14</v>
      </c>
    </row>
    <row r="1248" spans="1:10" x14ac:dyDescent="0.35">
      <c r="A1248">
        <v>1247</v>
      </c>
      <c r="B1248" s="1" t="s">
        <v>23</v>
      </c>
      <c r="C1248">
        <v>2020</v>
      </c>
      <c r="D1248" s="4">
        <v>5.9</v>
      </c>
      <c r="E1248" s="5">
        <v>63146</v>
      </c>
      <c r="F1248" s="1" t="s">
        <v>16</v>
      </c>
      <c r="G1248" s="10">
        <v>12877.16</v>
      </c>
      <c r="H1248" s="1" t="s">
        <v>42</v>
      </c>
      <c r="I1248" t="s">
        <v>52</v>
      </c>
      <c r="J1248" t="s">
        <v>14</v>
      </c>
    </row>
    <row r="1249" spans="1:10" x14ac:dyDescent="0.35">
      <c r="A1249">
        <v>1248</v>
      </c>
      <c r="B1249" s="1" t="s">
        <v>10</v>
      </c>
      <c r="C1249">
        <v>2020</v>
      </c>
      <c r="D1249" s="4">
        <v>1.9</v>
      </c>
      <c r="E1249" s="5">
        <v>107761</v>
      </c>
      <c r="F1249" s="1" t="s">
        <v>15</v>
      </c>
      <c r="G1249" s="10">
        <v>14706.37</v>
      </c>
      <c r="H1249" s="1" t="s">
        <v>18</v>
      </c>
      <c r="I1249" t="s">
        <v>13</v>
      </c>
      <c r="J1249" t="s">
        <v>14</v>
      </c>
    </row>
    <row r="1250" spans="1:10" x14ac:dyDescent="0.35">
      <c r="A1250">
        <v>1249</v>
      </c>
      <c r="B1250" s="1" t="s">
        <v>29</v>
      </c>
      <c r="C1250">
        <v>2004</v>
      </c>
      <c r="D1250" s="4">
        <v>4.5999999999999996</v>
      </c>
      <c r="E1250" s="5">
        <v>82970</v>
      </c>
      <c r="F1250" s="1" t="s">
        <v>11</v>
      </c>
      <c r="G1250" s="10">
        <v>49671.89</v>
      </c>
      <c r="H1250" s="1" t="s">
        <v>38</v>
      </c>
      <c r="I1250" t="s">
        <v>53</v>
      </c>
      <c r="J1250" t="s">
        <v>14</v>
      </c>
    </row>
    <row r="1251" spans="1:10" x14ac:dyDescent="0.35">
      <c r="A1251">
        <v>1250</v>
      </c>
      <c r="B1251" s="1" t="s">
        <v>10</v>
      </c>
      <c r="C1251">
        <v>2015</v>
      </c>
      <c r="D1251" s="4">
        <v>1.2</v>
      </c>
      <c r="E1251" s="5">
        <v>191889</v>
      </c>
      <c r="F1251" s="1" t="s">
        <v>11</v>
      </c>
      <c r="G1251" s="10">
        <v>55370.84</v>
      </c>
      <c r="H1251" s="1" t="s">
        <v>12</v>
      </c>
      <c r="I1251" t="s">
        <v>13</v>
      </c>
      <c r="J1251" t="s">
        <v>14</v>
      </c>
    </row>
    <row r="1252" spans="1:10" x14ac:dyDescent="0.35">
      <c r="A1252">
        <v>1251</v>
      </c>
      <c r="B1252" s="1" t="s">
        <v>23</v>
      </c>
      <c r="C1252">
        <v>2019</v>
      </c>
      <c r="D1252" s="4">
        <v>3</v>
      </c>
      <c r="E1252" s="5">
        <v>169319</v>
      </c>
      <c r="F1252" s="1" t="s">
        <v>15</v>
      </c>
      <c r="G1252" s="10">
        <v>30082.57</v>
      </c>
      <c r="H1252" s="1" t="s">
        <v>32</v>
      </c>
      <c r="I1252" t="s">
        <v>13</v>
      </c>
      <c r="J1252" t="s">
        <v>22</v>
      </c>
    </row>
    <row r="1253" spans="1:10" x14ac:dyDescent="0.35">
      <c r="A1253">
        <v>1252</v>
      </c>
      <c r="B1253" s="1" t="s">
        <v>29</v>
      </c>
      <c r="C1253">
        <v>2004</v>
      </c>
      <c r="D1253" s="4">
        <v>3.6</v>
      </c>
      <c r="E1253" s="5">
        <v>15419</v>
      </c>
      <c r="F1253" s="1" t="s">
        <v>16</v>
      </c>
      <c r="G1253" s="10">
        <v>66064.36</v>
      </c>
      <c r="H1253" s="1" t="s">
        <v>43</v>
      </c>
      <c r="I1253" t="s">
        <v>13</v>
      </c>
      <c r="J1253" t="s">
        <v>22</v>
      </c>
    </row>
    <row r="1254" spans="1:10" x14ac:dyDescent="0.35">
      <c r="A1254">
        <v>1253</v>
      </c>
      <c r="B1254" s="1" t="s">
        <v>10</v>
      </c>
      <c r="C1254">
        <v>2002</v>
      </c>
      <c r="D1254" s="4">
        <v>3.9</v>
      </c>
      <c r="E1254" s="5">
        <v>35577</v>
      </c>
      <c r="F1254" s="1" t="s">
        <v>16</v>
      </c>
      <c r="G1254" s="10">
        <v>71821.17</v>
      </c>
      <c r="H1254" s="1" t="s">
        <v>19</v>
      </c>
      <c r="I1254" t="s">
        <v>13</v>
      </c>
      <c r="J1254" t="s">
        <v>14</v>
      </c>
    </row>
    <row r="1255" spans="1:10" x14ac:dyDescent="0.35">
      <c r="A1255">
        <v>1254</v>
      </c>
      <c r="B1255" s="1" t="s">
        <v>35</v>
      </c>
      <c r="C1255">
        <v>2011</v>
      </c>
      <c r="D1255" s="4">
        <v>5.7</v>
      </c>
      <c r="E1255" s="5">
        <v>2921</v>
      </c>
      <c r="F1255" s="1" t="s">
        <v>16</v>
      </c>
      <c r="G1255" s="10">
        <v>33416.03</v>
      </c>
      <c r="H1255" s="1" t="s">
        <v>36</v>
      </c>
      <c r="I1255" t="s">
        <v>53</v>
      </c>
      <c r="J1255" t="s">
        <v>14</v>
      </c>
    </row>
    <row r="1256" spans="1:10" x14ac:dyDescent="0.35">
      <c r="A1256">
        <v>1255</v>
      </c>
      <c r="B1256" s="1" t="s">
        <v>25</v>
      </c>
      <c r="C1256">
        <v>2000</v>
      </c>
      <c r="D1256" s="4">
        <v>4.4000000000000004</v>
      </c>
      <c r="E1256" s="5">
        <v>144535</v>
      </c>
      <c r="F1256" s="1" t="s">
        <v>16</v>
      </c>
      <c r="G1256" s="10">
        <v>77050.350000000006</v>
      </c>
      <c r="H1256" s="1" t="s">
        <v>49</v>
      </c>
      <c r="I1256" t="s">
        <v>53</v>
      </c>
      <c r="J1256" t="s">
        <v>22</v>
      </c>
    </row>
    <row r="1257" spans="1:10" x14ac:dyDescent="0.35">
      <c r="A1257">
        <v>1256</v>
      </c>
      <c r="B1257" s="1" t="s">
        <v>29</v>
      </c>
      <c r="C1257">
        <v>2020</v>
      </c>
      <c r="D1257" s="4">
        <v>3.4</v>
      </c>
      <c r="E1257" s="5">
        <v>156546</v>
      </c>
      <c r="F1257" s="1" t="s">
        <v>15</v>
      </c>
      <c r="G1257" s="10">
        <v>24532.47</v>
      </c>
      <c r="H1257" s="1" t="s">
        <v>38</v>
      </c>
      <c r="I1257" t="s">
        <v>52</v>
      </c>
      <c r="J1257" t="s">
        <v>22</v>
      </c>
    </row>
    <row r="1258" spans="1:10" x14ac:dyDescent="0.35">
      <c r="A1258">
        <v>1257</v>
      </c>
      <c r="B1258" s="1" t="s">
        <v>27</v>
      </c>
      <c r="C1258">
        <v>2008</v>
      </c>
      <c r="D1258" s="4">
        <v>5</v>
      </c>
      <c r="E1258" s="5">
        <v>125534</v>
      </c>
      <c r="F1258" s="1" t="s">
        <v>16</v>
      </c>
      <c r="G1258" s="10">
        <v>56703.88</v>
      </c>
      <c r="H1258" s="1" t="s">
        <v>40</v>
      </c>
      <c r="I1258" t="s">
        <v>51</v>
      </c>
      <c r="J1258" t="s">
        <v>22</v>
      </c>
    </row>
    <row r="1259" spans="1:10" x14ac:dyDescent="0.35">
      <c r="A1259">
        <v>1258</v>
      </c>
      <c r="B1259" s="1" t="s">
        <v>27</v>
      </c>
      <c r="C1259">
        <v>2008</v>
      </c>
      <c r="D1259" s="4">
        <v>5.8</v>
      </c>
      <c r="E1259" s="5">
        <v>256872</v>
      </c>
      <c r="F1259" s="1" t="s">
        <v>15</v>
      </c>
      <c r="G1259" s="10">
        <v>81406.7</v>
      </c>
      <c r="H1259" s="1" t="s">
        <v>28</v>
      </c>
      <c r="I1259" t="s">
        <v>53</v>
      </c>
      <c r="J1259" t="s">
        <v>22</v>
      </c>
    </row>
    <row r="1260" spans="1:10" x14ac:dyDescent="0.35">
      <c r="A1260">
        <v>1259</v>
      </c>
      <c r="B1260" s="1" t="s">
        <v>20</v>
      </c>
      <c r="C1260">
        <v>2003</v>
      </c>
      <c r="D1260" s="4">
        <v>1.1000000000000001</v>
      </c>
      <c r="E1260" s="5">
        <v>72828</v>
      </c>
      <c r="F1260" s="1" t="s">
        <v>11</v>
      </c>
      <c r="G1260" s="10">
        <v>56015.86</v>
      </c>
      <c r="H1260" s="1" t="s">
        <v>21</v>
      </c>
      <c r="I1260" t="s">
        <v>52</v>
      </c>
      <c r="J1260" t="s">
        <v>22</v>
      </c>
    </row>
    <row r="1261" spans="1:10" x14ac:dyDescent="0.35">
      <c r="A1261">
        <v>1260</v>
      </c>
      <c r="B1261" s="1" t="s">
        <v>29</v>
      </c>
      <c r="C1261">
        <v>2002</v>
      </c>
      <c r="D1261" s="4">
        <v>5.9</v>
      </c>
      <c r="E1261" s="5">
        <v>123649</v>
      </c>
      <c r="F1261" s="1" t="s">
        <v>15</v>
      </c>
      <c r="G1261" s="10">
        <v>91256.46</v>
      </c>
      <c r="H1261" s="1" t="s">
        <v>43</v>
      </c>
      <c r="I1261" t="s">
        <v>52</v>
      </c>
      <c r="J1261" t="s">
        <v>14</v>
      </c>
    </row>
    <row r="1262" spans="1:10" x14ac:dyDescent="0.35">
      <c r="A1262">
        <v>1261</v>
      </c>
      <c r="B1262" s="1" t="s">
        <v>25</v>
      </c>
      <c r="C1262">
        <v>2016</v>
      </c>
      <c r="D1262" s="4">
        <v>1.4</v>
      </c>
      <c r="E1262" s="5">
        <v>55152</v>
      </c>
      <c r="F1262" s="1" t="s">
        <v>16</v>
      </c>
      <c r="G1262" s="10">
        <v>10557.62</v>
      </c>
      <c r="H1262" s="1" t="s">
        <v>44</v>
      </c>
      <c r="I1262" t="s">
        <v>51</v>
      </c>
      <c r="J1262" t="s">
        <v>22</v>
      </c>
    </row>
    <row r="1263" spans="1:10" x14ac:dyDescent="0.35">
      <c r="A1263">
        <v>1262</v>
      </c>
      <c r="B1263" s="1" t="s">
        <v>23</v>
      </c>
      <c r="C1263">
        <v>2001</v>
      </c>
      <c r="D1263" s="4">
        <v>5.0999999999999996</v>
      </c>
      <c r="E1263" s="5">
        <v>220073</v>
      </c>
      <c r="F1263" s="1" t="s">
        <v>11</v>
      </c>
      <c r="G1263" s="10">
        <v>60889.82</v>
      </c>
      <c r="H1263" s="1" t="s">
        <v>42</v>
      </c>
      <c r="I1263" t="s">
        <v>13</v>
      </c>
      <c r="J1263" t="s">
        <v>22</v>
      </c>
    </row>
    <row r="1264" spans="1:10" x14ac:dyDescent="0.35">
      <c r="A1264">
        <v>1263</v>
      </c>
      <c r="B1264" s="1" t="s">
        <v>35</v>
      </c>
      <c r="C1264">
        <v>2023</v>
      </c>
      <c r="D1264" s="4">
        <v>2.4</v>
      </c>
      <c r="E1264" s="5">
        <v>223393</v>
      </c>
      <c r="F1264" s="1" t="s">
        <v>15</v>
      </c>
      <c r="G1264" s="10">
        <v>58366.77</v>
      </c>
      <c r="H1264" s="1" t="s">
        <v>47</v>
      </c>
      <c r="I1264" t="s">
        <v>52</v>
      </c>
      <c r="J1264" t="s">
        <v>22</v>
      </c>
    </row>
    <row r="1265" spans="1:10" x14ac:dyDescent="0.35">
      <c r="A1265">
        <v>1264</v>
      </c>
      <c r="B1265" s="1" t="s">
        <v>20</v>
      </c>
      <c r="C1265">
        <v>2000</v>
      </c>
      <c r="D1265" s="4">
        <v>1.7</v>
      </c>
      <c r="E1265" s="5">
        <v>86569</v>
      </c>
      <c r="F1265" s="1" t="s">
        <v>15</v>
      </c>
      <c r="G1265" s="10">
        <v>67733.570000000007</v>
      </c>
      <c r="H1265" s="1" t="s">
        <v>33</v>
      </c>
      <c r="I1265" t="s">
        <v>52</v>
      </c>
      <c r="J1265" t="s">
        <v>22</v>
      </c>
    </row>
    <row r="1266" spans="1:10" x14ac:dyDescent="0.35">
      <c r="A1266">
        <v>1265</v>
      </c>
      <c r="B1266" s="1" t="s">
        <v>27</v>
      </c>
      <c r="C1266">
        <v>2007</v>
      </c>
      <c r="D1266" s="4">
        <v>3.2</v>
      </c>
      <c r="E1266" s="5">
        <v>156844</v>
      </c>
      <c r="F1266" s="1" t="s">
        <v>15</v>
      </c>
      <c r="G1266" s="10">
        <v>84173.65</v>
      </c>
      <c r="H1266" s="1" t="s">
        <v>37</v>
      </c>
      <c r="I1266" t="s">
        <v>52</v>
      </c>
      <c r="J1266" t="s">
        <v>22</v>
      </c>
    </row>
    <row r="1267" spans="1:10" x14ac:dyDescent="0.35">
      <c r="A1267">
        <v>1266</v>
      </c>
      <c r="B1267" s="1" t="s">
        <v>23</v>
      </c>
      <c r="C1267">
        <v>2012</v>
      </c>
      <c r="D1267" s="4">
        <v>4.2</v>
      </c>
      <c r="E1267" s="5">
        <v>159562</v>
      </c>
      <c r="F1267" s="1" t="s">
        <v>11</v>
      </c>
      <c r="G1267" s="10">
        <v>73956.039999999994</v>
      </c>
      <c r="H1267" s="1" t="s">
        <v>34</v>
      </c>
      <c r="I1267" t="s">
        <v>13</v>
      </c>
      <c r="J1267" t="s">
        <v>14</v>
      </c>
    </row>
    <row r="1268" spans="1:10" x14ac:dyDescent="0.35">
      <c r="A1268">
        <v>1267</v>
      </c>
      <c r="B1268" s="1" t="s">
        <v>23</v>
      </c>
      <c r="C1268">
        <v>2022</v>
      </c>
      <c r="D1268" s="4">
        <v>2.9</v>
      </c>
      <c r="E1268" s="5">
        <v>122537</v>
      </c>
      <c r="F1268" s="1" t="s">
        <v>15</v>
      </c>
      <c r="G1268" s="10">
        <v>80076.86</v>
      </c>
      <c r="H1268" s="1" t="s">
        <v>32</v>
      </c>
      <c r="I1268" t="s">
        <v>13</v>
      </c>
      <c r="J1268" t="s">
        <v>22</v>
      </c>
    </row>
    <row r="1269" spans="1:10" x14ac:dyDescent="0.35">
      <c r="A1269">
        <v>1268</v>
      </c>
      <c r="B1269" s="1" t="s">
        <v>35</v>
      </c>
      <c r="C1269">
        <v>2014</v>
      </c>
      <c r="D1269" s="4">
        <v>1.3</v>
      </c>
      <c r="E1269" s="5">
        <v>53806</v>
      </c>
      <c r="F1269" s="1" t="s">
        <v>16</v>
      </c>
      <c r="G1269" s="10">
        <v>32437.59</v>
      </c>
      <c r="H1269" s="1" t="s">
        <v>36</v>
      </c>
      <c r="I1269" t="s">
        <v>51</v>
      </c>
      <c r="J1269" t="s">
        <v>14</v>
      </c>
    </row>
    <row r="1270" spans="1:10" x14ac:dyDescent="0.35">
      <c r="A1270">
        <v>1269</v>
      </c>
      <c r="B1270" s="1" t="s">
        <v>29</v>
      </c>
      <c r="C1270">
        <v>2007</v>
      </c>
      <c r="D1270" s="4">
        <v>4</v>
      </c>
      <c r="E1270" s="5">
        <v>75992</v>
      </c>
      <c r="F1270" s="1" t="s">
        <v>11</v>
      </c>
      <c r="G1270" s="10">
        <v>41812.25</v>
      </c>
      <c r="H1270" s="1" t="s">
        <v>38</v>
      </c>
      <c r="I1270" t="s">
        <v>53</v>
      </c>
      <c r="J1270" t="s">
        <v>22</v>
      </c>
    </row>
    <row r="1271" spans="1:10" x14ac:dyDescent="0.35">
      <c r="A1271">
        <v>1270</v>
      </c>
      <c r="B1271" s="1" t="s">
        <v>27</v>
      </c>
      <c r="C1271">
        <v>2011</v>
      </c>
      <c r="D1271" s="4">
        <v>5.5</v>
      </c>
      <c r="E1271" s="5">
        <v>284464</v>
      </c>
      <c r="F1271" s="1" t="s">
        <v>11</v>
      </c>
      <c r="G1271" s="10">
        <v>64543.81</v>
      </c>
      <c r="H1271" s="1" t="s">
        <v>48</v>
      </c>
      <c r="I1271" t="s">
        <v>13</v>
      </c>
      <c r="J1271" t="s">
        <v>14</v>
      </c>
    </row>
    <row r="1272" spans="1:10" x14ac:dyDescent="0.35">
      <c r="A1272">
        <v>1271</v>
      </c>
      <c r="B1272" s="1" t="s">
        <v>25</v>
      </c>
      <c r="C1272">
        <v>2021</v>
      </c>
      <c r="D1272" s="4">
        <v>2.9</v>
      </c>
      <c r="E1272" s="5">
        <v>258852</v>
      </c>
      <c r="F1272" s="1" t="s">
        <v>15</v>
      </c>
      <c r="G1272" s="10">
        <v>57578.84</v>
      </c>
      <c r="H1272" s="1" t="s">
        <v>41</v>
      </c>
      <c r="I1272" t="s">
        <v>53</v>
      </c>
      <c r="J1272" t="s">
        <v>14</v>
      </c>
    </row>
    <row r="1273" spans="1:10" x14ac:dyDescent="0.35">
      <c r="A1273">
        <v>1272</v>
      </c>
      <c r="B1273" s="1" t="s">
        <v>23</v>
      </c>
      <c r="C1273">
        <v>2011</v>
      </c>
      <c r="D1273" s="4">
        <v>2.1</v>
      </c>
      <c r="E1273" s="5">
        <v>173217</v>
      </c>
      <c r="F1273" s="1" t="s">
        <v>16</v>
      </c>
      <c r="G1273" s="10">
        <v>96304.87</v>
      </c>
      <c r="H1273" s="1" t="s">
        <v>42</v>
      </c>
      <c r="I1273" t="s">
        <v>53</v>
      </c>
      <c r="J1273" t="s">
        <v>22</v>
      </c>
    </row>
    <row r="1274" spans="1:10" x14ac:dyDescent="0.35">
      <c r="A1274">
        <v>1273</v>
      </c>
      <c r="B1274" s="1" t="s">
        <v>35</v>
      </c>
      <c r="C1274">
        <v>2013</v>
      </c>
      <c r="D1274" s="4">
        <v>3.2</v>
      </c>
      <c r="E1274" s="5">
        <v>194760</v>
      </c>
      <c r="F1274" s="1" t="s">
        <v>11</v>
      </c>
      <c r="G1274" s="10">
        <v>22749.279999999999</v>
      </c>
      <c r="H1274" s="1" t="s">
        <v>36</v>
      </c>
      <c r="I1274" t="s">
        <v>13</v>
      </c>
      <c r="J1274" t="s">
        <v>22</v>
      </c>
    </row>
    <row r="1275" spans="1:10" x14ac:dyDescent="0.35">
      <c r="A1275">
        <v>1274</v>
      </c>
      <c r="B1275" s="1" t="s">
        <v>25</v>
      </c>
      <c r="C1275">
        <v>2014</v>
      </c>
      <c r="D1275" s="4">
        <v>1.2</v>
      </c>
      <c r="E1275" s="5">
        <v>20754</v>
      </c>
      <c r="F1275" s="1" t="s">
        <v>15</v>
      </c>
      <c r="G1275" s="10">
        <v>38371.449999999997</v>
      </c>
      <c r="H1275" s="1" t="s">
        <v>41</v>
      </c>
      <c r="I1275" t="s">
        <v>52</v>
      </c>
      <c r="J1275" t="s">
        <v>22</v>
      </c>
    </row>
    <row r="1276" spans="1:10" x14ac:dyDescent="0.35">
      <c r="A1276">
        <v>1275</v>
      </c>
      <c r="B1276" s="1" t="s">
        <v>29</v>
      </c>
      <c r="C1276">
        <v>2014</v>
      </c>
      <c r="D1276" s="4">
        <v>5.0999999999999996</v>
      </c>
      <c r="E1276" s="5">
        <v>69837</v>
      </c>
      <c r="F1276" s="1" t="s">
        <v>16</v>
      </c>
      <c r="G1276" s="10">
        <v>59411.75</v>
      </c>
      <c r="H1276" s="1" t="s">
        <v>38</v>
      </c>
      <c r="I1276" t="s">
        <v>51</v>
      </c>
      <c r="J1276" t="s">
        <v>22</v>
      </c>
    </row>
    <row r="1277" spans="1:10" x14ac:dyDescent="0.35">
      <c r="A1277">
        <v>1276</v>
      </c>
      <c r="B1277" s="1" t="s">
        <v>27</v>
      </c>
      <c r="C1277">
        <v>2008</v>
      </c>
      <c r="D1277" s="4">
        <v>5.0999999999999996</v>
      </c>
      <c r="E1277" s="5">
        <v>138279</v>
      </c>
      <c r="F1277" s="1" t="s">
        <v>15</v>
      </c>
      <c r="G1277" s="10">
        <v>87456.56</v>
      </c>
      <c r="H1277" s="1" t="s">
        <v>48</v>
      </c>
      <c r="I1277" t="s">
        <v>53</v>
      </c>
      <c r="J1277" t="s">
        <v>22</v>
      </c>
    </row>
    <row r="1278" spans="1:10" x14ac:dyDescent="0.35">
      <c r="A1278">
        <v>1277</v>
      </c>
      <c r="B1278" s="1" t="s">
        <v>29</v>
      </c>
      <c r="C1278">
        <v>2018</v>
      </c>
      <c r="D1278" s="4">
        <v>3.9</v>
      </c>
      <c r="E1278" s="5">
        <v>218811</v>
      </c>
      <c r="F1278" s="1" t="s">
        <v>15</v>
      </c>
      <c r="G1278" s="10">
        <v>93288.11</v>
      </c>
      <c r="H1278" s="1" t="s">
        <v>31</v>
      </c>
      <c r="I1278" t="s">
        <v>52</v>
      </c>
      <c r="J1278" t="s">
        <v>14</v>
      </c>
    </row>
    <row r="1279" spans="1:10" x14ac:dyDescent="0.35">
      <c r="A1279">
        <v>1278</v>
      </c>
      <c r="B1279" s="1" t="s">
        <v>23</v>
      </c>
      <c r="C1279">
        <v>2019</v>
      </c>
      <c r="D1279" s="4">
        <v>2.8</v>
      </c>
      <c r="E1279" s="5">
        <v>114780</v>
      </c>
      <c r="F1279" s="1" t="s">
        <v>11</v>
      </c>
      <c r="G1279" s="10">
        <v>36923.449999999997</v>
      </c>
      <c r="H1279" s="1" t="s">
        <v>32</v>
      </c>
      <c r="I1279" t="s">
        <v>13</v>
      </c>
      <c r="J1279" t="s">
        <v>22</v>
      </c>
    </row>
    <row r="1280" spans="1:10" x14ac:dyDescent="0.35">
      <c r="A1280">
        <v>1279</v>
      </c>
      <c r="B1280" s="1" t="s">
        <v>25</v>
      </c>
      <c r="C1280">
        <v>2021</v>
      </c>
      <c r="D1280" s="4">
        <v>5</v>
      </c>
      <c r="E1280" s="5">
        <v>87081</v>
      </c>
      <c r="F1280" s="1" t="s">
        <v>11</v>
      </c>
      <c r="G1280" s="10">
        <v>11375.3</v>
      </c>
      <c r="H1280" s="1" t="s">
        <v>41</v>
      </c>
      <c r="I1280" t="s">
        <v>53</v>
      </c>
      <c r="J1280" t="s">
        <v>22</v>
      </c>
    </row>
    <row r="1281" spans="1:10" x14ac:dyDescent="0.35">
      <c r="A1281">
        <v>1280</v>
      </c>
      <c r="B1281" s="1" t="s">
        <v>25</v>
      </c>
      <c r="C1281">
        <v>2007</v>
      </c>
      <c r="D1281" s="4">
        <v>3.8</v>
      </c>
      <c r="E1281" s="5">
        <v>286160</v>
      </c>
      <c r="F1281" s="1" t="s">
        <v>15</v>
      </c>
      <c r="G1281" s="10">
        <v>45053.87</v>
      </c>
      <c r="H1281" s="1" t="s">
        <v>49</v>
      </c>
      <c r="I1281" t="s">
        <v>53</v>
      </c>
      <c r="J1281" t="s">
        <v>14</v>
      </c>
    </row>
    <row r="1282" spans="1:10" x14ac:dyDescent="0.35">
      <c r="A1282">
        <v>1281</v>
      </c>
      <c r="B1282" s="1" t="s">
        <v>25</v>
      </c>
      <c r="C1282">
        <v>2020</v>
      </c>
      <c r="D1282" s="4">
        <v>5.0999999999999996</v>
      </c>
      <c r="E1282" s="5">
        <v>112099</v>
      </c>
      <c r="F1282" s="1" t="s">
        <v>11</v>
      </c>
      <c r="G1282" s="10">
        <v>42462.69</v>
      </c>
      <c r="H1282" s="1" t="s">
        <v>44</v>
      </c>
      <c r="I1282" t="s">
        <v>53</v>
      </c>
      <c r="J1282" t="s">
        <v>22</v>
      </c>
    </row>
    <row r="1283" spans="1:10" x14ac:dyDescent="0.35">
      <c r="A1283">
        <v>1282</v>
      </c>
      <c r="B1283" s="1" t="s">
        <v>23</v>
      </c>
      <c r="C1283">
        <v>2018</v>
      </c>
      <c r="D1283" s="4">
        <v>4.2</v>
      </c>
      <c r="E1283" s="5">
        <v>151174</v>
      </c>
      <c r="F1283" s="1" t="s">
        <v>11</v>
      </c>
      <c r="G1283" s="10">
        <v>98716.27</v>
      </c>
      <c r="H1283" s="1" t="s">
        <v>24</v>
      </c>
      <c r="I1283" t="s">
        <v>52</v>
      </c>
      <c r="J1283" t="s">
        <v>14</v>
      </c>
    </row>
    <row r="1284" spans="1:10" x14ac:dyDescent="0.35">
      <c r="A1284">
        <v>1283</v>
      </c>
      <c r="B1284" s="1" t="s">
        <v>23</v>
      </c>
      <c r="C1284">
        <v>2005</v>
      </c>
      <c r="D1284" s="4">
        <v>4.9000000000000004</v>
      </c>
      <c r="E1284" s="5">
        <v>264068</v>
      </c>
      <c r="F1284" s="1" t="s">
        <v>16</v>
      </c>
      <c r="G1284" s="10">
        <v>45950.82</v>
      </c>
      <c r="H1284" s="1" t="s">
        <v>32</v>
      </c>
      <c r="I1284" t="s">
        <v>52</v>
      </c>
      <c r="J1284" t="s">
        <v>22</v>
      </c>
    </row>
    <row r="1285" spans="1:10" x14ac:dyDescent="0.35">
      <c r="A1285">
        <v>1284</v>
      </c>
      <c r="B1285" s="1" t="s">
        <v>29</v>
      </c>
      <c r="C1285">
        <v>2019</v>
      </c>
      <c r="D1285" s="4">
        <v>4</v>
      </c>
      <c r="E1285" s="5">
        <v>85015</v>
      </c>
      <c r="F1285" s="1" t="s">
        <v>16</v>
      </c>
      <c r="G1285" s="10">
        <v>34043.68</v>
      </c>
      <c r="H1285" s="1" t="s">
        <v>38</v>
      </c>
      <c r="I1285" t="s">
        <v>52</v>
      </c>
      <c r="J1285" t="s">
        <v>14</v>
      </c>
    </row>
    <row r="1286" spans="1:10" x14ac:dyDescent="0.35">
      <c r="A1286">
        <v>1285</v>
      </c>
      <c r="B1286" s="1" t="s">
        <v>20</v>
      </c>
      <c r="C1286">
        <v>2018</v>
      </c>
      <c r="D1286" s="4">
        <v>3.1</v>
      </c>
      <c r="E1286" s="5">
        <v>104987</v>
      </c>
      <c r="F1286" s="1" t="s">
        <v>15</v>
      </c>
      <c r="G1286" s="10">
        <v>39710.85</v>
      </c>
      <c r="H1286" s="1" t="s">
        <v>39</v>
      </c>
      <c r="I1286" t="s">
        <v>53</v>
      </c>
      <c r="J1286" t="s">
        <v>22</v>
      </c>
    </row>
    <row r="1287" spans="1:10" x14ac:dyDescent="0.35">
      <c r="A1287">
        <v>1286</v>
      </c>
      <c r="B1287" s="1" t="s">
        <v>29</v>
      </c>
      <c r="C1287">
        <v>2003</v>
      </c>
      <c r="D1287" s="4">
        <v>5.8</v>
      </c>
      <c r="E1287" s="5">
        <v>54333</v>
      </c>
      <c r="F1287" s="1" t="s">
        <v>15</v>
      </c>
      <c r="G1287" s="10">
        <v>42708</v>
      </c>
      <c r="H1287" s="1" t="s">
        <v>38</v>
      </c>
      <c r="I1287" t="s">
        <v>53</v>
      </c>
      <c r="J1287" t="s">
        <v>14</v>
      </c>
    </row>
    <row r="1288" spans="1:10" x14ac:dyDescent="0.35">
      <c r="A1288">
        <v>1287</v>
      </c>
      <c r="B1288" s="1" t="s">
        <v>27</v>
      </c>
      <c r="C1288">
        <v>2022</v>
      </c>
      <c r="D1288" s="4">
        <v>3.7</v>
      </c>
      <c r="E1288" s="5">
        <v>215530</v>
      </c>
      <c r="F1288" s="1" t="s">
        <v>15</v>
      </c>
      <c r="G1288" s="10">
        <v>83046.34</v>
      </c>
      <c r="H1288" s="1" t="s">
        <v>28</v>
      </c>
      <c r="I1288" t="s">
        <v>51</v>
      </c>
      <c r="J1288" t="s">
        <v>14</v>
      </c>
    </row>
    <row r="1289" spans="1:10" x14ac:dyDescent="0.35">
      <c r="A1289">
        <v>1288</v>
      </c>
      <c r="B1289" s="1" t="s">
        <v>35</v>
      </c>
      <c r="C1289">
        <v>2006</v>
      </c>
      <c r="D1289" s="4">
        <v>4</v>
      </c>
      <c r="E1289" s="5">
        <v>177171</v>
      </c>
      <c r="F1289" s="1" t="s">
        <v>15</v>
      </c>
      <c r="G1289" s="10">
        <v>12696.41</v>
      </c>
      <c r="H1289" s="1" t="s">
        <v>36</v>
      </c>
      <c r="I1289" t="s">
        <v>51</v>
      </c>
      <c r="J1289" t="s">
        <v>22</v>
      </c>
    </row>
    <row r="1290" spans="1:10" x14ac:dyDescent="0.35">
      <c r="A1290">
        <v>1289</v>
      </c>
      <c r="B1290" s="1" t="s">
        <v>25</v>
      </c>
      <c r="C1290">
        <v>2003</v>
      </c>
      <c r="D1290" s="4">
        <v>2.1</v>
      </c>
      <c r="E1290" s="5">
        <v>188418</v>
      </c>
      <c r="F1290" s="1" t="s">
        <v>16</v>
      </c>
      <c r="G1290" s="10">
        <v>35068.17</v>
      </c>
      <c r="H1290" s="1" t="s">
        <v>26</v>
      </c>
      <c r="I1290" t="s">
        <v>52</v>
      </c>
      <c r="J1290" t="s">
        <v>22</v>
      </c>
    </row>
    <row r="1291" spans="1:10" x14ac:dyDescent="0.35">
      <c r="A1291">
        <v>1290</v>
      </c>
      <c r="B1291" s="1" t="s">
        <v>20</v>
      </c>
      <c r="C1291">
        <v>2021</v>
      </c>
      <c r="D1291" s="4">
        <v>4.0999999999999996</v>
      </c>
      <c r="E1291" s="5">
        <v>126372</v>
      </c>
      <c r="F1291" s="1" t="s">
        <v>11</v>
      </c>
      <c r="G1291" s="10">
        <v>96800.26</v>
      </c>
      <c r="H1291" s="1" t="s">
        <v>21</v>
      </c>
      <c r="I1291" t="s">
        <v>52</v>
      </c>
      <c r="J1291" t="s">
        <v>22</v>
      </c>
    </row>
    <row r="1292" spans="1:10" x14ac:dyDescent="0.35">
      <c r="A1292">
        <v>1291</v>
      </c>
      <c r="B1292" s="1" t="s">
        <v>35</v>
      </c>
      <c r="C1292">
        <v>2011</v>
      </c>
      <c r="D1292" s="4">
        <v>3.9</v>
      </c>
      <c r="E1292" s="5">
        <v>206553</v>
      </c>
      <c r="F1292" s="1" t="s">
        <v>16</v>
      </c>
      <c r="G1292" s="10">
        <v>19544.740000000002</v>
      </c>
      <c r="H1292" s="1" t="s">
        <v>36</v>
      </c>
      <c r="I1292" t="s">
        <v>13</v>
      </c>
      <c r="J1292" t="s">
        <v>14</v>
      </c>
    </row>
    <row r="1293" spans="1:10" x14ac:dyDescent="0.35">
      <c r="A1293">
        <v>1292</v>
      </c>
      <c r="B1293" s="1" t="s">
        <v>20</v>
      </c>
      <c r="C1293">
        <v>2012</v>
      </c>
      <c r="D1293" s="4">
        <v>1.9</v>
      </c>
      <c r="E1293" s="5">
        <v>69767</v>
      </c>
      <c r="F1293" s="1" t="s">
        <v>15</v>
      </c>
      <c r="G1293" s="10">
        <v>75547.13</v>
      </c>
      <c r="H1293" s="1" t="s">
        <v>39</v>
      </c>
      <c r="I1293" t="s">
        <v>52</v>
      </c>
      <c r="J1293" t="s">
        <v>14</v>
      </c>
    </row>
    <row r="1294" spans="1:10" x14ac:dyDescent="0.35">
      <c r="A1294">
        <v>1293</v>
      </c>
      <c r="B1294" s="1" t="s">
        <v>10</v>
      </c>
      <c r="C1294">
        <v>2002</v>
      </c>
      <c r="D1294" s="4">
        <v>1.3</v>
      </c>
      <c r="E1294" s="5">
        <v>104332</v>
      </c>
      <c r="F1294" s="1" t="s">
        <v>15</v>
      </c>
      <c r="G1294" s="10">
        <v>38857.379999999997</v>
      </c>
      <c r="H1294" s="1" t="s">
        <v>12</v>
      </c>
      <c r="I1294" t="s">
        <v>13</v>
      </c>
      <c r="J1294" t="s">
        <v>14</v>
      </c>
    </row>
    <row r="1295" spans="1:10" x14ac:dyDescent="0.35">
      <c r="A1295">
        <v>1294</v>
      </c>
      <c r="B1295" s="1" t="s">
        <v>29</v>
      </c>
      <c r="C1295">
        <v>2021</v>
      </c>
      <c r="D1295" s="4">
        <v>4</v>
      </c>
      <c r="E1295" s="5">
        <v>143279</v>
      </c>
      <c r="F1295" s="1" t="s">
        <v>16</v>
      </c>
      <c r="G1295" s="10">
        <v>60269.62</v>
      </c>
      <c r="H1295" s="1" t="s">
        <v>43</v>
      </c>
      <c r="I1295" t="s">
        <v>51</v>
      </c>
      <c r="J1295" t="s">
        <v>22</v>
      </c>
    </row>
    <row r="1296" spans="1:10" x14ac:dyDescent="0.35">
      <c r="A1296">
        <v>1295</v>
      </c>
      <c r="B1296" s="1" t="s">
        <v>23</v>
      </c>
      <c r="C1296">
        <v>2011</v>
      </c>
      <c r="D1296" s="4">
        <v>4.8</v>
      </c>
      <c r="E1296" s="5">
        <v>6336</v>
      </c>
      <c r="F1296" s="1" t="s">
        <v>16</v>
      </c>
      <c r="G1296" s="10">
        <v>14457.06</v>
      </c>
      <c r="H1296" s="1" t="s">
        <v>24</v>
      </c>
      <c r="I1296" t="s">
        <v>51</v>
      </c>
      <c r="J1296" t="s">
        <v>22</v>
      </c>
    </row>
    <row r="1297" spans="1:10" x14ac:dyDescent="0.35">
      <c r="A1297">
        <v>1296</v>
      </c>
      <c r="B1297" s="1" t="s">
        <v>25</v>
      </c>
      <c r="C1297">
        <v>2001</v>
      </c>
      <c r="D1297" s="4">
        <v>3.6</v>
      </c>
      <c r="E1297" s="5">
        <v>206238</v>
      </c>
      <c r="F1297" s="1" t="s">
        <v>15</v>
      </c>
      <c r="G1297" s="10">
        <v>34109.11</v>
      </c>
      <c r="H1297" s="1" t="s">
        <v>41</v>
      </c>
      <c r="I1297" t="s">
        <v>53</v>
      </c>
      <c r="J1297" t="s">
        <v>14</v>
      </c>
    </row>
    <row r="1298" spans="1:10" x14ac:dyDescent="0.35">
      <c r="A1298">
        <v>1297</v>
      </c>
      <c r="B1298" s="1" t="s">
        <v>29</v>
      </c>
      <c r="C1298">
        <v>2023</v>
      </c>
      <c r="D1298" s="4">
        <v>2.1</v>
      </c>
      <c r="E1298" s="5">
        <v>279400</v>
      </c>
      <c r="F1298" s="1" t="s">
        <v>11</v>
      </c>
      <c r="G1298" s="10">
        <v>52582.17</v>
      </c>
      <c r="H1298" s="1" t="s">
        <v>43</v>
      </c>
      <c r="I1298" t="s">
        <v>53</v>
      </c>
      <c r="J1298" t="s">
        <v>22</v>
      </c>
    </row>
    <row r="1299" spans="1:10" x14ac:dyDescent="0.35">
      <c r="A1299">
        <v>1298</v>
      </c>
      <c r="B1299" s="1" t="s">
        <v>35</v>
      </c>
      <c r="C1299">
        <v>2001</v>
      </c>
      <c r="D1299" s="4">
        <v>4.3</v>
      </c>
      <c r="E1299" s="5">
        <v>230517</v>
      </c>
      <c r="F1299" s="1" t="s">
        <v>15</v>
      </c>
      <c r="G1299" s="10">
        <v>27011.56</v>
      </c>
      <c r="H1299" s="1" t="s">
        <v>36</v>
      </c>
      <c r="I1299" t="s">
        <v>52</v>
      </c>
      <c r="J1299" t="s">
        <v>14</v>
      </c>
    </row>
    <row r="1300" spans="1:10" x14ac:dyDescent="0.35">
      <c r="A1300">
        <v>1299</v>
      </c>
      <c r="B1300" s="1" t="s">
        <v>10</v>
      </c>
      <c r="C1300">
        <v>2022</v>
      </c>
      <c r="D1300" s="4">
        <v>1.4</v>
      </c>
      <c r="E1300" s="5">
        <v>180889</v>
      </c>
      <c r="F1300" s="1" t="s">
        <v>16</v>
      </c>
      <c r="G1300" s="10">
        <v>56477.64</v>
      </c>
      <c r="H1300" s="1" t="s">
        <v>17</v>
      </c>
      <c r="I1300" t="s">
        <v>13</v>
      </c>
      <c r="J1300" t="s">
        <v>14</v>
      </c>
    </row>
    <row r="1301" spans="1:10" x14ac:dyDescent="0.35">
      <c r="A1301">
        <v>1300</v>
      </c>
      <c r="B1301" s="1" t="s">
        <v>10</v>
      </c>
      <c r="C1301">
        <v>2008</v>
      </c>
      <c r="D1301" s="4">
        <v>3.2</v>
      </c>
      <c r="E1301" s="5">
        <v>295863</v>
      </c>
      <c r="F1301" s="1" t="s">
        <v>15</v>
      </c>
      <c r="G1301" s="10">
        <v>25877.13</v>
      </c>
      <c r="H1301" s="1" t="s">
        <v>12</v>
      </c>
      <c r="I1301" t="s">
        <v>13</v>
      </c>
      <c r="J1301" t="s">
        <v>14</v>
      </c>
    </row>
    <row r="1302" spans="1:10" x14ac:dyDescent="0.35">
      <c r="A1302">
        <v>1301</v>
      </c>
      <c r="B1302" s="1" t="s">
        <v>10</v>
      </c>
      <c r="C1302">
        <v>2000</v>
      </c>
      <c r="D1302" s="4">
        <v>1.8</v>
      </c>
      <c r="E1302" s="5">
        <v>45704</v>
      </c>
      <c r="F1302" s="1" t="s">
        <v>15</v>
      </c>
      <c r="G1302" s="10">
        <v>66759.55</v>
      </c>
      <c r="H1302" s="1" t="s">
        <v>12</v>
      </c>
      <c r="I1302" t="s">
        <v>13</v>
      </c>
      <c r="J1302" t="s">
        <v>14</v>
      </c>
    </row>
    <row r="1303" spans="1:10" x14ac:dyDescent="0.35">
      <c r="A1303">
        <v>1302</v>
      </c>
      <c r="B1303" s="1" t="s">
        <v>35</v>
      </c>
      <c r="C1303">
        <v>2007</v>
      </c>
      <c r="D1303" s="4">
        <v>1.9</v>
      </c>
      <c r="E1303" s="5">
        <v>292157</v>
      </c>
      <c r="F1303" s="1" t="s">
        <v>11</v>
      </c>
      <c r="G1303" s="10">
        <v>90913.66</v>
      </c>
      <c r="H1303" s="1" t="s">
        <v>50</v>
      </c>
      <c r="I1303" t="s">
        <v>53</v>
      </c>
      <c r="J1303" t="s">
        <v>22</v>
      </c>
    </row>
    <row r="1304" spans="1:10" x14ac:dyDescent="0.35">
      <c r="A1304">
        <v>1303</v>
      </c>
      <c r="B1304" s="1" t="s">
        <v>35</v>
      </c>
      <c r="C1304">
        <v>2022</v>
      </c>
      <c r="D1304" s="4">
        <v>2</v>
      </c>
      <c r="E1304" s="5">
        <v>226884</v>
      </c>
      <c r="F1304" s="1" t="s">
        <v>15</v>
      </c>
      <c r="G1304" s="10">
        <v>13121.42</v>
      </c>
      <c r="H1304" s="1" t="s">
        <v>45</v>
      </c>
      <c r="I1304" t="s">
        <v>51</v>
      </c>
      <c r="J1304" t="s">
        <v>22</v>
      </c>
    </row>
    <row r="1305" spans="1:10" x14ac:dyDescent="0.35">
      <c r="A1305">
        <v>1304</v>
      </c>
      <c r="B1305" s="1" t="s">
        <v>35</v>
      </c>
      <c r="C1305">
        <v>2005</v>
      </c>
      <c r="D1305" s="4">
        <v>2.9</v>
      </c>
      <c r="E1305" s="5">
        <v>167848</v>
      </c>
      <c r="F1305" s="1" t="s">
        <v>15</v>
      </c>
      <c r="G1305" s="10">
        <v>25578.52</v>
      </c>
      <c r="H1305" s="1" t="s">
        <v>47</v>
      </c>
      <c r="I1305" t="s">
        <v>51</v>
      </c>
      <c r="J1305" t="s">
        <v>22</v>
      </c>
    </row>
    <row r="1306" spans="1:10" x14ac:dyDescent="0.35">
      <c r="A1306">
        <v>1305</v>
      </c>
      <c r="B1306" s="1" t="s">
        <v>35</v>
      </c>
      <c r="C1306">
        <v>2005</v>
      </c>
      <c r="D1306" s="4">
        <v>1.3</v>
      </c>
      <c r="E1306" s="5">
        <v>272204</v>
      </c>
      <c r="F1306" s="1" t="s">
        <v>15</v>
      </c>
      <c r="G1306" s="10">
        <v>85220.19</v>
      </c>
      <c r="H1306" s="1" t="s">
        <v>45</v>
      </c>
      <c r="I1306" t="s">
        <v>53</v>
      </c>
      <c r="J1306" t="s">
        <v>22</v>
      </c>
    </row>
    <row r="1307" spans="1:10" x14ac:dyDescent="0.35">
      <c r="A1307">
        <v>1306</v>
      </c>
      <c r="B1307" s="1" t="s">
        <v>10</v>
      </c>
      <c r="C1307">
        <v>2021</v>
      </c>
      <c r="D1307" s="4">
        <v>3</v>
      </c>
      <c r="E1307" s="5">
        <v>219182</v>
      </c>
      <c r="F1307" s="1" t="s">
        <v>16</v>
      </c>
      <c r="G1307" s="10">
        <v>64997.58</v>
      </c>
      <c r="H1307" s="1" t="s">
        <v>18</v>
      </c>
      <c r="I1307" t="s">
        <v>13</v>
      </c>
      <c r="J1307" t="s">
        <v>14</v>
      </c>
    </row>
    <row r="1308" spans="1:10" x14ac:dyDescent="0.35">
      <c r="A1308">
        <v>1307</v>
      </c>
      <c r="B1308" s="1" t="s">
        <v>10</v>
      </c>
      <c r="C1308">
        <v>2017</v>
      </c>
      <c r="D1308" s="4">
        <v>3.6</v>
      </c>
      <c r="E1308" s="5">
        <v>78563</v>
      </c>
      <c r="F1308" s="1" t="s">
        <v>16</v>
      </c>
      <c r="G1308" s="10">
        <v>12477.35</v>
      </c>
      <c r="H1308" s="1" t="s">
        <v>19</v>
      </c>
      <c r="I1308" t="s">
        <v>13</v>
      </c>
      <c r="J1308" t="s">
        <v>14</v>
      </c>
    </row>
    <row r="1309" spans="1:10" x14ac:dyDescent="0.35">
      <c r="A1309">
        <v>1308</v>
      </c>
      <c r="B1309" s="1" t="s">
        <v>20</v>
      </c>
      <c r="C1309">
        <v>2016</v>
      </c>
      <c r="D1309" s="4">
        <v>3.4</v>
      </c>
      <c r="E1309" s="5">
        <v>135102</v>
      </c>
      <c r="F1309" s="1" t="s">
        <v>11</v>
      </c>
      <c r="G1309" s="10">
        <v>51203.26</v>
      </c>
      <c r="H1309" s="1" t="s">
        <v>33</v>
      </c>
      <c r="I1309" t="s">
        <v>52</v>
      </c>
      <c r="J1309" t="s">
        <v>22</v>
      </c>
    </row>
    <row r="1310" spans="1:10" x14ac:dyDescent="0.35">
      <c r="A1310">
        <v>1309</v>
      </c>
      <c r="B1310" s="1" t="s">
        <v>29</v>
      </c>
      <c r="C1310">
        <v>2011</v>
      </c>
      <c r="D1310" s="4">
        <v>2.9</v>
      </c>
      <c r="E1310" s="5">
        <v>89779</v>
      </c>
      <c r="F1310" s="1" t="s">
        <v>15</v>
      </c>
      <c r="G1310" s="10">
        <v>24927.06</v>
      </c>
      <c r="H1310" s="1" t="s">
        <v>38</v>
      </c>
      <c r="I1310" t="s">
        <v>52</v>
      </c>
      <c r="J1310" t="s">
        <v>14</v>
      </c>
    </row>
    <row r="1311" spans="1:10" x14ac:dyDescent="0.35">
      <c r="A1311">
        <v>1310</v>
      </c>
      <c r="B1311" s="1" t="s">
        <v>25</v>
      </c>
      <c r="C1311">
        <v>2005</v>
      </c>
      <c r="D1311" s="4">
        <v>5.2</v>
      </c>
      <c r="E1311" s="5">
        <v>164361</v>
      </c>
      <c r="F1311" s="1" t="s">
        <v>16</v>
      </c>
      <c r="G1311" s="10">
        <v>23914.16</v>
      </c>
      <c r="H1311" s="1" t="s">
        <v>26</v>
      </c>
      <c r="I1311" t="s">
        <v>13</v>
      </c>
      <c r="J1311" t="s">
        <v>22</v>
      </c>
    </row>
    <row r="1312" spans="1:10" x14ac:dyDescent="0.35">
      <c r="A1312">
        <v>1311</v>
      </c>
      <c r="B1312" s="1" t="s">
        <v>23</v>
      </c>
      <c r="C1312">
        <v>2007</v>
      </c>
      <c r="D1312" s="4">
        <v>1.7</v>
      </c>
      <c r="E1312" s="5">
        <v>99704</v>
      </c>
      <c r="F1312" s="1" t="s">
        <v>11</v>
      </c>
      <c r="G1312" s="10">
        <v>94361.31</v>
      </c>
      <c r="H1312" s="1" t="s">
        <v>42</v>
      </c>
      <c r="I1312" t="s">
        <v>53</v>
      </c>
      <c r="J1312" t="s">
        <v>22</v>
      </c>
    </row>
    <row r="1313" spans="1:10" x14ac:dyDescent="0.35">
      <c r="A1313">
        <v>1312</v>
      </c>
      <c r="B1313" s="1" t="s">
        <v>10</v>
      </c>
      <c r="C1313">
        <v>2018</v>
      </c>
      <c r="D1313" s="4">
        <v>3.5</v>
      </c>
      <c r="E1313" s="5">
        <v>261757</v>
      </c>
      <c r="F1313" s="1" t="s">
        <v>15</v>
      </c>
      <c r="G1313" s="10">
        <v>77346.45</v>
      </c>
      <c r="H1313" s="1" t="s">
        <v>18</v>
      </c>
      <c r="I1313" t="s">
        <v>13</v>
      </c>
      <c r="J1313" t="s">
        <v>14</v>
      </c>
    </row>
    <row r="1314" spans="1:10" x14ac:dyDescent="0.35">
      <c r="A1314">
        <v>1313</v>
      </c>
      <c r="B1314" s="1" t="s">
        <v>23</v>
      </c>
      <c r="C1314">
        <v>2009</v>
      </c>
      <c r="D1314" s="4">
        <v>1.3</v>
      </c>
      <c r="E1314" s="5">
        <v>110234</v>
      </c>
      <c r="F1314" s="1" t="s">
        <v>11</v>
      </c>
      <c r="G1314" s="10">
        <v>71141.91</v>
      </c>
      <c r="H1314" s="1" t="s">
        <v>24</v>
      </c>
      <c r="I1314" t="s">
        <v>52</v>
      </c>
      <c r="J1314" t="s">
        <v>14</v>
      </c>
    </row>
    <row r="1315" spans="1:10" x14ac:dyDescent="0.35">
      <c r="A1315">
        <v>1314</v>
      </c>
      <c r="B1315" s="1" t="s">
        <v>29</v>
      </c>
      <c r="C1315">
        <v>2000</v>
      </c>
      <c r="D1315" s="4">
        <v>1.4</v>
      </c>
      <c r="E1315" s="5">
        <v>36491</v>
      </c>
      <c r="F1315" s="1" t="s">
        <v>11</v>
      </c>
      <c r="G1315" s="10">
        <v>27698.240000000002</v>
      </c>
      <c r="H1315" s="1" t="s">
        <v>30</v>
      </c>
      <c r="I1315" t="s">
        <v>13</v>
      </c>
      <c r="J1315" t="s">
        <v>22</v>
      </c>
    </row>
    <row r="1316" spans="1:10" x14ac:dyDescent="0.35">
      <c r="A1316">
        <v>1315</v>
      </c>
      <c r="B1316" s="1" t="s">
        <v>29</v>
      </c>
      <c r="C1316">
        <v>2012</v>
      </c>
      <c r="D1316" s="4">
        <v>3.9</v>
      </c>
      <c r="E1316" s="5">
        <v>226621</v>
      </c>
      <c r="F1316" s="1" t="s">
        <v>11</v>
      </c>
      <c r="G1316" s="10">
        <v>16264.48</v>
      </c>
      <c r="H1316" s="1" t="s">
        <v>43</v>
      </c>
      <c r="I1316" t="s">
        <v>53</v>
      </c>
      <c r="J1316" t="s">
        <v>22</v>
      </c>
    </row>
    <row r="1317" spans="1:10" x14ac:dyDescent="0.35">
      <c r="A1317">
        <v>1316</v>
      </c>
      <c r="B1317" s="1" t="s">
        <v>23</v>
      </c>
      <c r="C1317">
        <v>2016</v>
      </c>
      <c r="D1317" s="4">
        <v>3.8</v>
      </c>
      <c r="E1317" s="5">
        <v>20448</v>
      </c>
      <c r="F1317" s="1" t="s">
        <v>11</v>
      </c>
      <c r="G1317" s="10">
        <v>87729.1</v>
      </c>
      <c r="H1317" s="1" t="s">
        <v>34</v>
      </c>
      <c r="I1317" t="s">
        <v>51</v>
      </c>
      <c r="J1317" t="s">
        <v>14</v>
      </c>
    </row>
    <row r="1318" spans="1:10" x14ac:dyDescent="0.35">
      <c r="A1318">
        <v>1317</v>
      </c>
      <c r="B1318" s="1" t="s">
        <v>10</v>
      </c>
      <c r="C1318">
        <v>2002</v>
      </c>
      <c r="D1318" s="4">
        <v>5.4</v>
      </c>
      <c r="E1318" s="5">
        <v>49294</v>
      </c>
      <c r="F1318" s="1" t="s">
        <v>11</v>
      </c>
      <c r="G1318" s="10">
        <v>5558.56</v>
      </c>
      <c r="H1318" s="1" t="s">
        <v>17</v>
      </c>
      <c r="I1318" t="s">
        <v>13</v>
      </c>
      <c r="J1318" t="s">
        <v>14</v>
      </c>
    </row>
    <row r="1319" spans="1:10" x14ac:dyDescent="0.35">
      <c r="A1319">
        <v>1318</v>
      </c>
      <c r="B1319" s="1" t="s">
        <v>23</v>
      </c>
      <c r="C1319">
        <v>2007</v>
      </c>
      <c r="D1319" s="4">
        <v>3.8</v>
      </c>
      <c r="E1319" s="5">
        <v>283590</v>
      </c>
      <c r="F1319" s="1" t="s">
        <v>11</v>
      </c>
      <c r="G1319" s="10">
        <v>41869.160000000003</v>
      </c>
      <c r="H1319" s="1" t="s">
        <v>42</v>
      </c>
      <c r="I1319" t="s">
        <v>53</v>
      </c>
      <c r="J1319" t="s">
        <v>14</v>
      </c>
    </row>
    <row r="1320" spans="1:10" x14ac:dyDescent="0.35">
      <c r="A1320">
        <v>1319</v>
      </c>
      <c r="B1320" s="1" t="s">
        <v>20</v>
      </c>
      <c r="C1320">
        <v>2013</v>
      </c>
      <c r="D1320" s="4">
        <v>5.8</v>
      </c>
      <c r="E1320" s="5">
        <v>216461</v>
      </c>
      <c r="F1320" s="1" t="s">
        <v>11</v>
      </c>
      <c r="G1320" s="10">
        <v>31373.19</v>
      </c>
      <c r="H1320" s="1" t="s">
        <v>21</v>
      </c>
      <c r="I1320" t="s">
        <v>52</v>
      </c>
      <c r="J1320" t="s">
        <v>14</v>
      </c>
    </row>
    <row r="1321" spans="1:10" x14ac:dyDescent="0.35">
      <c r="A1321">
        <v>1320</v>
      </c>
      <c r="B1321" s="1" t="s">
        <v>27</v>
      </c>
      <c r="C1321">
        <v>2002</v>
      </c>
      <c r="D1321" s="4">
        <v>1.2</v>
      </c>
      <c r="E1321" s="5">
        <v>85615</v>
      </c>
      <c r="F1321" s="1" t="s">
        <v>15</v>
      </c>
      <c r="G1321" s="10">
        <v>59185.74</v>
      </c>
      <c r="H1321" s="1" t="s">
        <v>40</v>
      </c>
      <c r="I1321" t="s">
        <v>53</v>
      </c>
      <c r="J1321" t="s">
        <v>22</v>
      </c>
    </row>
    <row r="1322" spans="1:10" x14ac:dyDescent="0.35">
      <c r="A1322">
        <v>1321</v>
      </c>
      <c r="B1322" s="1" t="s">
        <v>10</v>
      </c>
      <c r="C1322">
        <v>2015</v>
      </c>
      <c r="D1322" s="4">
        <v>1.5</v>
      </c>
      <c r="E1322" s="5">
        <v>17101</v>
      </c>
      <c r="F1322" s="1" t="s">
        <v>15</v>
      </c>
      <c r="G1322" s="10">
        <v>28798.3</v>
      </c>
      <c r="H1322" s="1" t="s">
        <v>18</v>
      </c>
      <c r="I1322" t="s">
        <v>13</v>
      </c>
      <c r="J1322" t="s">
        <v>14</v>
      </c>
    </row>
    <row r="1323" spans="1:10" x14ac:dyDescent="0.35">
      <c r="A1323">
        <v>1322</v>
      </c>
      <c r="B1323" s="1" t="s">
        <v>10</v>
      </c>
      <c r="C1323">
        <v>2012</v>
      </c>
      <c r="D1323" s="4">
        <v>1.2</v>
      </c>
      <c r="E1323" s="5">
        <v>290160</v>
      </c>
      <c r="F1323" s="1" t="s">
        <v>11</v>
      </c>
      <c r="G1323" s="10">
        <v>34564.51</v>
      </c>
      <c r="H1323" s="1" t="s">
        <v>18</v>
      </c>
      <c r="I1323" t="s">
        <v>13</v>
      </c>
      <c r="J1323" t="s">
        <v>14</v>
      </c>
    </row>
    <row r="1324" spans="1:10" x14ac:dyDescent="0.35">
      <c r="A1324">
        <v>1323</v>
      </c>
      <c r="B1324" s="1" t="s">
        <v>25</v>
      </c>
      <c r="C1324">
        <v>2019</v>
      </c>
      <c r="D1324" s="4">
        <v>1.9</v>
      </c>
      <c r="E1324" s="5">
        <v>150004</v>
      </c>
      <c r="F1324" s="1" t="s">
        <v>15</v>
      </c>
      <c r="G1324" s="10">
        <v>85753.79</v>
      </c>
      <c r="H1324" s="1" t="s">
        <v>49</v>
      </c>
      <c r="I1324" t="s">
        <v>52</v>
      </c>
      <c r="J1324" t="s">
        <v>22</v>
      </c>
    </row>
    <row r="1325" spans="1:10" x14ac:dyDescent="0.35">
      <c r="A1325">
        <v>1324</v>
      </c>
      <c r="B1325" s="1" t="s">
        <v>35</v>
      </c>
      <c r="C1325">
        <v>2023</v>
      </c>
      <c r="D1325" s="4">
        <v>3.7</v>
      </c>
      <c r="E1325" s="5">
        <v>90481</v>
      </c>
      <c r="F1325" s="1" t="s">
        <v>11</v>
      </c>
      <c r="G1325" s="10">
        <v>62302.94</v>
      </c>
      <c r="H1325" s="1" t="s">
        <v>47</v>
      </c>
      <c r="I1325" t="s">
        <v>51</v>
      </c>
      <c r="J1325" t="s">
        <v>22</v>
      </c>
    </row>
    <row r="1326" spans="1:10" x14ac:dyDescent="0.35">
      <c r="A1326">
        <v>1325</v>
      </c>
      <c r="B1326" s="1" t="s">
        <v>27</v>
      </c>
      <c r="C1326">
        <v>2016</v>
      </c>
      <c r="D1326" s="4">
        <v>4.2</v>
      </c>
      <c r="E1326" s="5">
        <v>52802</v>
      </c>
      <c r="F1326" s="1" t="s">
        <v>15</v>
      </c>
      <c r="G1326" s="10">
        <v>18839.84</v>
      </c>
      <c r="H1326" s="1" t="s">
        <v>37</v>
      </c>
      <c r="I1326" t="s">
        <v>13</v>
      </c>
      <c r="J1326" t="s">
        <v>14</v>
      </c>
    </row>
    <row r="1327" spans="1:10" x14ac:dyDescent="0.35">
      <c r="A1327">
        <v>1326</v>
      </c>
      <c r="B1327" s="1" t="s">
        <v>29</v>
      </c>
      <c r="C1327">
        <v>2012</v>
      </c>
      <c r="D1327" s="4">
        <v>1.2</v>
      </c>
      <c r="E1327" s="5">
        <v>269693</v>
      </c>
      <c r="F1327" s="1" t="s">
        <v>16</v>
      </c>
      <c r="G1327" s="10">
        <v>74014.8</v>
      </c>
      <c r="H1327" s="1" t="s">
        <v>43</v>
      </c>
      <c r="I1327" t="s">
        <v>53</v>
      </c>
      <c r="J1327" t="s">
        <v>14</v>
      </c>
    </row>
    <row r="1328" spans="1:10" x14ac:dyDescent="0.35">
      <c r="A1328">
        <v>1327</v>
      </c>
      <c r="B1328" s="1" t="s">
        <v>10</v>
      </c>
      <c r="C1328">
        <v>2005</v>
      </c>
      <c r="D1328" s="4">
        <v>5.7</v>
      </c>
      <c r="E1328" s="5">
        <v>210005</v>
      </c>
      <c r="F1328" s="1" t="s">
        <v>11</v>
      </c>
      <c r="G1328" s="10">
        <v>24708.62</v>
      </c>
      <c r="H1328" s="1" t="s">
        <v>17</v>
      </c>
      <c r="I1328" t="s">
        <v>13</v>
      </c>
      <c r="J1328" t="s">
        <v>14</v>
      </c>
    </row>
    <row r="1329" spans="1:10" x14ac:dyDescent="0.35">
      <c r="A1329">
        <v>1328</v>
      </c>
      <c r="B1329" s="1" t="s">
        <v>23</v>
      </c>
      <c r="C1329">
        <v>2016</v>
      </c>
      <c r="D1329" s="4">
        <v>5.2</v>
      </c>
      <c r="E1329" s="5">
        <v>156434</v>
      </c>
      <c r="F1329" s="1" t="s">
        <v>16</v>
      </c>
      <c r="G1329" s="10">
        <v>46135.47</v>
      </c>
      <c r="H1329" s="1" t="s">
        <v>32</v>
      </c>
      <c r="I1329" t="s">
        <v>51</v>
      </c>
      <c r="J1329" t="s">
        <v>22</v>
      </c>
    </row>
    <row r="1330" spans="1:10" x14ac:dyDescent="0.35">
      <c r="A1330">
        <v>1329</v>
      </c>
      <c r="B1330" s="1" t="s">
        <v>27</v>
      </c>
      <c r="C1330">
        <v>2013</v>
      </c>
      <c r="D1330" s="4">
        <v>2.5</v>
      </c>
      <c r="E1330" s="5">
        <v>47842</v>
      </c>
      <c r="F1330" s="1" t="s">
        <v>11</v>
      </c>
      <c r="G1330" s="10">
        <v>66427.69</v>
      </c>
      <c r="H1330" s="1" t="s">
        <v>48</v>
      </c>
      <c r="I1330" t="s">
        <v>13</v>
      </c>
      <c r="J1330" t="s">
        <v>14</v>
      </c>
    </row>
    <row r="1331" spans="1:10" x14ac:dyDescent="0.35">
      <c r="A1331">
        <v>1330</v>
      </c>
      <c r="B1331" s="1" t="s">
        <v>25</v>
      </c>
      <c r="C1331">
        <v>2016</v>
      </c>
      <c r="D1331" s="4">
        <v>1.4</v>
      </c>
      <c r="E1331" s="5">
        <v>46539</v>
      </c>
      <c r="F1331" s="1" t="s">
        <v>11</v>
      </c>
      <c r="G1331" s="10">
        <v>30833.31</v>
      </c>
      <c r="H1331" s="1" t="s">
        <v>26</v>
      </c>
      <c r="I1331" t="s">
        <v>52</v>
      </c>
      <c r="J1331" t="s">
        <v>22</v>
      </c>
    </row>
    <row r="1332" spans="1:10" x14ac:dyDescent="0.35">
      <c r="A1332">
        <v>1331</v>
      </c>
      <c r="B1332" s="1" t="s">
        <v>29</v>
      </c>
      <c r="C1332">
        <v>2007</v>
      </c>
      <c r="D1332" s="4">
        <v>1.8</v>
      </c>
      <c r="E1332" s="5">
        <v>33717</v>
      </c>
      <c r="F1332" s="1" t="s">
        <v>16</v>
      </c>
      <c r="G1332" s="10">
        <v>41490.15</v>
      </c>
      <c r="H1332" s="1" t="s">
        <v>43</v>
      </c>
      <c r="I1332" t="s">
        <v>13</v>
      </c>
      <c r="J1332" t="s">
        <v>22</v>
      </c>
    </row>
    <row r="1333" spans="1:10" x14ac:dyDescent="0.35">
      <c r="A1333">
        <v>1332</v>
      </c>
      <c r="B1333" s="1" t="s">
        <v>35</v>
      </c>
      <c r="C1333">
        <v>2010</v>
      </c>
      <c r="D1333" s="4">
        <v>1.6</v>
      </c>
      <c r="E1333" s="5">
        <v>246281</v>
      </c>
      <c r="F1333" s="1" t="s">
        <v>16</v>
      </c>
      <c r="G1333" s="10">
        <v>74744.210000000006</v>
      </c>
      <c r="H1333" s="1" t="s">
        <v>50</v>
      </c>
      <c r="I1333" t="s">
        <v>13</v>
      </c>
      <c r="J1333" t="s">
        <v>22</v>
      </c>
    </row>
    <row r="1334" spans="1:10" x14ac:dyDescent="0.35">
      <c r="A1334">
        <v>1333</v>
      </c>
      <c r="B1334" s="1" t="s">
        <v>35</v>
      </c>
      <c r="C1334">
        <v>2019</v>
      </c>
      <c r="D1334" s="4">
        <v>1.6</v>
      </c>
      <c r="E1334" s="5">
        <v>186272</v>
      </c>
      <c r="F1334" s="1" t="s">
        <v>16</v>
      </c>
      <c r="G1334" s="10">
        <v>94101.54</v>
      </c>
      <c r="H1334" s="1" t="s">
        <v>45</v>
      </c>
      <c r="I1334" t="s">
        <v>53</v>
      </c>
      <c r="J1334" t="s">
        <v>14</v>
      </c>
    </row>
    <row r="1335" spans="1:10" x14ac:dyDescent="0.35">
      <c r="A1335">
        <v>1334</v>
      </c>
      <c r="B1335" s="1" t="s">
        <v>25</v>
      </c>
      <c r="C1335">
        <v>2000</v>
      </c>
      <c r="D1335" s="4">
        <v>3.6</v>
      </c>
      <c r="E1335" s="5">
        <v>115042</v>
      </c>
      <c r="F1335" s="1" t="s">
        <v>11</v>
      </c>
      <c r="G1335" s="10">
        <v>55278.28</v>
      </c>
      <c r="H1335" s="1" t="s">
        <v>44</v>
      </c>
      <c r="I1335" t="s">
        <v>53</v>
      </c>
      <c r="J1335" t="s">
        <v>22</v>
      </c>
    </row>
    <row r="1336" spans="1:10" x14ac:dyDescent="0.35">
      <c r="A1336">
        <v>1335</v>
      </c>
      <c r="B1336" s="1" t="s">
        <v>25</v>
      </c>
      <c r="C1336">
        <v>2006</v>
      </c>
      <c r="D1336" s="4">
        <v>2.2000000000000002</v>
      </c>
      <c r="E1336" s="5">
        <v>127922</v>
      </c>
      <c r="F1336" s="1" t="s">
        <v>16</v>
      </c>
      <c r="G1336" s="10">
        <v>5947.24</v>
      </c>
      <c r="H1336" s="1" t="s">
        <v>41</v>
      </c>
      <c r="I1336" t="s">
        <v>52</v>
      </c>
      <c r="J1336" t="s">
        <v>22</v>
      </c>
    </row>
    <row r="1337" spans="1:10" x14ac:dyDescent="0.35">
      <c r="A1337">
        <v>1336</v>
      </c>
      <c r="B1337" s="1" t="s">
        <v>23</v>
      </c>
      <c r="C1337">
        <v>2020</v>
      </c>
      <c r="D1337" s="4">
        <v>2.8</v>
      </c>
      <c r="E1337" s="5">
        <v>92447</v>
      </c>
      <c r="F1337" s="1" t="s">
        <v>16</v>
      </c>
      <c r="G1337" s="10">
        <v>37154.06</v>
      </c>
      <c r="H1337" s="1" t="s">
        <v>34</v>
      </c>
      <c r="I1337" t="s">
        <v>13</v>
      </c>
      <c r="J1337" t="s">
        <v>14</v>
      </c>
    </row>
    <row r="1338" spans="1:10" x14ac:dyDescent="0.35">
      <c r="A1338">
        <v>1337</v>
      </c>
      <c r="B1338" s="1" t="s">
        <v>10</v>
      </c>
      <c r="C1338">
        <v>2020</v>
      </c>
      <c r="D1338" s="4">
        <v>5.9</v>
      </c>
      <c r="E1338" s="5">
        <v>158693</v>
      </c>
      <c r="F1338" s="1" t="s">
        <v>15</v>
      </c>
      <c r="G1338" s="10">
        <v>42870.26</v>
      </c>
      <c r="H1338" s="1" t="s">
        <v>12</v>
      </c>
      <c r="I1338" t="s">
        <v>13</v>
      </c>
      <c r="J1338" t="s">
        <v>14</v>
      </c>
    </row>
    <row r="1339" spans="1:10" x14ac:dyDescent="0.35">
      <c r="A1339">
        <v>1338</v>
      </c>
      <c r="B1339" s="1" t="s">
        <v>35</v>
      </c>
      <c r="C1339">
        <v>2016</v>
      </c>
      <c r="D1339" s="4">
        <v>4.4000000000000004</v>
      </c>
      <c r="E1339" s="5">
        <v>12823</v>
      </c>
      <c r="F1339" s="1" t="s">
        <v>15</v>
      </c>
      <c r="G1339" s="10">
        <v>37221.49</v>
      </c>
      <c r="H1339" s="1" t="s">
        <v>50</v>
      </c>
      <c r="I1339" t="s">
        <v>52</v>
      </c>
      <c r="J1339" t="s">
        <v>14</v>
      </c>
    </row>
    <row r="1340" spans="1:10" x14ac:dyDescent="0.35">
      <c r="A1340">
        <v>1339</v>
      </c>
      <c r="B1340" s="1" t="s">
        <v>29</v>
      </c>
      <c r="C1340">
        <v>2009</v>
      </c>
      <c r="D1340" s="4">
        <v>5.7</v>
      </c>
      <c r="E1340" s="5">
        <v>29986</v>
      </c>
      <c r="F1340" s="1" t="s">
        <v>16</v>
      </c>
      <c r="G1340" s="10">
        <v>46445.54</v>
      </c>
      <c r="H1340" s="1" t="s">
        <v>30</v>
      </c>
      <c r="I1340" t="s">
        <v>13</v>
      </c>
      <c r="J1340" t="s">
        <v>22</v>
      </c>
    </row>
    <row r="1341" spans="1:10" x14ac:dyDescent="0.35">
      <c r="A1341">
        <v>1340</v>
      </c>
      <c r="B1341" s="1" t="s">
        <v>27</v>
      </c>
      <c r="C1341">
        <v>2010</v>
      </c>
      <c r="D1341" s="4">
        <v>1.7</v>
      </c>
      <c r="E1341" s="5">
        <v>121682</v>
      </c>
      <c r="F1341" s="1" t="s">
        <v>16</v>
      </c>
      <c r="G1341" s="10">
        <v>65103.29</v>
      </c>
      <c r="H1341" s="1" t="s">
        <v>28</v>
      </c>
      <c r="I1341" t="s">
        <v>52</v>
      </c>
      <c r="J1341" t="s">
        <v>14</v>
      </c>
    </row>
    <row r="1342" spans="1:10" x14ac:dyDescent="0.35">
      <c r="A1342">
        <v>1341</v>
      </c>
      <c r="B1342" s="1" t="s">
        <v>29</v>
      </c>
      <c r="C1342">
        <v>2021</v>
      </c>
      <c r="D1342" s="4">
        <v>2.9</v>
      </c>
      <c r="E1342" s="5">
        <v>64325</v>
      </c>
      <c r="F1342" s="1" t="s">
        <v>16</v>
      </c>
      <c r="G1342" s="10">
        <v>16507.16</v>
      </c>
      <c r="H1342" s="1" t="s">
        <v>30</v>
      </c>
      <c r="I1342" t="s">
        <v>13</v>
      </c>
      <c r="J1342" t="s">
        <v>22</v>
      </c>
    </row>
    <row r="1343" spans="1:10" x14ac:dyDescent="0.35">
      <c r="A1343">
        <v>1342</v>
      </c>
      <c r="B1343" s="1" t="s">
        <v>20</v>
      </c>
      <c r="C1343">
        <v>2008</v>
      </c>
      <c r="D1343" s="4">
        <v>3.8</v>
      </c>
      <c r="E1343" s="5">
        <v>250476</v>
      </c>
      <c r="F1343" s="1" t="s">
        <v>16</v>
      </c>
      <c r="G1343" s="10">
        <v>30899.9</v>
      </c>
      <c r="H1343" s="1" t="s">
        <v>46</v>
      </c>
      <c r="I1343" t="s">
        <v>13</v>
      </c>
      <c r="J1343" t="s">
        <v>22</v>
      </c>
    </row>
    <row r="1344" spans="1:10" x14ac:dyDescent="0.35">
      <c r="A1344">
        <v>1343</v>
      </c>
      <c r="B1344" s="1" t="s">
        <v>20</v>
      </c>
      <c r="C1344">
        <v>2008</v>
      </c>
      <c r="D1344" s="4">
        <v>1.4</v>
      </c>
      <c r="E1344" s="5">
        <v>57771</v>
      </c>
      <c r="F1344" s="1" t="s">
        <v>15</v>
      </c>
      <c r="G1344" s="10">
        <v>53226.57</v>
      </c>
      <c r="H1344" s="1" t="s">
        <v>21</v>
      </c>
      <c r="I1344" t="s">
        <v>13</v>
      </c>
      <c r="J1344" t="s">
        <v>14</v>
      </c>
    </row>
    <row r="1345" spans="1:10" x14ac:dyDescent="0.35">
      <c r="A1345">
        <v>1344</v>
      </c>
      <c r="B1345" s="1" t="s">
        <v>25</v>
      </c>
      <c r="C1345">
        <v>2023</v>
      </c>
      <c r="D1345" s="4">
        <v>1</v>
      </c>
      <c r="E1345" s="5">
        <v>54973</v>
      </c>
      <c r="F1345" s="1" t="s">
        <v>11</v>
      </c>
      <c r="G1345" s="10">
        <v>34979.46</v>
      </c>
      <c r="H1345" s="1" t="s">
        <v>49</v>
      </c>
      <c r="I1345" t="s">
        <v>13</v>
      </c>
      <c r="J1345" t="s">
        <v>22</v>
      </c>
    </row>
    <row r="1346" spans="1:10" x14ac:dyDescent="0.35">
      <c r="A1346">
        <v>1345</v>
      </c>
      <c r="B1346" s="1" t="s">
        <v>23</v>
      </c>
      <c r="C1346">
        <v>2004</v>
      </c>
      <c r="D1346" s="4">
        <v>4.4000000000000004</v>
      </c>
      <c r="E1346" s="5">
        <v>145762</v>
      </c>
      <c r="F1346" s="1" t="s">
        <v>16</v>
      </c>
      <c r="G1346" s="10">
        <v>99153.11</v>
      </c>
      <c r="H1346" s="1" t="s">
        <v>42</v>
      </c>
      <c r="I1346" t="s">
        <v>51</v>
      </c>
      <c r="J1346" t="s">
        <v>14</v>
      </c>
    </row>
    <row r="1347" spans="1:10" x14ac:dyDescent="0.35">
      <c r="A1347">
        <v>1346</v>
      </c>
      <c r="B1347" s="1" t="s">
        <v>20</v>
      </c>
      <c r="C1347">
        <v>2016</v>
      </c>
      <c r="D1347" s="4">
        <v>4.2</v>
      </c>
      <c r="E1347" s="5">
        <v>57888</v>
      </c>
      <c r="F1347" s="1" t="s">
        <v>16</v>
      </c>
      <c r="G1347" s="10">
        <v>45985.99</v>
      </c>
      <c r="H1347" s="1" t="s">
        <v>33</v>
      </c>
      <c r="I1347" t="s">
        <v>13</v>
      </c>
      <c r="J1347" t="s">
        <v>22</v>
      </c>
    </row>
    <row r="1348" spans="1:10" x14ac:dyDescent="0.35">
      <c r="A1348">
        <v>1347</v>
      </c>
      <c r="B1348" s="1" t="s">
        <v>35</v>
      </c>
      <c r="C1348">
        <v>2008</v>
      </c>
      <c r="D1348" s="4">
        <v>3.1</v>
      </c>
      <c r="E1348" s="5">
        <v>10956</v>
      </c>
      <c r="F1348" s="1" t="s">
        <v>15</v>
      </c>
      <c r="G1348" s="10">
        <v>87630.92</v>
      </c>
      <c r="H1348" s="1" t="s">
        <v>47</v>
      </c>
      <c r="I1348" t="s">
        <v>53</v>
      </c>
      <c r="J1348" t="s">
        <v>14</v>
      </c>
    </row>
    <row r="1349" spans="1:10" x14ac:dyDescent="0.35">
      <c r="A1349">
        <v>1348</v>
      </c>
      <c r="B1349" s="1" t="s">
        <v>29</v>
      </c>
      <c r="C1349">
        <v>2016</v>
      </c>
      <c r="D1349" s="4">
        <v>3.4</v>
      </c>
      <c r="E1349" s="5">
        <v>86839</v>
      </c>
      <c r="F1349" s="1" t="s">
        <v>16</v>
      </c>
      <c r="G1349" s="10">
        <v>90168.43</v>
      </c>
      <c r="H1349" s="1" t="s">
        <v>30</v>
      </c>
      <c r="I1349" t="s">
        <v>53</v>
      </c>
      <c r="J1349" t="s">
        <v>22</v>
      </c>
    </row>
    <row r="1350" spans="1:10" x14ac:dyDescent="0.35">
      <c r="A1350">
        <v>1349</v>
      </c>
      <c r="B1350" s="1" t="s">
        <v>29</v>
      </c>
      <c r="C1350">
        <v>2023</v>
      </c>
      <c r="D1350" s="4">
        <v>3.1</v>
      </c>
      <c r="E1350" s="5">
        <v>167605</v>
      </c>
      <c r="F1350" s="1" t="s">
        <v>16</v>
      </c>
      <c r="G1350" s="10">
        <v>84420.66</v>
      </c>
      <c r="H1350" s="1" t="s">
        <v>43</v>
      </c>
      <c r="I1350" t="s">
        <v>53</v>
      </c>
      <c r="J1350" t="s">
        <v>22</v>
      </c>
    </row>
    <row r="1351" spans="1:10" x14ac:dyDescent="0.35">
      <c r="A1351">
        <v>1350</v>
      </c>
      <c r="B1351" s="1" t="s">
        <v>25</v>
      </c>
      <c r="C1351">
        <v>2020</v>
      </c>
      <c r="D1351" s="4">
        <v>1.1000000000000001</v>
      </c>
      <c r="E1351" s="5">
        <v>101131</v>
      </c>
      <c r="F1351" s="1" t="s">
        <v>15</v>
      </c>
      <c r="G1351" s="10">
        <v>9455.33</v>
      </c>
      <c r="H1351" s="1" t="s">
        <v>26</v>
      </c>
      <c r="I1351" t="s">
        <v>13</v>
      </c>
      <c r="J1351" t="s">
        <v>22</v>
      </c>
    </row>
    <row r="1352" spans="1:10" x14ac:dyDescent="0.35">
      <c r="A1352">
        <v>1351</v>
      </c>
      <c r="B1352" s="1" t="s">
        <v>10</v>
      </c>
      <c r="C1352">
        <v>2018</v>
      </c>
      <c r="D1352" s="4">
        <v>2.7</v>
      </c>
      <c r="E1352" s="5">
        <v>187973</v>
      </c>
      <c r="F1352" s="1" t="s">
        <v>16</v>
      </c>
      <c r="G1352" s="10">
        <v>95035.94</v>
      </c>
      <c r="H1352" s="1" t="s">
        <v>17</v>
      </c>
      <c r="I1352" t="s">
        <v>13</v>
      </c>
      <c r="J1352" t="s">
        <v>14</v>
      </c>
    </row>
    <row r="1353" spans="1:10" x14ac:dyDescent="0.35">
      <c r="A1353">
        <v>1352</v>
      </c>
      <c r="B1353" s="1" t="s">
        <v>10</v>
      </c>
      <c r="C1353">
        <v>2006</v>
      </c>
      <c r="D1353" s="4">
        <v>1.9</v>
      </c>
      <c r="E1353" s="5">
        <v>11519</v>
      </c>
      <c r="F1353" s="1" t="s">
        <v>16</v>
      </c>
      <c r="G1353" s="10">
        <v>17230.54</v>
      </c>
      <c r="H1353" s="1" t="s">
        <v>17</v>
      </c>
      <c r="I1353" t="s">
        <v>13</v>
      </c>
      <c r="J1353" t="s">
        <v>14</v>
      </c>
    </row>
    <row r="1354" spans="1:10" x14ac:dyDescent="0.35">
      <c r="A1354">
        <v>1353</v>
      </c>
      <c r="B1354" s="1" t="s">
        <v>27</v>
      </c>
      <c r="C1354">
        <v>2022</v>
      </c>
      <c r="D1354" s="4">
        <v>1.5</v>
      </c>
      <c r="E1354" s="5">
        <v>162187</v>
      </c>
      <c r="F1354" s="1" t="s">
        <v>15</v>
      </c>
      <c r="G1354" s="10">
        <v>8268.34</v>
      </c>
      <c r="H1354" s="1" t="s">
        <v>40</v>
      </c>
      <c r="I1354" t="s">
        <v>52</v>
      </c>
      <c r="J1354" t="s">
        <v>14</v>
      </c>
    </row>
    <row r="1355" spans="1:10" x14ac:dyDescent="0.35">
      <c r="A1355">
        <v>1354</v>
      </c>
      <c r="B1355" s="1" t="s">
        <v>25</v>
      </c>
      <c r="C1355">
        <v>2008</v>
      </c>
      <c r="D1355" s="4">
        <v>5.8</v>
      </c>
      <c r="E1355" s="5">
        <v>1832</v>
      </c>
      <c r="F1355" s="1" t="s">
        <v>11</v>
      </c>
      <c r="G1355" s="10">
        <v>44365.11</v>
      </c>
      <c r="H1355" s="1" t="s">
        <v>26</v>
      </c>
      <c r="I1355" t="s">
        <v>13</v>
      </c>
      <c r="J1355" t="s">
        <v>14</v>
      </c>
    </row>
    <row r="1356" spans="1:10" x14ac:dyDescent="0.35">
      <c r="A1356">
        <v>1355</v>
      </c>
      <c r="B1356" s="1" t="s">
        <v>27</v>
      </c>
      <c r="C1356">
        <v>2006</v>
      </c>
      <c r="D1356" s="4">
        <v>4</v>
      </c>
      <c r="E1356" s="5">
        <v>113922</v>
      </c>
      <c r="F1356" s="1" t="s">
        <v>16</v>
      </c>
      <c r="G1356" s="10">
        <v>23490.23</v>
      </c>
      <c r="H1356" s="1" t="s">
        <v>40</v>
      </c>
      <c r="I1356" t="s">
        <v>53</v>
      </c>
      <c r="J1356" t="s">
        <v>14</v>
      </c>
    </row>
    <row r="1357" spans="1:10" x14ac:dyDescent="0.35">
      <c r="A1357">
        <v>1356</v>
      </c>
      <c r="B1357" s="1" t="s">
        <v>10</v>
      </c>
      <c r="C1357">
        <v>2012</v>
      </c>
      <c r="D1357" s="4">
        <v>4.5999999999999996</v>
      </c>
      <c r="E1357" s="5">
        <v>105474</v>
      </c>
      <c r="F1357" s="1" t="s">
        <v>16</v>
      </c>
      <c r="G1357" s="10">
        <v>22498.67</v>
      </c>
      <c r="H1357" s="1" t="s">
        <v>19</v>
      </c>
      <c r="I1357" t="s">
        <v>13</v>
      </c>
      <c r="J1357" t="s">
        <v>14</v>
      </c>
    </row>
    <row r="1358" spans="1:10" x14ac:dyDescent="0.35">
      <c r="A1358">
        <v>1357</v>
      </c>
      <c r="B1358" s="1" t="s">
        <v>25</v>
      </c>
      <c r="C1358">
        <v>2010</v>
      </c>
      <c r="D1358" s="4">
        <v>2.6</v>
      </c>
      <c r="E1358" s="5">
        <v>69715</v>
      </c>
      <c r="F1358" s="1" t="s">
        <v>11</v>
      </c>
      <c r="G1358" s="10">
        <v>32342.86</v>
      </c>
      <c r="H1358" s="1" t="s">
        <v>26</v>
      </c>
      <c r="I1358" t="s">
        <v>52</v>
      </c>
      <c r="J1358" t="s">
        <v>22</v>
      </c>
    </row>
    <row r="1359" spans="1:10" x14ac:dyDescent="0.35">
      <c r="A1359">
        <v>1358</v>
      </c>
      <c r="B1359" s="1" t="s">
        <v>25</v>
      </c>
      <c r="C1359">
        <v>2013</v>
      </c>
      <c r="D1359" s="4">
        <v>3</v>
      </c>
      <c r="E1359" s="5">
        <v>73366</v>
      </c>
      <c r="F1359" s="1" t="s">
        <v>15</v>
      </c>
      <c r="G1359" s="10">
        <v>28598.53</v>
      </c>
      <c r="H1359" s="1" t="s">
        <v>26</v>
      </c>
      <c r="I1359" t="s">
        <v>51</v>
      </c>
      <c r="J1359" t="s">
        <v>22</v>
      </c>
    </row>
    <row r="1360" spans="1:10" x14ac:dyDescent="0.35">
      <c r="A1360">
        <v>1359</v>
      </c>
      <c r="B1360" s="1" t="s">
        <v>25</v>
      </c>
      <c r="C1360">
        <v>2018</v>
      </c>
      <c r="D1360" s="4">
        <v>2.2000000000000002</v>
      </c>
      <c r="E1360" s="5">
        <v>37570</v>
      </c>
      <c r="F1360" s="1" t="s">
        <v>11</v>
      </c>
      <c r="G1360" s="10">
        <v>70055.56</v>
      </c>
      <c r="H1360" s="1" t="s">
        <v>26</v>
      </c>
      <c r="I1360" t="s">
        <v>53</v>
      </c>
      <c r="J1360" t="s">
        <v>22</v>
      </c>
    </row>
    <row r="1361" spans="1:10" x14ac:dyDescent="0.35">
      <c r="A1361">
        <v>1360</v>
      </c>
      <c r="B1361" s="1" t="s">
        <v>10</v>
      </c>
      <c r="C1361">
        <v>2010</v>
      </c>
      <c r="D1361" s="4">
        <v>1.5</v>
      </c>
      <c r="E1361" s="5">
        <v>137687</v>
      </c>
      <c r="F1361" s="1" t="s">
        <v>16</v>
      </c>
      <c r="G1361" s="10">
        <v>22743.84</v>
      </c>
      <c r="H1361" s="1" t="s">
        <v>19</v>
      </c>
      <c r="I1361" t="s">
        <v>13</v>
      </c>
      <c r="J1361" t="s">
        <v>14</v>
      </c>
    </row>
    <row r="1362" spans="1:10" x14ac:dyDescent="0.35">
      <c r="A1362">
        <v>1361</v>
      </c>
      <c r="B1362" s="1" t="s">
        <v>27</v>
      </c>
      <c r="C1362">
        <v>2012</v>
      </c>
      <c r="D1362" s="4">
        <v>1.9</v>
      </c>
      <c r="E1362" s="5">
        <v>38311</v>
      </c>
      <c r="F1362" s="1" t="s">
        <v>11</v>
      </c>
      <c r="G1362" s="10">
        <v>56596.24</v>
      </c>
      <c r="H1362" s="1" t="s">
        <v>37</v>
      </c>
      <c r="I1362" t="s">
        <v>52</v>
      </c>
      <c r="J1362" t="s">
        <v>14</v>
      </c>
    </row>
    <row r="1363" spans="1:10" x14ac:dyDescent="0.35">
      <c r="A1363">
        <v>1362</v>
      </c>
      <c r="B1363" s="1" t="s">
        <v>27</v>
      </c>
      <c r="C1363">
        <v>2013</v>
      </c>
      <c r="D1363" s="4">
        <v>5</v>
      </c>
      <c r="E1363" s="5">
        <v>103187</v>
      </c>
      <c r="F1363" s="1" t="s">
        <v>15</v>
      </c>
      <c r="G1363" s="10">
        <v>98710.52</v>
      </c>
      <c r="H1363" s="1" t="s">
        <v>40</v>
      </c>
      <c r="I1363" t="s">
        <v>53</v>
      </c>
      <c r="J1363" t="s">
        <v>22</v>
      </c>
    </row>
    <row r="1364" spans="1:10" x14ac:dyDescent="0.35">
      <c r="A1364">
        <v>1363</v>
      </c>
      <c r="B1364" s="1" t="s">
        <v>25</v>
      </c>
      <c r="C1364">
        <v>2012</v>
      </c>
      <c r="D1364" s="4">
        <v>4.4000000000000004</v>
      </c>
      <c r="E1364" s="5">
        <v>285578</v>
      </c>
      <c r="F1364" s="1" t="s">
        <v>16</v>
      </c>
      <c r="G1364" s="10">
        <v>46076.33</v>
      </c>
      <c r="H1364" s="1" t="s">
        <v>44</v>
      </c>
      <c r="I1364" t="s">
        <v>52</v>
      </c>
      <c r="J1364" t="s">
        <v>14</v>
      </c>
    </row>
    <row r="1365" spans="1:10" x14ac:dyDescent="0.35">
      <c r="A1365">
        <v>1364</v>
      </c>
      <c r="B1365" s="1" t="s">
        <v>20</v>
      </c>
      <c r="C1365">
        <v>2000</v>
      </c>
      <c r="D1365" s="4">
        <v>3.7</v>
      </c>
      <c r="E1365" s="5">
        <v>86879</v>
      </c>
      <c r="F1365" s="1" t="s">
        <v>15</v>
      </c>
      <c r="G1365" s="10">
        <v>65977.95</v>
      </c>
      <c r="H1365" s="1" t="s">
        <v>46</v>
      </c>
      <c r="I1365" t="s">
        <v>51</v>
      </c>
      <c r="J1365" t="s">
        <v>22</v>
      </c>
    </row>
    <row r="1366" spans="1:10" x14ac:dyDescent="0.35">
      <c r="A1366">
        <v>1365</v>
      </c>
      <c r="B1366" s="1" t="s">
        <v>23</v>
      </c>
      <c r="C1366">
        <v>2007</v>
      </c>
      <c r="D1366" s="4">
        <v>3.4</v>
      </c>
      <c r="E1366" s="5">
        <v>15739</v>
      </c>
      <c r="F1366" s="1" t="s">
        <v>15</v>
      </c>
      <c r="G1366" s="10">
        <v>97090.31</v>
      </c>
      <c r="H1366" s="1" t="s">
        <v>34</v>
      </c>
      <c r="I1366" t="s">
        <v>13</v>
      </c>
      <c r="J1366" t="s">
        <v>14</v>
      </c>
    </row>
    <row r="1367" spans="1:10" x14ac:dyDescent="0.35">
      <c r="A1367">
        <v>1366</v>
      </c>
      <c r="B1367" s="1" t="s">
        <v>10</v>
      </c>
      <c r="C1367">
        <v>2011</v>
      </c>
      <c r="D1367" s="4">
        <v>5.6</v>
      </c>
      <c r="E1367" s="5">
        <v>66202</v>
      </c>
      <c r="F1367" s="1" t="s">
        <v>11</v>
      </c>
      <c r="G1367" s="10">
        <v>18075.7</v>
      </c>
      <c r="H1367" s="1" t="s">
        <v>17</v>
      </c>
      <c r="I1367" t="s">
        <v>13</v>
      </c>
      <c r="J1367" t="s">
        <v>14</v>
      </c>
    </row>
    <row r="1368" spans="1:10" x14ac:dyDescent="0.35">
      <c r="A1368">
        <v>1367</v>
      </c>
      <c r="B1368" s="1" t="s">
        <v>23</v>
      </c>
      <c r="C1368">
        <v>2018</v>
      </c>
      <c r="D1368" s="4">
        <v>1.4</v>
      </c>
      <c r="E1368" s="5">
        <v>98580</v>
      </c>
      <c r="F1368" s="1" t="s">
        <v>11</v>
      </c>
      <c r="G1368" s="10">
        <v>44767.67</v>
      </c>
      <c r="H1368" s="1" t="s">
        <v>32</v>
      </c>
      <c r="I1368" t="s">
        <v>13</v>
      </c>
      <c r="J1368" t="s">
        <v>14</v>
      </c>
    </row>
    <row r="1369" spans="1:10" x14ac:dyDescent="0.35">
      <c r="A1369">
        <v>1368</v>
      </c>
      <c r="B1369" s="1" t="s">
        <v>23</v>
      </c>
      <c r="C1369">
        <v>2011</v>
      </c>
      <c r="D1369" s="4">
        <v>2.4</v>
      </c>
      <c r="E1369" s="5">
        <v>224491</v>
      </c>
      <c r="F1369" s="1" t="s">
        <v>15</v>
      </c>
      <c r="G1369" s="10">
        <v>85768.28</v>
      </c>
      <c r="H1369" s="1" t="s">
        <v>32</v>
      </c>
      <c r="I1369" t="s">
        <v>13</v>
      </c>
      <c r="J1369" t="s">
        <v>22</v>
      </c>
    </row>
    <row r="1370" spans="1:10" x14ac:dyDescent="0.35">
      <c r="A1370">
        <v>1369</v>
      </c>
      <c r="B1370" s="1" t="s">
        <v>27</v>
      </c>
      <c r="C1370">
        <v>2007</v>
      </c>
      <c r="D1370" s="4">
        <v>2.7</v>
      </c>
      <c r="E1370" s="5">
        <v>79599</v>
      </c>
      <c r="F1370" s="1" t="s">
        <v>15</v>
      </c>
      <c r="G1370" s="10">
        <v>93569.04</v>
      </c>
      <c r="H1370" s="1" t="s">
        <v>40</v>
      </c>
      <c r="I1370" t="s">
        <v>52</v>
      </c>
      <c r="J1370" t="s">
        <v>22</v>
      </c>
    </row>
    <row r="1371" spans="1:10" x14ac:dyDescent="0.35">
      <c r="A1371">
        <v>1370</v>
      </c>
      <c r="B1371" s="1" t="s">
        <v>27</v>
      </c>
      <c r="C1371">
        <v>2007</v>
      </c>
      <c r="D1371" s="4">
        <v>4.9000000000000004</v>
      </c>
      <c r="E1371" s="5">
        <v>164721</v>
      </c>
      <c r="F1371" s="1" t="s">
        <v>16</v>
      </c>
      <c r="G1371" s="10">
        <v>62117.43</v>
      </c>
      <c r="H1371" s="1" t="s">
        <v>40</v>
      </c>
      <c r="I1371" t="s">
        <v>13</v>
      </c>
      <c r="J1371" t="s">
        <v>22</v>
      </c>
    </row>
    <row r="1372" spans="1:10" x14ac:dyDescent="0.35">
      <c r="A1372">
        <v>1371</v>
      </c>
      <c r="B1372" s="1" t="s">
        <v>20</v>
      </c>
      <c r="C1372">
        <v>2020</v>
      </c>
      <c r="D1372" s="4">
        <v>6</v>
      </c>
      <c r="E1372" s="5">
        <v>231436</v>
      </c>
      <c r="F1372" s="1" t="s">
        <v>15</v>
      </c>
      <c r="G1372" s="10">
        <v>18624.96</v>
      </c>
      <c r="H1372" s="1" t="s">
        <v>39</v>
      </c>
      <c r="I1372" t="s">
        <v>52</v>
      </c>
      <c r="J1372" t="s">
        <v>22</v>
      </c>
    </row>
    <row r="1373" spans="1:10" x14ac:dyDescent="0.35">
      <c r="A1373">
        <v>1372</v>
      </c>
      <c r="B1373" s="1" t="s">
        <v>23</v>
      </c>
      <c r="C1373">
        <v>2012</v>
      </c>
      <c r="D1373" s="4">
        <v>2.2000000000000002</v>
      </c>
      <c r="E1373" s="5">
        <v>116770</v>
      </c>
      <c r="F1373" s="1" t="s">
        <v>15</v>
      </c>
      <c r="G1373" s="10">
        <v>90639.8</v>
      </c>
      <c r="H1373" s="1" t="s">
        <v>34</v>
      </c>
      <c r="I1373" t="s">
        <v>53</v>
      </c>
      <c r="J1373" t="s">
        <v>14</v>
      </c>
    </row>
    <row r="1374" spans="1:10" x14ac:dyDescent="0.35">
      <c r="A1374">
        <v>1373</v>
      </c>
      <c r="B1374" s="1" t="s">
        <v>23</v>
      </c>
      <c r="C1374">
        <v>2011</v>
      </c>
      <c r="D1374" s="4">
        <v>5.4</v>
      </c>
      <c r="E1374" s="5">
        <v>179693</v>
      </c>
      <c r="F1374" s="1" t="s">
        <v>11</v>
      </c>
      <c r="G1374" s="10">
        <v>21572.42</v>
      </c>
      <c r="H1374" s="1" t="s">
        <v>42</v>
      </c>
      <c r="I1374" t="s">
        <v>13</v>
      </c>
      <c r="J1374" t="s">
        <v>14</v>
      </c>
    </row>
    <row r="1375" spans="1:10" x14ac:dyDescent="0.35">
      <c r="A1375">
        <v>1374</v>
      </c>
      <c r="B1375" s="1" t="s">
        <v>25</v>
      </c>
      <c r="C1375">
        <v>2015</v>
      </c>
      <c r="D1375" s="4">
        <v>5.2</v>
      </c>
      <c r="E1375" s="5">
        <v>261051</v>
      </c>
      <c r="F1375" s="1" t="s">
        <v>15</v>
      </c>
      <c r="G1375" s="10">
        <v>38523.4</v>
      </c>
      <c r="H1375" s="1" t="s">
        <v>49</v>
      </c>
      <c r="I1375" t="s">
        <v>52</v>
      </c>
      <c r="J1375" t="s">
        <v>14</v>
      </c>
    </row>
    <row r="1376" spans="1:10" x14ac:dyDescent="0.35">
      <c r="A1376">
        <v>1375</v>
      </c>
      <c r="B1376" s="1" t="s">
        <v>27</v>
      </c>
      <c r="C1376">
        <v>2000</v>
      </c>
      <c r="D1376" s="4">
        <v>2.1</v>
      </c>
      <c r="E1376" s="5">
        <v>114300</v>
      </c>
      <c r="F1376" s="1" t="s">
        <v>15</v>
      </c>
      <c r="G1376" s="10">
        <v>40673.26</v>
      </c>
      <c r="H1376" s="1" t="s">
        <v>28</v>
      </c>
      <c r="I1376" t="s">
        <v>13</v>
      </c>
      <c r="J1376" t="s">
        <v>14</v>
      </c>
    </row>
    <row r="1377" spans="1:10" x14ac:dyDescent="0.35">
      <c r="A1377">
        <v>1376</v>
      </c>
      <c r="B1377" s="1" t="s">
        <v>23</v>
      </c>
      <c r="C1377">
        <v>2012</v>
      </c>
      <c r="D1377" s="4">
        <v>3</v>
      </c>
      <c r="E1377" s="5">
        <v>191012</v>
      </c>
      <c r="F1377" s="1" t="s">
        <v>11</v>
      </c>
      <c r="G1377" s="10">
        <v>47492.7</v>
      </c>
      <c r="H1377" s="1" t="s">
        <v>32</v>
      </c>
      <c r="I1377" t="s">
        <v>13</v>
      </c>
      <c r="J1377" t="s">
        <v>22</v>
      </c>
    </row>
    <row r="1378" spans="1:10" x14ac:dyDescent="0.35">
      <c r="A1378">
        <v>1377</v>
      </c>
      <c r="B1378" s="1" t="s">
        <v>29</v>
      </c>
      <c r="C1378">
        <v>2006</v>
      </c>
      <c r="D1378" s="4">
        <v>3</v>
      </c>
      <c r="E1378" s="5">
        <v>171796</v>
      </c>
      <c r="F1378" s="1" t="s">
        <v>16</v>
      </c>
      <c r="G1378" s="10">
        <v>80065.75</v>
      </c>
      <c r="H1378" s="1" t="s">
        <v>38</v>
      </c>
      <c r="I1378" t="s">
        <v>13</v>
      </c>
      <c r="J1378" t="s">
        <v>14</v>
      </c>
    </row>
    <row r="1379" spans="1:10" x14ac:dyDescent="0.35">
      <c r="A1379">
        <v>1378</v>
      </c>
      <c r="B1379" s="1" t="s">
        <v>20</v>
      </c>
      <c r="C1379">
        <v>2004</v>
      </c>
      <c r="D1379" s="4">
        <v>5.9</v>
      </c>
      <c r="E1379" s="5">
        <v>162776</v>
      </c>
      <c r="F1379" s="1" t="s">
        <v>11</v>
      </c>
      <c r="G1379" s="10">
        <v>81203.72</v>
      </c>
      <c r="H1379" s="1" t="s">
        <v>46</v>
      </c>
      <c r="I1379" t="s">
        <v>52</v>
      </c>
      <c r="J1379" t="s">
        <v>22</v>
      </c>
    </row>
    <row r="1380" spans="1:10" x14ac:dyDescent="0.35">
      <c r="A1380">
        <v>1379</v>
      </c>
      <c r="B1380" s="1" t="s">
        <v>29</v>
      </c>
      <c r="C1380">
        <v>2007</v>
      </c>
      <c r="D1380" s="4">
        <v>1.9</v>
      </c>
      <c r="E1380" s="5">
        <v>241942</v>
      </c>
      <c r="F1380" s="1" t="s">
        <v>11</v>
      </c>
      <c r="G1380" s="10">
        <v>73367.23</v>
      </c>
      <c r="H1380" s="1" t="s">
        <v>43</v>
      </c>
      <c r="I1380" t="s">
        <v>51</v>
      </c>
      <c r="J1380" t="s">
        <v>14</v>
      </c>
    </row>
    <row r="1381" spans="1:10" x14ac:dyDescent="0.35">
      <c r="A1381">
        <v>1380</v>
      </c>
      <c r="B1381" s="1" t="s">
        <v>29</v>
      </c>
      <c r="C1381">
        <v>2013</v>
      </c>
      <c r="D1381" s="4">
        <v>5</v>
      </c>
      <c r="E1381" s="5">
        <v>2526</v>
      </c>
      <c r="F1381" s="1" t="s">
        <v>15</v>
      </c>
      <c r="G1381" s="10">
        <v>7102.22</v>
      </c>
      <c r="H1381" s="1" t="s">
        <v>43</v>
      </c>
      <c r="I1381" t="s">
        <v>13</v>
      </c>
      <c r="J1381" t="s">
        <v>14</v>
      </c>
    </row>
    <row r="1382" spans="1:10" x14ac:dyDescent="0.35">
      <c r="A1382">
        <v>1381</v>
      </c>
      <c r="B1382" s="1" t="s">
        <v>10</v>
      </c>
      <c r="C1382">
        <v>2022</v>
      </c>
      <c r="D1382" s="4">
        <v>2.7</v>
      </c>
      <c r="E1382" s="5">
        <v>268718</v>
      </c>
      <c r="F1382" s="1" t="s">
        <v>15</v>
      </c>
      <c r="G1382" s="10">
        <v>58660.28</v>
      </c>
      <c r="H1382" s="1" t="s">
        <v>18</v>
      </c>
      <c r="I1382" t="s">
        <v>13</v>
      </c>
      <c r="J1382" t="s">
        <v>14</v>
      </c>
    </row>
    <row r="1383" spans="1:10" x14ac:dyDescent="0.35">
      <c r="A1383">
        <v>1382</v>
      </c>
      <c r="B1383" s="1" t="s">
        <v>10</v>
      </c>
      <c r="C1383">
        <v>2012</v>
      </c>
      <c r="D1383" s="4">
        <v>4.7</v>
      </c>
      <c r="E1383" s="5">
        <v>270877</v>
      </c>
      <c r="F1383" s="1" t="s">
        <v>16</v>
      </c>
      <c r="G1383" s="10">
        <v>76011.83</v>
      </c>
      <c r="H1383" s="1" t="s">
        <v>17</v>
      </c>
      <c r="I1383" t="s">
        <v>13</v>
      </c>
      <c r="J1383" t="s">
        <v>14</v>
      </c>
    </row>
    <row r="1384" spans="1:10" x14ac:dyDescent="0.35">
      <c r="A1384">
        <v>1383</v>
      </c>
      <c r="B1384" s="1" t="s">
        <v>20</v>
      </c>
      <c r="C1384">
        <v>2014</v>
      </c>
      <c r="D1384" s="4">
        <v>3.1</v>
      </c>
      <c r="E1384" s="5">
        <v>36051</v>
      </c>
      <c r="F1384" s="1" t="s">
        <v>15</v>
      </c>
      <c r="G1384" s="10">
        <v>47239.4</v>
      </c>
      <c r="H1384" s="1" t="s">
        <v>33</v>
      </c>
      <c r="I1384" t="s">
        <v>51</v>
      </c>
      <c r="J1384" t="s">
        <v>22</v>
      </c>
    </row>
    <row r="1385" spans="1:10" x14ac:dyDescent="0.35">
      <c r="A1385">
        <v>1384</v>
      </c>
      <c r="B1385" s="1" t="s">
        <v>29</v>
      </c>
      <c r="C1385">
        <v>2022</v>
      </c>
      <c r="D1385" s="4">
        <v>3.9</v>
      </c>
      <c r="E1385" s="5">
        <v>15909</v>
      </c>
      <c r="F1385" s="1" t="s">
        <v>16</v>
      </c>
      <c r="G1385" s="10">
        <v>94768.92</v>
      </c>
      <c r="H1385" s="1" t="s">
        <v>43</v>
      </c>
      <c r="I1385" t="s">
        <v>52</v>
      </c>
      <c r="J1385" t="s">
        <v>14</v>
      </c>
    </row>
    <row r="1386" spans="1:10" x14ac:dyDescent="0.35">
      <c r="A1386">
        <v>1385</v>
      </c>
      <c r="B1386" s="1" t="s">
        <v>23</v>
      </c>
      <c r="C1386">
        <v>2016</v>
      </c>
      <c r="D1386" s="4">
        <v>5.2</v>
      </c>
      <c r="E1386" s="5">
        <v>77338</v>
      </c>
      <c r="F1386" s="1" t="s">
        <v>16</v>
      </c>
      <c r="G1386" s="10">
        <v>83262</v>
      </c>
      <c r="H1386" s="1" t="s">
        <v>34</v>
      </c>
      <c r="I1386" t="s">
        <v>53</v>
      </c>
      <c r="J1386" t="s">
        <v>14</v>
      </c>
    </row>
    <row r="1387" spans="1:10" x14ac:dyDescent="0.35">
      <c r="A1387">
        <v>1386</v>
      </c>
      <c r="B1387" s="1" t="s">
        <v>27</v>
      </c>
      <c r="C1387">
        <v>2014</v>
      </c>
      <c r="D1387" s="4">
        <v>5</v>
      </c>
      <c r="E1387" s="5">
        <v>290277</v>
      </c>
      <c r="F1387" s="1" t="s">
        <v>16</v>
      </c>
      <c r="G1387" s="10">
        <v>65624.73</v>
      </c>
      <c r="H1387" s="1" t="s">
        <v>37</v>
      </c>
      <c r="I1387" t="s">
        <v>13</v>
      </c>
      <c r="J1387" t="s">
        <v>14</v>
      </c>
    </row>
    <row r="1388" spans="1:10" x14ac:dyDescent="0.35">
      <c r="A1388">
        <v>1387</v>
      </c>
      <c r="B1388" s="1" t="s">
        <v>20</v>
      </c>
      <c r="C1388">
        <v>2019</v>
      </c>
      <c r="D1388" s="4">
        <v>5.3</v>
      </c>
      <c r="E1388" s="5">
        <v>182643</v>
      </c>
      <c r="F1388" s="1" t="s">
        <v>16</v>
      </c>
      <c r="G1388" s="10">
        <v>10930.39</v>
      </c>
      <c r="H1388" s="1" t="s">
        <v>33</v>
      </c>
      <c r="I1388" t="s">
        <v>53</v>
      </c>
      <c r="J1388" t="s">
        <v>22</v>
      </c>
    </row>
    <row r="1389" spans="1:10" x14ac:dyDescent="0.35">
      <c r="A1389">
        <v>1388</v>
      </c>
      <c r="B1389" s="1" t="s">
        <v>25</v>
      </c>
      <c r="C1389">
        <v>2017</v>
      </c>
      <c r="D1389" s="4">
        <v>1.3</v>
      </c>
      <c r="E1389" s="5">
        <v>79062</v>
      </c>
      <c r="F1389" s="1" t="s">
        <v>15</v>
      </c>
      <c r="G1389" s="10">
        <v>66972.89</v>
      </c>
      <c r="H1389" s="1" t="s">
        <v>44</v>
      </c>
      <c r="I1389" t="s">
        <v>53</v>
      </c>
      <c r="J1389" t="s">
        <v>22</v>
      </c>
    </row>
    <row r="1390" spans="1:10" x14ac:dyDescent="0.35">
      <c r="A1390">
        <v>1389</v>
      </c>
      <c r="B1390" s="1" t="s">
        <v>29</v>
      </c>
      <c r="C1390">
        <v>2017</v>
      </c>
      <c r="D1390" s="4">
        <v>4.5</v>
      </c>
      <c r="E1390" s="5">
        <v>181980</v>
      </c>
      <c r="F1390" s="1" t="s">
        <v>11</v>
      </c>
      <c r="G1390" s="10">
        <v>91600.06</v>
      </c>
      <c r="H1390" s="1" t="s">
        <v>31</v>
      </c>
      <c r="I1390" t="s">
        <v>13</v>
      </c>
      <c r="J1390" t="s">
        <v>22</v>
      </c>
    </row>
    <row r="1391" spans="1:10" x14ac:dyDescent="0.35">
      <c r="A1391">
        <v>1390</v>
      </c>
      <c r="B1391" s="1" t="s">
        <v>20</v>
      </c>
      <c r="C1391">
        <v>2001</v>
      </c>
      <c r="D1391" s="4">
        <v>1.7</v>
      </c>
      <c r="E1391" s="5">
        <v>51458</v>
      </c>
      <c r="F1391" s="1" t="s">
        <v>11</v>
      </c>
      <c r="G1391" s="10">
        <v>41047.31</v>
      </c>
      <c r="H1391" s="1" t="s">
        <v>21</v>
      </c>
      <c r="I1391" t="s">
        <v>51</v>
      </c>
      <c r="J1391" t="s">
        <v>14</v>
      </c>
    </row>
    <row r="1392" spans="1:10" x14ac:dyDescent="0.35">
      <c r="A1392">
        <v>1391</v>
      </c>
      <c r="B1392" s="1" t="s">
        <v>35</v>
      </c>
      <c r="C1392">
        <v>2003</v>
      </c>
      <c r="D1392" s="4">
        <v>3.1</v>
      </c>
      <c r="E1392" s="5">
        <v>222159</v>
      </c>
      <c r="F1392" s="1" t="s">
        <v>15</v>
      </c>
      <c r="G1392" s="10">
        <v>84622.59</v>
      </c>
      <c r="H1392" s="1" t="s">
        <v>36</v>
      </c>
      <c r="I1392" t="s">
        <v>51</v>
      </c>
      <c r="J1392" t="s">
        <v>22</v>
      </c>
    </row>
    <row r="1393" spans="1:10" x14ac:dyDescent="0.35">
      <c r="A1393">
        <v>1392</v>
      </c>
      <c r="B1393" s="1" t="s">
        <v>35</v>
      </c>
      <c r="C1393">
        <v>2000</v>
      </c>
      <c r="D1393" s="4">
        <v>3.7</v>
      </c>
      <c r="E1393" s="5">
        <v>287442</v>
      </c>
      <c r="F1393" s="1" t="s">
        <v>15</v>
      </c>
      <c r="G1393" s="10">
        <v>34750.31</v>
      </c>
      <c r="H1393" s="1" t="s">
        <v>45</v>
      </c>
      <c r="I1393" t="s">
        <v>53</v>
      </c>
      <c r="J1393" t="s">
        <v>14</v>
      </c>
    </row>
    <row r="1394" spans="1:10" x14ac:dyDescent="0.35">
      <c r="A1394">
        <v>1393</v>
      </c>
      <c r="B1394" s="1" t="s">
        <v>10</v>
      </c>
      <c r="C1394">
        <v>2003</v>
      </c>
      <c r="D1394" s="4">
        <v>3</v>
      </c>
      <c r="E1394" s="5">
        <v>231946</v>
      </c>
      <c r="F1394" s="1" t="s">
        <v>16</v>
      </c>
      <c r="G1394" s="10">
        <v>59159.81</v>
      </c>
      <c r="H1394" s="1" t="s">
        <v>12</v>
      </c>
      <c r="I1394" t="s">
        <v>13</v>
      </c>
      <c r="J1394" t="s">
        <v>14</v>
      </c>
    </row>
    <row r="1395" spans="1:10" x14ac:dyDescent="0.35">
      <c r="A1395">
        <v>1394</v>
      </c>
      <c r="B1395" s="1" t="s">
        <v>27</v>
      </c>
      <c r="C1395">
        <v>2017</v>
      </c>
      <c r="D1395" s="4">
        <v>3.6</v>
      </c>
      <c r="E1395" s="5">
        <v>153263</v>
      </c>
      <c r="F1395" s="1" t="s">
        <v>15</v>
      </c>
      <c r="G1395" s="10">
        <v>66600.320000000007</v>
      </c>
      <c r="H1395" s="1" t="s">
        <v>48</v>
      </c>
      <c r="I1395" t="s">
        <v>52</v>
      </c>
      <c r="J1395" t="s">
        <v>14</v>
      </c>
    </row>
    <row r="1396" spans="1:10" x14ac:dyDescent="0.35">
      <c r="A1396">
        <v>1395</v>
      </c>
      <c r="B1396" s="1" t="s">
        <v>23</v>
      </c>
      <c r="C1396">
        <v>2004</v>
      </c>
      <c r="D1396" s="4">
        <v>6</v>
      </c>
      <c r="E1396" s="5">
        <v>164164</v>
      </c>
      <c r="F1396" s="1" t="s">
        <v>11</v>
      </c>
      <c r="G1396" s="10">
        <v>69409.53</v>
      </c>
      <c r="H1396" s="1" t="s">
        <v>34</v>
      </c>
      <c r="I1396" t="s">
        <v>53</v>
      </c>
      <c r="J1396" t="s">
        <v>14</v>
      </c>
    </row>
    <row r="1397" spans="1:10" x14ac:dyDescent="0.35">
      <c r="A1397">
        <v>1396</v>
      </c>
      <c r="B1397" s="1" t="s">
        <v>27</v>
      </c>
      <c r="C1397">
        <v>2018</v>
      </c>
      <c r="D1397" s="4">
        <v>1.7</v>
      </c>
      <c r="E1397" s="5">
        <v>89407</v>
      </c>
      <c r="F1397" s="1" t="s">
        <v>15</v>
      </c>
      <c r="G1397" s="10">
        <v>88842.18</v>
      </c>
      <c r="H1397" s="1" t="s">
        <v>37</v>
      </c>
      <c r="I1397" t="s">
        <v>52</v>
      </c>
      <c r="J1397" t="s">
        <v>22</v>
      </c>
    </row>
    <row r="1398" spans="1:10" x14ac:dyDescent="0.35">
      <c r="A1398">
        <v>1397</v>
      </c>
      <c r="B1398" s="1" t="s">
        <v>27</v>
      </c>
      <c r="C1398">
        <v>2014</v>
      </c>
      <c r="D1398" s="4">
        <v>4.4000000000000004</v>
      </c>
      <c r="E1398" s="5">
        <v>206329</v>
      </c>
      <c r="F1398" s="1" t="s">
        <v>15</v>
      </c>
      <c r="G1398" s="10">
        <v>27289.119999999999</v>
      </c>
      <c r="H1398" s="1" t="s">
        <v>48</v>
      </c>
      <c r="I1398" t="s">
        <v>53</v>
      </c>
      <c r="J1398" t="s">
        <v>14</v>
      </c>
    </row>
    <row r="1399" spans="1:10" x14ac:dyDescent="0.35">
      <c r="A1399">
        <v>1398</v>
      </c>
      <c r="B1399" s="1" t="s">
        <v>27</v>
      </c>
      <c r="C1399">
        <v>2007</v>
      </c>
      <c r="D1399" s="4">
        <v>3</v>
      </c>
      <c r="E1399" s="5">
        <v>62513</v>
      </c>
      <c r="F1399" s="1" t="s">
        <v>16</v>
      </c>
      <c r="G1399" s="10">
        <v>29925.11</v>
      </c>
      <c r="H1399" s="1" t="s">
        <v>40</v>
      </c>
      <c r="I1399" t="s">
        <v>53</v>
      </c>
      <c r="J1399" t="s">
        <v>14</v>
      </c>
    </row>
    <row r="1400" spans="1:10" x14ac:dyDescent="0.35">
      <c r="A1400">
        <v>1399</v>
      </c>
      <c r="B1400" s="1" t="s">
        <v>27</v>
      </c>
      <c r="C1400">
        <v>2019</v>
      </c>
      <c r="D1400" s="4">
        <v>1.7</v>
      </c>
      <c r="E1400" s="5">
        <v>145476</v>
      </c>
      <c r="F1400" s="1" t="s">
        <v>16</v>
      </c>
      <c r="G1400" s="10">
        <v>71883.89</v>
      </c>
      <c r="H1400" s="1" t="s">
        <v>28</v>
      </c>
      <c r="I1400" t="s">
        <v>13</v>
      </c>
      <c r="J1400" t="s">
        <v>14</v>
      </c>
    </row>
    <row r="1401" spans="1:10" x14ac:dyDescent="0.35">
      <c r="A1401">
        <v>1400</v>
      </c>
      <c r="B1401" s="1" t="s">
        <v>25</v>
      </c>
      <c r="C1401">
        <v>2016</v>
      </c>
      <c r="D1401" s="4">
        <v>1.8</v>
      </c>
      <c r="E1401" s="5">
        <v>35198</v>
      </c>
      <c r="F1401" s="1" t="s">
        <v>16</v>
      </c>
      <c r="G1401" s="10">
        <v>21833.41</v>
      </c>
      <c r="H1401" s="1" t="s">
        <v>26</v>
      </c>
      <c r="I1401" t="s">
        <v>13</v>
      </c>
      <c r="J1401" t="s">
        <v>22</v>
      </c>
    </row>
    <row r="1402" spans="1:10" x14ac:dyDescent="0.35">
      <c r="A1402">
        <v>1401</v>
      </c>
      <c r="B1402" s="1" t="s">
        <v>25</v>
      </c>
      <c r="C1402">
        <v>2000</v>
      </c>
      <c r="D1402" s="4">
        <v>5.7</v>
      </c>
      <c r="E1402" s="5">
        <v>225295</v>
      </c>
      <c r="F1402" s="1" t="s">
        <v>16</v>
      </c>
      <c r="G1402" s="10">
        <v>49105.69</v>
      </c>
      <c r="H1402" s="1" t="s">
        <v>44</v>
      </c>
      <c r="I1402" t="s">
        <v>52</v>
      </c>
      <c r="J1402" t="s">
        <v>14</v>
      </c>
    </row>
    <row r="1403" spans="1:10" x14ac:dyDescent="0.35">
      <c r="A1403">
        <v>1402</v>
      </c>
      <c r="B1403" s="1" t="s">
        <v>10</v>
      </c>
      <c r="C1403">
        <v>2011</v>
      </c>
      <c r="D1403" s="4">
        <v>5.4</v>
      </c>
      <c r="E1403" s="5">
        <v>264323</v>
      </c>
      <c r="F1403" s="1" t="s">
        <v>11</v>
      </c>
      <c r="G1403" s="10">
        <v>6903.27</v>
      </c>
      <c r="H1403" s="1" t="s">
        <v>17</v>
      </c>
      <c r="I1403" t="s">
        <v>13</v>
      </c>
      <c r="J1403" t="s">
        <v>14</v>
      </c>
    </row>
    <row r="1404" spans="1:10" x14ac:dyDescent="0.35">
      <c r="A1404">
        <v>1403</v>
      </c>
      <c r="B1404" s="1" t="s">
        <v>20</v>
      </c>
      <c r="C1404">
        <v>2018</v>
      </c>
      <c r="D1404" s="4">
        <v>5.5</v>
      </c>
      <c r="E1404" s="5">
        <v>2019</v>
      </c>
      <c r="F1404" s="1" t="s">
        <v>15</v>
      </c>
      <c r="G1404" s="10">
        <v>18393.04</v>
      </c>
      <c r="H1404" s="1" t="s">
        <v>21</v>
      </c>
      <c r="I1404" t="s">
        <v>51</v>
      </c>
      <c r="J1404" t="s">
        <v>22</v>
      </c>
    </row>
    <row r="1405" spans="1:10" x14ac:dyDescent="0.35">
      <c r="A1405">
        <v>1404</v>
      </c>
      <c r="B1405" s="1" t="s">
        <v>35</v>
      </c>
      <c r="C1405">
        <v>2014</v>
      </c>
      <c r="D1405" s="4">
        <v>6</v>
      </c>
      <c r="E1405" s="5">
        <v>81455</v>
      </c>
      <c r="F1405" s="1" t="s">
        <v>15</v>
      </c>
      <c r="G1405" s="10">
        <v>69490.41</v>
      </c>
      <c r="H1405" s="1" t="s">
        <v>45</v>
      </c>
      <c r="I1405" t="s">
        <v>13</v>
      </c>
      <c r="J1405" t="s">
        <v>14</v>
      </c>
    </row>
    <row r="1406" spans="1:10" x14ac:dyDescent="0.35">
      <c r="A1406">
        <v>1405</v>
      </c>
      <c r="B1406" s="1" t="s">
        <v>27</v>
      </c>
      <c r="C1406">
        <v>2008</v>
      </c>
      <c r="D1406" s="4">
        <v>2</v>
      </c>
      <c r="E1406" s="5">
        <v>216311</v>
      </c>
      <c r="F1406" s="1" t="s">
        <v>16</v>
      </c>
      <c r="G1406" s="10">
        <v>76008.850000000006</v>
      </c>
      <c r="H1406" s="1" t="s">
        <v>37</v>
      </c>
      <c r="I1406" t="s">
        <v>53</v>
      </c>
      <c r="J1406" t="s">
        <v>22</v>
      </c>
    </row>
    <row r="1407" spans="1:10" x14ac:dyDescent="0.35">
      <c r="A1407">
        <v>1406</v>
      </c>
      <c r="B1407" s="1" t="s">
        <v>10</v>
      </c>
      <c r="C1407">
        <v>2006</v>
      </c>
      <c r="D1407" s="4">
        <v>2.8</v>
      </c>
      <c r="E1407" s="5">
        <v>149776</v>
      </c>
      <c r="F1407" s="1" t="s">
        <v>11</v>
      </c>
      <c r="G1407" s="10">
        <v>15955.31</v>
      </c>
      <c r="H1407" s="1" t="s">
        <v>19</v>
      </c>
      <c r="I1407" t="s">
        <v>13</v>
      </c>
      <c r="J1407" t="s">
        <v>14</v>
      </c>
    </row>
    <row r="1408" spans="1:10" x14ac:dyDescent="0.35">
      <c r="A1408">
        <v>1407</v>
      </c>
      <c r="B1408" s="1" t="s">
        <v>20</v>
      </c>
      <c r="C1408">
        <v>2001</v>
      </c>
      <c r="D1408" s="4">
        <v>4.3</v>
      </c>
      <c r="E1408" s="5">
        <v>149102</v>
      </c>
      <c r="F1408" s="1" t="s">
        <v>11</v>
      </c>
      <c r="G1408" s="10">
        <v>26632.41</v>
      </c>
      <c r="H1408" s="1" t="s">
        <v>39</v>
      </c>
      <c r="I1408" t="s">
        <v>51</v>
      </c>
      <c r="J1408" t="s">
        <v>22</v>
      </c>
    </row>
    <row r="1409" spans="1:10" x14ac:dyDescent="0.35">
      <c r="A1409">
        <v>1408</v>
      </c>
      <c r="B1409" s="1" t="s">
        <v>35</v>
      </c>
      <c r="C1409">
        <v>2008</v>
      </c>
      <c r="D1409" s="4">
        <v>3.4</v>
      </c>
      <c r="E1409" s="5">
        <v>3420</v>
      </c>
      <c r="F1409" s="1" t="s">
        <v>15</v>
      </c>
      <c r="G1409" s="10">
        <v>14395.92</v>
      </c>
      <c r="H1409" s="1" t="s">
        <v>45</v>
      </c>
      <c r="I1409" t="s">
        <v>13</v>
      </c>
      <c r="J1409" t="s">
        <v>14</v>
      </c>
    </row>
    <row r="1410" spans="1:10" x14ac:dyDescent="0.35">
      <c r="A1410">
        <v>1409</v>
      </c>
      <c r="B1410" s="1" t="s">
        <v>29</v>
      </c>
      <c r="C1410">
        <v>2009</v>
      </c>
      <c r="D1410" s="4">
        <v>3.1</v>
      </c>
      <c r="E1410" s="5">
        <v>178725</v>
      </c>
      <c r="F1410" s="1" t="s">
        <v>16</v>
      </c>
      <c r="G1410" s="10">
        <v>46174.22</v>
      </c>
      <c r="H1410" s="1" t="s">
        <v>31</v>
      </c>
      <c r="I1410" t="s">
        <v>53</v>
      </c>
      <c r="J1410" t="s">
        <v>22</v>
      </c>
    </row>
    <row r="1411" spans="1:10" x14ac:dyDescent="0.35">
      <c r="A1411">
        <v>1410</v>
      </c>
      <c r="B1411" s="1" t="s">
        <v>23</v>
      </c>
      <c r="C1411">
        <v>2001</v>
      </c>
      <c r="D1411" s="4">
        <v>2.8</v>
      </c>
      <c r="E1411" s="5">
        <v>16740</v>
      </c>
      <c r="F1411" s="1" t="s">
        <v>15</v>
      </c>
      <c r="G1411" s="10">
        <v>16981.03</v>
      </c>
      <c r="H1411" s="1" t="s">
        <v>32</v>
      </c>
      <c r="I1411" t="s">
        <v>51</v>
      </c>
      <c r="J1411" t="s">
        <v>14</v>
      </c>
    </row>
    <row r="1412" spans="1:10" x14ac:dyDescent="0.35">
      <c r="A1412">
        <v>1411</v>
      </c>
      <c r="B1412" s="1" t="s">
        <v>25</v>
      </c>
      <c r="C1412">
        <v>2018</v>
      </c>
      <c r="D1412" s="4">
        <v>4</v>
      </c>
      <c r="E1412" s="5">
        <v>105789</v>
      </c>
      <c r="F1412" s="1" t="s">
        <v>15</v>
      </c>
      <c r="G1412" s="10">
        <v>46543.12</v>
      </c>
      <c r="H1412" s="1" t="s">
        <v>26</v>
      </c>
      <c r="I1412" t="s">
        <v>51</v>
      </c>
      <c r="J1412" t="s">
        <v>14</v>
      </c>
    </row>
    <row r="1413" spans="1:10" x14ac:dyDescent="0.35">
      <c r="A1413">
        <v>1412</v>
      </c>
      <c r="B1413" s="1" t="s">
        <v>29</v>
      </c>
      <c r="C1413">
        <v>2010</v>
      </c>
      <c r="D1413" s="4">
        <v>3.9</v>
      </c>
      <c r="E1413" s="5">
        <v>19465</v>
      </c>
      <c r="F1413" s="1" t="s">
        <v>11</v>
      </c>
      <c r="G1413" s="10">
        <v>74549.33</v>
      </c>
      <c r="H1413" s="1" t="s">
        <v>30</v>
      </c>
      <c r="I1413" t="s">
        <v>53</v>
      </c>
      <c r="J1413" t="s">
        <v>14</v>
      </c>
    </row>
    <row r="1414" spans="1:10" x14ac:dyDescent="0.35">
      <c r="A1414">
        <v>1413</v>
      </c>
      <c r="B1414" s="1" t="s">
        <v>35</v>
      </c>
      <c r="C1414">
        <v>2012</v>
      </c>
      <c r="D1414" s="4">
        <v>1.8</v>
      </c>
      <c r="E1414" s="5">
        <v>4131</v>
      </c>
      <c r="F1414" s="1" t="s">
        <v>11</v>
      </c>
      <c r="G1414" s="10">
        <v>69921.919999999998</v>
      </c>
      <c r="H1414" s="1" t="s">
        <v>45</v>
      </c>
      <c r="I1414" t="s">
        <v>53</v>
      </c>
      <c r="J1414" t="s">
        <v>14</v>
      </c>
    </row>
    <row r="1415" spans="1:10" x14ac:dyDescent="0.35">
      <c r="A1415">
        <v>1414</v>
      </c>
      <c r="B1415" s="1" t="s">
        <v>29</v>
      </c>
      <c r="C1415">
        <v>2009</v>
      </c>
      <c r="D1415" s="4">
        <v>3.4</v>
      </c>
      <c r="E1415" s="5">
        <v>10652</v>
      </c>
      <c r="F1415" s="1" t="s">
        <v>15</v>
      </c>
      <c r="G1415" s="10">
        <v>31643.75</v>
      </c>
      <c r="H1415" s="1" t="s">
        <v>30</v>
      </c>
      <c r="I1415" t="s">
        <v>52</v>
      </c>
      <c r="J1415" t="s">
        <v>22</v>
      </c>
    </row>
    <row r="1416" spans="1:10" x14ac:dyDescent="0.35">
      <c r="A1416">
        <v>1415</v>
      </c>
      <c r="B1416" s="1" t="s">
        <v>23</v>
      </c>
      <c r="C1416">
        <v>2013</v>
      </c>
      <c r="D1416" s="4">
        <v>3.8</v>
      </c>
      <c r="E1416" s="5">
        <v>218115</v>
      </c>
      <c r="F1416" s="1" t="s">
        <v>16</v>
      </c>
      <c r="G1416" s="10">
        <v>69007.44</v>
      </c>
      <c r="H1416" s="1" t="s">
        <v>42</v>
      </c>
      <c r="I1416" t="s">
        <v>13</v>
      </c>
      <c r="J1416" t="s">
        <v>22</v>
      </c>
    </row>
    <row r="1417" spans="1:10" x14ac:dyDescent="0.35">
      <c r="A1417">
        <v>1416</v>
      </c>
      <c r="B1417" s="1" t="s">
        <v>10</v>
      </c>
      <c r="C1417">
        <v>2017</v>
      </c>
      <c r="D1417" s="4">
        <v>3.9</v>
      </c>
      <c r="E1417" s="5">
        <v>245289</v>
      </c>
      <c r="F1417" s="1" t="s">
        <v>16</v>
      </c>
      <c r="G1417" s="10">
        <v>93132.65</v>
      </c>
      <c r="H1417" s="1" t="s">
        <v>17</v>
      </c>
      <c r="I1417" t="s">
        <v>13</v>
      </c>
      <c r="J1417" t="s">
        <v>14</v>
      </c>
    </row>
    <row r="1418" spans="1:10" x14ac:dyDescent="0.35">
      <c r="A1418">
        <v>1417</v>
      </c>
      <c r="B1418" s="1" t="s">
        <v>35</v>
      </c>
      <c r="C1418">
        <v>2018</v>
      </c>
      <c r="D1418" s="4">
        <v>2.1</v>
      </c>
      <c r="E1418" s="5">
        <v>89342</v>
      </c>
      <c r="F1418" s="1" t="s">
        <v>15</v>
      </c>
      <c r="G1418" s="10">
        <v>38014.82</v>
      </c>
      <c r="H1418" s="1" t="s">
        <v>45</v>
      </c>
      <c r="I1418" t="s">
        <v>51</v>
      </c>
      <c r="J1418" t="s">
        <v>22</v>
      </c>
    </row>
    <row r="1419" spans="1:10" x14ac:dyDescent="0.35">
      <c r="A1419">
        <v>1418</v>
      </c>
      <c r="B1419" s="1" t="s">
        <v>29</v>
      </c>
      <c r="C1419">
        <v>2021</v>
      </c>
      <c r="D1419" s="4">
        <v>4.7</v>
      </c>
      <c r="E1419" s="5">
        <v>281315</v>
      </c>
      <c r="F1419" s="1" t="s">
        <v>15</v>
      </c>
      <c r="G1419" s="10">
        <v>36266.32</v>
      </c>
      <c r="H1419" s="1" t="s">
        <v>31</v>
      </c>
      <c r="I1419" t="s">
        <v>53</v>
      </c>
      <c r="J1419" t="s">
        <v>14</v>
      </c>
    </row>
    <row r="1420" spans="1:10" x14ac:dyDescent="0.35">
      <c r="A1420">
        <v>1419</v>
      </c>
      <c r="B1420" s="1" t="s">
        <v>25</v>
      </c>
      <c r="C1420">
        <v>2008</v>
      </c>
      <c r="D1420" s="4">
        <v>1.1000000000000001</v>
      </c>
      <c r="E1420" s="5">
        <v>217201</v>
      </c>
      <c r="F1420" s="1" t="s">
        <v>16</v>
      </c>
      <c r="G1420" s="10">
        <v>59286.67</v>
      </c>
      <c r="H1420" s="1" t="s">
        <v>49</v>
      </c>
      <c r="I1420" t="s">
        <v>52</v>
      </c>
      <c r="J1420" t="s">
        <v>14</v>
      </c>
    </row>
    <row r="1421" spans="1:10" x14ac:dyDescent="0.35">
      <c r="A1421">
        <v>1420</v>
      </c>
      <c r="B1421" s="1" t="s">
        <v>25</v>
      </c>
      <c r="C1421">
        <v>2006</v>
      </c>
      <c r="D1421" s="4">
        <v>2.8</v>
      </c>
      <c r="E1421" s="5">
        <v>259820</v>
      </c>
      <c r="F1421" s="1" t="s">
        <v>16</v>
      </c>
      <c r="G1421" s="10">
        <v>28322.67</v>
      </c>
      <c r="H1421" s="1" t="s">
        <v>41</v>
      </c>
      <c r="I1421" t="s">
        <v>51</v>
      </c>
      <c r="J1421" t="s">
        <v>22</v>
      </c>
    </row>
    <row r="1422" spans="1:10" x14ac:dyDescent="0.35">
      <c r="A1422">
        <v>1421</v>
      </c>
      <c r="B1422" s="1" t="s">
        <v>20</v>
      </c>
      <c r="C1422">
        <v>2002</v>
      </c>
      <c r="D1422" s="4">
        <v>4.9000000000000004</v>
      </c>
      <c r="E1422" s="5">
        <v>186764</v>
      </c>
      <c r="F1422" s="1" t="s">
        <v>16</v>
      </c>
      <c r="G1422" s="10">
        <v>66900</v>
      </c>
      <c r="H1422" s="1" t="s">
        <v>39</v>
      </c>
      <c r="I1422" t="s">
        <v>13</v>
      </c>
      <c r="J1422" t="s">
        <v>22</v>
      </c>
    </row>
    <row r="1423" spans="1:10" x14ac:dyDescent="0.35">
      <c r="A1423">
        <v>1422</v>
      </c>
      <c r="B1423" s="1" t="s">
        <v>29</v>
      </c>
      <c r="C1423">
        <v>2019</v>
      </c>
      <c r="D1423" s="4">
        <v>3.8</v>
      </c>
      <c r="E1423" s="5">
        <v>58541</v>
      </c>
      <c r="F1423" s="1" t="s">
        <v>15</v>
      </c>
      <c r="G1423" s="10">
        <v>84064.87</v>
      </c>
      <c r="H1423" s="1" t="s">
        <v>31</v>
      </c>
      <c r="I1423" t="s">
        <v>53</v>
      </c>
      <c r="J1423" t="s">
        <v>14</v>
      </c>
    </row>
    <row r="1424" spans="1:10" x14ac:dyDescent="0.35">
      <c r="A1424">
        <v>1423</v>
      </c>
      <c r="B1424" s="1" t="s">
        <v>27</v>
      </c>
      <c r="C1424">
        <v>2005</v>
      </c>
      <c r="D1424" s="4">
        <v>2.2999999999999998</v>
      </c>
      <c r="E1424" s="5">
        <v>9470</v>
      </c>
      <c r="F1424" s="1" t="s">
        <v>11</v>
      </c>
      <c r="G1424" s="10">
        <v>48635.26</v>
      </c>
      <c r="H1424" s="1" t="s">
        <v>48</v>
      </c>
      <c r="I1424" t="s">
        <v>52</v>
      </c>
      <c r="J1424" t="s">
        <v>22</v>
      </c>
    </row>
    <row r="1425" spans="1:10" x14ac:dyDescent="0.35">
      <c r="A1425">
        <v>1424</v>
      </c>
      <c r="B1425" s="1" t="s">
        <v>29</v>
      </c>
      <c r="C1425">
        <v>2020</v>
      </c>
      <c r="D1425" s="4">
        <v>4.5</v>
      </c>
      <c r="E1425" s="5">
        <v>192416</v>
      </c>
      <c r="F1425" s="1" t="s">
        <v>16</v>
      </c>
      <c r="G1425" s="10">
        <v>69553.2</v>
      </c>
      <c r="H1425" s="1" t="s">
        <v>30</v>
      </c>
      <c r="I1425" t="s">
        <v>13</v>
      </c>
      <c r="J1425" t="s">
        <v>14</v>
      </c>
    </row>
    <row r="1426" spans="1:10" x14ac:dyDescent="0.35">
      <c r="A1426">
        <v>1425</v>
      </c>
      <c r="B1426" s="1" t="s">
        <v>10</v>
      </c>
      <c r="C1426">
        <v>2001</v>
      </c>
      <c r="D1426" s="4">
        <v>3.8</v>
      </c>
      <c r="E1426" s="5">
        <v>44308</v>
      </c>
      <c r="F1426" s="1" t="s">
        <v>16</v>
      </c>
      <c r="G1426" s="10">
        <v>66929.119999999995</v>
      </c>
      <c r="H1426" s="1" t="s">
        <v>18</v>
      </c>
      <c r="I1426" t="s">
        <v>13</v>
      </c>
      <c r="J1426" t="s">
        <v>14</v>
      </c>
    </row>
    <row r="1427" spans="1:10" x14ac:dyDescent="0.35">
      <c r="A1427">
        <v>1426</v>
      </c>
      <c r="B1427" s="1" t="s">
        <v>35</v>
      </c>
      <c r="C1427">
        <v>2005</v>
      </c>
      <c r="D1427" s="4">
        <v>5</v>
      </c>
      <c r="E1427" s="5">
        <v>135669</v>
      </c>
      <c r="F1427" s="1" t="s">
        <v>16</v>
      </c>
      <c r="G1427" s="10">
        <v>8673.23</v>
      </c>
      <c r="H1427" s="1" t="s">
        <v>47</v>
      </c>
      <c r="I1427" t="s">
        <v>51</v>
      </c>
      <c r="J1427" t="s">
        <v>22</v>
      </c>
    </row>
    <row r="1428" spans="1:10" x14ac:dyDescent="0.35">
      <c r="A1428">
        <v>1427</v>
      </c>
      <c r="B1428" s="1" t="s">
        <v>35</v>
      </c>
      <c r="C1428">
        <v>2002</v>
      </c>
      <c r="D1428" s="4">
        <v>4.7</v>
      </c>
      <c r="E1428" s="5">
        <v>102840</v>
      </c>
      <c r="F1428" s="1" t="s">
        <v>15</v>
      </c>
      <c r="G1428" s="10">
        <v>22424.55</v>
      </c>
      <c r="H1428" s="1" t="s">
        <v>45</v>
      </c>
      <c r="I1428" t="s">
        <v>13</v>
      </c>
      <c r="J1428" t="s">
        <v>22</v>
      </c>
    </row>
    <row r="1429" spans="1:10" x14ac:dyDescent="0.35">
      <c r="A1429">
        <v>1428</v>
      </c>
      <c r="B1429" s="1" t="s">
        <v>10</v>
      </c>
      <c r="C1429">
        <v>2015</v>
      </c>
      <c r="D1429" s="4">
        <v>4.0999999999999996</v>
      </c>
      <c r="E1429" s="5">
        <v>161860</v>
      </c>
      <c r="F1429" s="1" t="s">
        <v>11</v>
      </c>
      <c r="G1429" s="10">
        <v>89885.35</v>
      </c>
      <c r="H1429" s="1" t="s">
        <v>19</v>
      </c>
      <c r="I1429" t="s">
        <v>13</v>
      </c>
      <c r="J1429" t="s">
        <v>14</v>
      </c>
    </row>
    <row r="1430" spans="1:10" x14ac:dyDescent="0.35">
      <c r="A1430">
        <v>1429</v>
      </c>
      <c r="B1430" s="1" t="s">
        <v>29</v>
      </c>
      <c r="C1430">
        <v>2007</v>
      </c>
      <c r="D1430" s="4">
        <v>3.4</v>
      </c>
      <c r="E1430" s="5">
        <v>49477</v>
      </c>
      <c r="F1430" s="1" t="s">
        <v>11</v>
      </c>
      <c r="G1430" s="10">
        <v>94194.75</v>
      </c>
      <c r="H1430" s="1" t="s">
        <v>38</v>
      </c>
      <c r="I1430" t="s">
        <v>13</v>
      </c>
      <c r="J1430" t="s">
        <v>22</v>
      </c>
    </row>
    <row r="1431" spans="1:10" x14ac:dyDescent="0.35">
      <c r="A1431">
        <v>1430</v>
      </c>
      <c r="B1431" s="1" t="s">
        <v>10</v>
      </c>
      <c r="C1431">
        <v>2001</v>
      </c>
      <c r="D1431" s="4">
        <v>1.7</v>
      </c>
      <c r="E1431" s="5">
        <v>108261</v>
      </c>
      <c r="F1431" s="1" t="s">
        <v>16</v>
      </c>
      <c r="G1431" s="10">
        <v>79141.77</v>
      </c>
      <c r="H1431" s="1" t="s">
        <v>17</v>
      </c>
      <c r="I1431" t="s">
        <v>13</v>
      </c>
      <c r="J1431" t="s">
        <v>14</v>
      </c>
    </row>
    <row r="1432" spans="1:10" x14ac:dyDescent="0.35">
      <c r="A1432">
        <v>1431</v>
      </c>
      <c r="B1432" s="1" t="s">
        <v>23</v>
      </c>
      <c r="C1432">
        <v>2016</v>
      </c>
      <c r="D1432" s="4">
        <v>2.2999999999999998</v>
      </c>
      <c r="E1432" s="5">
        <v>102466</v>
      </c>
      <c r="F1432" s="1" t="s">
        <v>15</v>
      </c>
      <c r="G1432" s="10">
        <v>92518.57</v>
      </c>
      <c r="H1432" s="1" t="s">
        <v>34</v>
      </c>
      <c r="I1432" t="s">
        <v>13</v>
      </c>
      <c r="J1432" t="s">
        <v>22</v>
      </c>
    </row>
    <row r="1433" spans="1:10" x14ac:dyDescent="0.35">
      <c r="A1433">
        <v>1432</v>
      </c>
      <c r="B1433" s="1" t="s">
        <v>10</v>
      </c>
      <c r="C1433">
        <v>2008</v>
      </c>
      <c r="D1433" s="4">
        <v>3.1</v>
      </c>
      <c r="E1433" s="5">
        <v>295215</v>
      </c>
      <c r="F1433" s="1" t="s">
        <v>11</v>
      </c>
      <c r="G1433" s="10">
        <v>34084.120000000003</v>
      </c>
      <c r="H1433" s="1" t="s">
        <v>19</v>
      </c>
      <c r="I1433" t="s">
        <v>13</v>
      </c>
      <c r="J1433" t="s">
        <v>14</v>
      </c>
    </row>
    <row r="1434" spans="1:10" x14ac:dyDescent="0.35">
      <c r="A1434">
        <v>1433</v>
      </c>
      <c r="B1434" s="1" t="s">
        <v>25</v>
      </c>
      <c r="C1434">
        <v>2011</v>
      </c>
      <c r="D1434" s="4">
        <v>4</v>
      </c>
      <c r="E1434" s="5">
        <v>70560</v>
      </c>
      <c r="F1434" s="1" t="s">
        <v>15</v>
      </c>
      <c r="G1434" s="10">
        <v>28532.54</v>
      </c>
      <c r="H1434" s="1" t="s">
        <v>41</v>
      </c>
      <c r="I1434" t="s">
        <v>51</v>
      </c>
      <c r="J1434" t="s">
        <v>14</v>
      </c>
    </row>
    <row r="1435" spans="1:10" x14ac:dyDescent="0.35">
      <c r="A1435">
        <v>1434</v>
      </c>
      <c r="B1435" s="1" t="s">
        <v>10</v>
      </c>
      <c r="C1435">
        <v>2002</v>
      </c>
      <c r="D1435" s="4">
        <v>3.6</v>
      </c>
      <c r="E1435" s="5">
        <v>255392</v>
      </c>
      <c r="F1435" s="1" t="s">
        <v>11</v>
      </c>
      <c r="G1435" s="10">
        <v>41508.519999999997</v>
      </c>
      <c r="H1435" s="1" t="s">
        <v>17</v>
      </c>
      <c r="I1435" t="s">
        <v>13</v>
      </c>
      <c r="J1435" t="s">
        <v>14</v>
      </c>
    </row>
    <row r="1436" spans="1:10" x14ac:dyDescent="0.35">
      <c r="A1436">
        <v>1435</v>
      </c>
      <c r="B1436" s="1" t="s">
        <v>35</v>
      </c>
      <c r="C1436">
        <v>2010</v>
      </c>
      <c r="D1436" s="4">
        <v>2.4</v>
      </c>
      <c r="E1436" s="5">
        <v>261278</v>
      </c>
      <c r="F1436" s="1" t="s">
        <v>16</v>
      </c>
      <c r="G1436" s="10">
        <v>10257.49</v>
      </c>
      <c r="H1436" s="1" t="s">
        <v>36</v>
      </c>
      <c r="I1436" t="s">
        <v>52</v>
      </c>
      <c r="J1436" t="s">
        <v>14</v>
      </c>
    </row>
    <row r="1437" spans="1:10" x14ac:dyDescent="0.35">
      <c r="A1437">
        <v>1436</v>
      </c>
      <c r="B1437" s="1" t="s">
        <v>25</v>
      </c>
      <c r="C1437">
        <v>2000</v>
      </c>
      <c r="D1437" s="4">
        <v>1</v>
      </c>
      <c r="E1437" s="5">
        <v>166471</v>
      </c>
      <c r="F1437" s="1" t="s">
        <v>15</v>
      </c>
      <c r="G1437" s="10">
        <v>81937.8</v>
      </c>
      <c r="H1437" s="1" t="s">
        <v>49</v>
      </c>
      <c r="I1437" t="s">
        <v>52</v>
      </c>
      <c r="J1437" t="s">
        <v>22</v>
      </c>
    </row>
    <row r="1438" spans="1:10" x14ac:dyDescent="0.35">
      <c r="A1438">
        <v>1437</v>
      </c>
      <c r="B1438" s="1" t="s">
        <v>35</v>
      </c>
      <c r="C1438">
        <v>2022</v>
      </c>
      <c r="D1438" s="4">
        <v>3.5</v>
      </c>
      <c r="E1438" s="5">
        <v>244413</v>
      </c>
      <c r="F1438" s="1" t="s">
        <v>16</v>
      </c>
      <c r="G1438" s="10">
        <v>98496.67</v>
      </c>
      <c r="H1438" s="1" t="s">
        <v>50</v>
      </c>
      <c r="I1438" t="s">
        <v>51</v>
      </c>
      <c r="J1438" t="s">
        <v>22</v>
      </c>
    </row>
    <row r="1439" spans="1:10" x14ac:dyDescent="0.35">
      <c r="A1439">
        <v>1438</v>
      </c>
      <c r="B1439" s="1" t="s">
        <v>20</v>
      </c>
      <c r="C1439">
        <v>2012</v>
      </c>
      <c r="D1439" s="4">
        <v>2.4</v>
      </c>
      <c r="E1439" s="5">
        <v>188511</v>
      </c>
      <c r="F1439" s="1" t="s">
        <v>11</v>
      </c>
      <c r="G1439" s="10">
        <v>83282.78</v>
      </c>
      <c r="H1439" s="1" t="s">
        <v>39</v>
      </c>
      <c r="I1439" t="s">
        <v>51</v>
      </c>
      <c r="J1439" t="s">
        <v>14</v>
      </c>
    </row>
    <row r="1440" spans="1:10" x14ac:dyDescent="0.35">
      <c r="A1440">
        <v>1439</v>
      </c>
      <c r="B1440" s="1" t="s">
        <v>27</v>
      </c>
      <c r="C1440">
        <v>2014</v>
      </c>
      <c r="D1440" s="4">
        <v>4.7</v>
      </c>
      <c r="E1440" s="5">
        <v>2369</v>
      </c>
      <c r="F1440" s="1" t="s">
        <v>11</v>
      </c>
      <c r="G1440" s="10">
        <v>57722.66</v>
      </c>
      <c r="H1440" s="1" t="s">
        <v>40</v>
      </c>
      <c r="I1440" t="s">
        <v>53</v>
      </c>
      <c r="J1440" t="s">
        <v>14</v>
      </c>
    </row>
    <row r="1441" spans="1:10" x14ac:dyDescent="0.35">
      <c r="A1441">
        <v>1440</v>
      </c>
      <c r="B1441" s="1" t="s">
        <v>35</v>
      </c>
      <c r="C1441">
        <v>2004</v>
      </c>
      <c r="D1441" s="4">
        <v>1.1000000000000001</v>
      </c>
      <c r="E1441" s="5">
        <v>228629</v>
      </c>
      <c r="F1441" s="1" t="s">
        <v>16</v>
      </c>
      <c r="G1441" s="10">
        <v>33051.79</v>
      </c>
      <c r="H1441" s="1" t="s">
        <v>36</v>
      </c>
      <c r="I1441" t="s">
        <v>52</v>
      </c>
      <c r="J1441" t="s">
        <v>14</v>
      </c>
    </row>
    <row r="1442" spans="1:10" x14ac:dyDescent="0.35">
      <c r="A1442">
        <v>1441</v>
      </c>
      <c r="B1442" s="1" t="s">
        <v>25</v>
      </c>
      <c r="C1442">
        <v>2020</v>
      </c>
      <c r="D1442" s="4">
        <v>3.9</v>
      </c>
      <c r="E1442" s="5">
        <v>262672</v>
      </c>
      <c r="F1442" s="1" t="s">
        <v>11</v>
      </c>
      <c r="G1442" s="10">
        <v>23781.3</v>
      </c>
      <c r="H1442" s="1" t="s">
        <v>44</v>
      </c>
      <c r="I1442" t="s">
        <v>51</v>
      </c>
      <c r="J1442" t="s">
        <v>14</v>
      </c>
    </row>
    <row r="1443" spans="1:10" x14ac:dyDescent="0.35">
      <c r="A1443">
        <v>1442</v>
      </c>
      <c r="B1443" s="1" t="s">
        <v>20</v>
      </c>
      <c r="C1443">
        <v>2016</v>
      </c>
      <c r="D1443" s="4">
        <v>5.7</v>
      </c>
      <c r="E1443" s="5">
        <v>108806</v>
      </c>
      <c r="F1443" s="1" t="s">
        <v>16</v>
      </c>
      <c r="G1443" s="10">
        <v>39585.97</v>
      </c>
      <c r="H1443" s="1" t="s">
        <v>33</v>
      </c>
      <c r="I1443" t="s">
        <v>53</v>
      </c>
      <c r="J1443" t="s">
        <v>22</v>
      </c>
    </row>
    <row r="1444" spans="1:10" x14ac:dyDescent="0.35">
      <c r="A1444">
        <v>1443</v>
      </c>
      <c r="B1444" s="1" t="s">
        <v>35</v>
      </c>
      <c r="C1444">
        <v>2022</v>
      </c>
      <c r="D1444" s="4">
        <v>1.9</v>
      </c>
      <c r="E1444" s="5">
        <v>161386</v>
      </c>
      <c r="F1444" s="1" t="s">
        <v>16</v>
      </c>
      <c r="G1444" s="10">
        <v>68362.11</v>
      </c>
      <c r="H1444" s="1" t="s">
        <v>47</v>
      </c>
      <c r="I1444" t="s">
        <v>53</v>
      </c>
      <c r="J1444" t="s">
        <v>22</v>
      </c>
    </row>
    <row r="1445" spans="1:10" x14ac:dyDescent="0.35">
      <c r="A1445">
        <v>1444</v>
      </c>
      <c r="B1445" s="1" t="s">
        <v>23</v>
      </c>
      <c r="C1445">
        <v>2023</v>
      </c>
      <c r="D1445" s="4">
        <v>3.4</v>
      </c>
      <c r="E1445" s="5">
        <v>102979</v>
      </c>
      <c r="F1445" s="1" t="s">
        <v>16</v>
      </c>
      <c r="G1445" s="10">
        <v>47470.85</v>
      </c>
      <c r="H1445" s="1" t="s">
        <v>24</v>
      </c>
      <c r="I1445" t="s">
        <v>51</v>
      </c>
      <c r="J1445" t="s">
        <v>22</v>
      </c>
    </row>
    <row r="1446" spans="1:10" x14ac:dyDescent="0.35">
      <c r="A1446">
        <v>1445</v>
      </c>
      <c r="B1446" s="1" t="s">
        <v>10</v>
      </c>
      <c r="C1446">
        <v>2005</v>
      </c>
      <c r="D1446" s="4">
        <v>1.5</v>
      </c>
      <c r="E1446" s="5">
        <v>281892</v>
      </c>
      <c r="F1446" s="1" t="s">
        <v>11</v>
      </c>
      <c r="G1446" s="10">
        <v>93735.679999999993</v>
      </c>
      <c r="H1446" s="1" t="s">
        <v>17</v>
      </c>
      <c r="I1446" t="s">
        <v>13</v>
      </c>
      <c r="J1446" t="s">
        <v>14</v>
      </c>
    </row>
    <row r="1447" spans="1:10" x14ac:dyDescent="0.35">
      <c r="A1447">
        <v>1446</v>
      </c>
      <c r="B1447" s="1" t="s">
        <v>27</v>
      </c>
      <c r="C1447">
        <v>2020</v>
      </c>
      <c r="D1447" s="4">
        <v>4.0999999999999996</v>
      </c>
      <c r="E1447" s="5">
        <v>35109</v>
      </c>
      <c r="F1447" s="1" t="s">
        <v>15</v>
      </c>
      <c r="G1447" s="10">
        <v>86150.93</v>
      </c>
      <c r="H1447" s="1" t="s">
        <v>37</v>
      </c>
      <c r="I1447" t="s">
        <v>13</v>
      </c>
      <c r="J1447" t="s">
        <v>22</v>
      </c>
    </row>
    <row r="1448" spans="1:10" x14ac:dyDescent="0.35">
      <c r="A1448">
        <v>1447</v>
      </c>
      <c r="B1448" s="1" t="s">
        <v>35</v>
      </c>
      <c r="C1448">
        <v>2021</v>
      </c>
      <c r="D1448" s="4">
        <v>3.8</v>
      </c>
      <c r="E1448" s="5">
        <v>13919</v>
      </c>
      <c r="F1448" s="1" t="s">
        <v>16</v>
      </c>
      <c r="G1448" s="10">
        <v>14728.06</v>
      </c>
      <c r="H1448" s="1" t="s">
        <v>47</v>
      </c>
      <c r="I1448" t="s">
        <v>13</v>
      </c>
      <c r="J1448" t="s">
        <v>14</v>
      </c>
    </row>
    <row r="1449" spans="1:10" x14ac:dyDescent="0.35">
      <c r="A1449">
        <v>1448</v>
      </c>
      <c r="B1449" s="1" t="s">
        <v>20</v>
      </c>
      <c r="C1449">
        <v>2010</v>
      </c>
      <c r="D1449" s="4">
        <v>3</v>
      </c>
      <c r="E1449" s="5">
        <v>211864</v>
      </c>
      <c r="F1449" s="1" t="s">
        <v>15</v>
      </c>
      <c r="G1449" s="10">
        <v>17494.900000000001</v>
      </c>
      <c r="H1449" s="1" t="s">
        <v>46</v>
      </c>
      <c r="I1449" t="s">
        <v>53</v>
      </c>
      <c r="J1449" t="s">
        <v>22</v>
      </c>
    </row>
    <row r="1450" spans="1:10" x14ac:dyDescent="0.35">
      <c r="A1450">
        <v>1449</v>
      </c>
      <c r="B1450" s="1" t="s">
        <v>23</v>
      </c>
      <c r="C1450">
        <v>2017</v>
      </c>
      <c r="D1450" s="4">
        <v>3.6</v>
      </c>
      <c r="E1450" s="5">
        <v>70441</v>
      </c>
      <c r="F1450" s="1" t="s">
        <v>11</v>
      </c>
      <c r="G1450" s="10">
        <v>69242.720000000001</v>
      </c>
      <c r="H1450" s="1" t="s">
        <v>34</v>
      </c>
      <c r="I1450" t="s">
        <v>13</v>
      </c>
      <c r="J1450" t="s">
        <v>14</v>
      </c>
    </row>
    <row r="1451" spans="1:10" x14ac:dyDescent="0.35">
      <c r="A1451">
        <v>1450</v>
      </c>
      <c r="B1451" s="1" t="s">
        <v>29</v>
      </c>
      <c r="C1451">
        <v>2003</v>
      </c>
      <c r="D1451" s="4">
        <v>5.5</v>
      </c>
      <c r="E1451" s="5">
        <v>66896</v>
      </c>
      <c r="F1451" s="1" t="s">
        <v>11</v>
      </c>
      <c r="G1451" s="10">
        <v>26923</v>
      </c>
      <c r="H1451" s="1" t="s">
        <v>30</v>
      </c>
      <c r="I1451" t="s">
        <v>13</v>
      </c>
      <c r="J1451" t="s">
        <v>14</v>
      </c>
    </row>
    <row r="1452" spans="1:10" x14ac:dyDescent="0.35">
      <c r="A1452">
        <v>1451</v>
      </c>
      <c r="B1452" s="1" t="s">
        <v>20</v>
      </c>
      <c r="C1452">
        <v>2002</v>
      </c>
      <c r="D1452" s="4">
        <v>2</v>
      </c>
      <c r="E1452" s="5">
        <v>103431</v>
      </c>
      <c r="F1452" s="1" t="s">
        <v>15</v>
      </c>
      <c r="G1452" s="10">
        <v>80147.839999999997</v>
      </c>
      <c r="H1452" s="1" t="s">
        <v>39</v>
      </c>
      <c r="I1452" t="s">
        <v>51</v>
      </c>
      <c r="J1452" t="s">
        <v>14</v>
      </c>
    </row>
    <row r="1453" spans="1:10" x14ac:dyDescent="0.35">
      <c r="A1453">
        <v>1452</v>
      </c>
      <c r="B1453" s="1" t="s">
        <v>10</v>
      </c>
      <c r="C1453">
        <v>2012</v>
      </c>
      <c r="D1453" s="4">
        <v>1.1000000000000001</v>
      </c>
      <c r="E1453" s="5">
        <v>47020</v>
      </c>
      <c r="F1453" s="1" t="s">
        <v>16</v>
      </c>
      <c r="G1453" s="10">
        <v>61179.02</v>
      </c>
      <c r="H1453" s="1" t="s">
        <v>17</v>
      </c>
      <c r="I1453" t="s">
        <v>13</v>
      </c>
      <c r="J1453" t="s">
        <v>14</v>
      </c>
    </row>
    <row r="1454" spans="1:10" x14ac:dyDescent="0.35">
      <c r="A1454">
        <v>1453</v>
      </c>
      <c r="B1454" s="1" t="s">
        <v>20</v>
      </c>
      <c r="C1454">
        <v>2022</v>
      </c>
      <c r="D1454" s="4">
        <v>5.3</v>
      </c>
      <c r="E1454" s="5">
        <v>205338</v>
      </c>
      <c r="F1454" s="1" t="s">
        <v>11</v>
      </c>
      <c r="G1454" s="10">
        <v>26833.9</v>
      </c>
      <c r="H1454" s="1" t="s">
        <v>33</v>
      </c>
      <c r="I1454" t="s">
        <v>52</v>
      </c>
      <c r="J1454" t="s">
        <v>14</v>
      </c>
    </row>
    <row r="1455" spans="1:10" x14ac:dyDescent="0.35">
      <c r="A1455">
        <v>1454</v>
      </c>
      <c r="B1455" s="1" t="s">
        <v>23</v>
      </c>
      <c r="C1455">
        <v>2008</v>
      </c>
      <c r="D1455" s="4">
        <v>3.9</v>
      </c>
      <c r="E1455" s="5">
        <v>284305</v>
      </c>
      <c r="F1455" s="1" t="s">
        <v>16</v>
      </c>
      <c r="G1455" s="10">
        <v>50475.25</v>
      </c>
      <c r="H1455" s="1" t="s">
        <v>34</v>
      </c>
      <c r="I1455" t="s">
        <v>53</v>
      </c>
      <c r="J1455" t="s">
        <v>22</v>
      </c>
    </row>
    <row r="1456" spans="1:10" x14ac:dyDescent="0.35">
      <c r="A1456">
        <v>1455</v>
      </c>
      <c r="B1456" s="1" t="s">
        <v>20</v>
      </c>
      <c r="C1456">
        <v>2020</v>
      </c>
      <c r="D1456" s="4">
        <v>5.5</v>
      </c>
      <c r="E1456" s="5">
        <v>27738</v>
      </c>
      <c r="F1456" s="1" t="s">
        <v>16</v>
      </c>
      <c r="G1456" s="10">
        <v>43577.25</v>
      </c>
      <c r="H1456" s="1" t="s">
        <v>33</v>
      </c>
      <c r="I1456" t="s">
        <v>51</v>
      </c>
      <c r="J1456" t="s">
        <v>14</v>
      </c>
    </row>
    <row r="1457" spans="1:10" x14ac:dyDescent="0.35">
      <c r="A1457">
        <v>1456</v>
      </c>
      <c r="B1457" s="1" t="s">
        <v>23</v>
      </c>
      <c r="C1457">
        <v>2005</v>
      </c>
      <c r="D1457" s="4">
        <v>4</v>
      </c>
      <c r="E1457" s="5">
        <v>134997</v>
      </c>
      <c r="F1457" s="1" t="s">
        <v>15</v>
      </c>
      <c r="G1457" s="10">
        <v>87950.14</v>
      </c>
      <c r="H1457" s="1" t="s">
        <v>42</v>
      </c>
      <c r="I1457" t="s">
        <v>13</v>
      </c>
      <c r="J1457" t="s">
        <v>22</v>
      </c>
    </row>
    <row r="1458" spans="1:10" x14ac:dyDescent="0.35">
      <c r="A1458">
        <v>1457</v>
      </c>
      <c r="B1458" s="1" t="s">
        <v>35</v>
      </c>
      <c r="C1458">
        <v>2011</v>
      </c>
      <c r="D1458" s="4">
        <v>5.0999999999999996</v>
      </c>
      <c r="E1458" s="5">
        <v>57153</v>
      </c>
      <c r="F1458" s="1" t="s">
        <v>11</v>
      </c>
      <c r="G1458" s="10">
        <v>8055.44</v>
      </c>
      <c r="H1458" s="1" t="s">
        <v>45</v>
      </c>
      <c r="I1458" t="s">
        <v>52</v>
      </c>
      <c r="J1458" t="s">
        <v>14</v>
      </c>
    </row>
    <row r="1459" spans="1:10" x14ac:dyDescent="0.35">
      <c r="A1459">
        <v>1458</v>
      </c>
      <c r="B1459" s="1" t="s">
        <v>23</v>
      </c>
      <c r="C1459">
        <v>2001</v>
      </c>
      <c r="D1459" s="4">
        <v>3.1</v>
      </c>
      <c r="E1459" s="5">
        <v>214020</v>
      </c>
      <c r="F1459" s="1" t="s">
        <v>15</v>
      </c>
      <c r="G1459" s="10">
        <v>90105.17</v>
      </c>
      <c r="H1459" s="1" t="s">
        <v>42</v>
      </c>
      <c r="I1459" t="s">
        <v>53</v>
      </c>
      <c r="J1459" t="s">
        <v>22</v>
      </c>
    </row>
    <row r="1460" spans="1:10" x14ac:dyDescent="0.35">
      <c r="A1460">
        <v>1459</v>
      </c>
      <c r="B1460" s="1" t="s">
        <v>23</v>
      </c>
      <c r="C1460">
        <v>2002</v>
      </c>
      <c r="D1460" s="4">
        <v>4.7</v>
      </c>
      <c r="E1460" s="5">
        <v>61009</v>
      </c>
      <c r="F1460" s="1" t="s">
        <v>11</v>
      </c>
      <c r="G1460" s="10">
        <v>66947.850000000006</v>
      </c>
      <c r="H1460" s="1" t="s">
        <v>32</v>
      </c>
      <c r="I1460" t="s">
        <v>13</v>
      </c>
      <c r="J1460" t="s">
        <v>14</v>
      </c>
    </row>
    <row r="1461" spans="1:10" x14ac:dyDescent="0.35">
      <c r="A1461">
        <v>1460</v>
      </c>
      <c r="B1461" s="1" t="s">
        <v>27</v>
      </c>
      <c r="C1461">
        <v>2002</v>
      </c>
      <c r="D1461" s="4">
        <v>5.6</v>
      </c>
      <c r="E1461" s="5">
        <v>172624</v>
      </c>
      <c r="F1461" s="1" t="s">
        <v>15</v>
      </c>
      <c r="G1461" s="10">
        <v>75066.13</v>
      </c>
      <c r="H1461" s="1" t="s">
        <v>28</v>
      </c>
      <c r="I1461" t="s">
        <v>53</v>
      </c>
      <c r="J1461" t="s">
        <v>14</v>
      </c>
    </row>
    <row r="1462" spans="1:10" x14ac:dyDescent="0.35">
      <c r="A1462">
        <v>1461</v>
      </c>
      <c r="B1462" s="1" t="s">
        <v>23</v>
      </c>
      <c r="C1462">
        <v>2011</v>
      </c>
      <c r="D1462" s="4">
        <v>3.9</v>
      </c>
      <c r="E1462" s="5">
        <v>271941</v>
      </c>
      <c r="F1462" s="1" t="s">
        <v>11</v>
      </c>
      <c r="G1462" s="10">
        <v>5247.71</v>
      </c>
      <c r="H1462" s="1" t="s">
        <v>32</v>
      </c>
      <c r="I1462" t="s">
        <v>52</v>
      </c>
      <c r="J1462" t="s">
        <v>14</v>
      </c>
    </row>
    <row r="1463" spans="1:10" x14ac:dyDescent="0.35">
      <c r="A1463">
        <v>1462</v>
      </c>
      <c r="B1463" s="1" t="s">
        <v>23</v>
      </c>
      <c r="C1463">
        <v>2014</v>
      </c>
      <c r="D1463" s="4">
        <v>1.9</v>
      </c>
      <c r="E1463" s="5">
        <v>71942</v>
      </c>
      <c r="F1463" s="1" t="s">
        <v>11</v>
      </c>
      <c r="G1463" s="10">
        <v>64682.75</v>
      </c>
      <c r="H1463" s="1" t="s">
        <v>34</v>
      </c>
      <c r="I1463" t="s">
        <v>53</v>
      </c>
      <c r="J1463" t="s">
        <v>14</v>
      </c>
    </row>
    <row r="1464" spans="1:10" x14ac:dyDescent="0.35">
      <c r="A1464">
        <v>1463</v>
      </c>
      <c r="B1464" s="1" t="s">
        <v>29</v>
      </c>
      <c r="C1464">
        <v>2008</v>
      </c>
      <c r="D1464" s="4">
        <v>2.2999999999999998</v>
      </c>
      <c r="E1464" s="5">
        <v>118065</v>
      </c>
      <c r="F1464" s="1" t="s">
        <v>11</v>
      </c>
      <c r="G1464" s="10">
        <v>60906.19</v>
      </c>
      <c r="H1464" s="1" t="s">
        <v>30</v>
      </c>
      <c r="I1464" t="s">
        <v>53</v>
      </c>
      <c r="J1464" t="s">
        <v>22</v>
      </c>
    </row>
    <row r="1465" spans="1:10" x14ac:dyDescent="0.35">
      <c r="A1465">
        <v>1464</v>
      </c>
      <c r="B1465" s="1" t="s">
        <v>35</v>
      </c>
      <c r="C1465">
        <v>2022</v>
      </c>
      <c r="D1465" s="4">
        <v>2</v>
      </c>
      <c r="E1465" s="5">
        <v>276109</v>
      </c>
      <c r="F1465" s="1" t="s">
        <v>16</v>
      </c>
      <c r="G1465" s="10">
        <v>56034.53</v>
      </c>
      <c r="H1465" s="1" t="s">
        <v>36</v>
      </c>
      <c r="I1465" t="s">
        <v>53</v>
      </c>
      <c r="J1465" t="s">
        <v>22</v>
      </c>
    </row>
    <row r="1466" spans="1:10" x14ac:dyDescent="0.35">
      <c r="A1466">
        <v>1465</v>
      </c>
      <c r="B1466" s="1" t="s">
        <v>10</v>
      </c>
      <c r="C1466">
        <v>2007</v>
      </c>
      <c r="D1466" s="4">
        <v>2.2000000000000002</v>
      </c>
      <c r="E1466" s="5">
        <v>275877</v>
      </c>
      <c r="F1466" s="1" t="s">
        <v>16</v>
      </c>
      <c r="G1466" s="10">
        <v>79657.350000000006</v>
      </c>
      <c r="H1466" s="1" t="s">
        <v>19</v>
      </c>
      <c r="I1466" t="s">
        <v>13</v>
      </c>
      <c r="J1466" t="s">
        <v>14</v>
      </c>
    </row>
    <row r="1467" spans="1:10" x14ac:dyDescent="0.35">
      <c r="A1467">
        <v>1466</v>
      </c>
      <c r="B1467" s="1" t="s">
        <v>27</v>
      </c>
      <c r="C1467">
        <v>2010</v>
      </c>
      <c r="D1467" s="4">
        <v>2.5</v>
      </c>
      <c r="E1467" s="5">
        <v>157998</v>
      </c>
      <c r="F1467" s="1" t="s">
        <v>15</v>
      </c>
      <c r="G1467" s="10">
        <v>57807.75</v>
      </c>
      <c r="H1467" s="1" t="s">
        <v>40</v>
      </c>
      <c r="I1467" t="s">
        <v>52</v>
      </c>
      <c r="J1467" t="s">
        <v>14</v>
      </c>
    </row>
    <row r="1468" spans="1:10" x14ac:dyDescent="0.35">
      <c r="A1468">
        <v>1467</v>
      </c>
      <c r="B1468" s="1" t="s">
        <v>29</v>
      </c>
      <c r="C1468">
        <v>2015</v>
      </c>
      <c r="D1468" s="4">
        <v>3.8</v>
      </c>
      <c r="E1468" s="5">
        <v>159855</v>
      </c>
      <c r="F1468" s="1" t="s">
        <v>15</v>
      </c>
      <c r="G1468" s="10">
        <v>86424.23</v>
      </c>
      <c r="H1468" s="1" t="s">
        <v>31</v>
      </c>
      <c r="I1468" t="s">
        <v>52</v>
      </c>
      <c r="J1468" t="s">
        <v>14</v>
      </c>
    </row>
    <row r="1469" spans="1:10" x14ac:dyDescent="0.35">
      <c r="A1469">
        <v>1468</v>
      </c>
      <c r="B1469" s="1" t="s">
        <v>25</v>
      </c>
      <c r="C1469">
        <v>2021</v>
      </c>
      <c r="D1469" s="4">
        <v>3.9</v>
      </c>
      <c r="E1469" s="5">
        <v>83360</v>
      </c>
      <c r="F1469" s="1" t="s">
        <v>11</v>
      </c>
      <c r="G1469" s="10">
        <v>27099.99</v>
      </c>
      <c r="H1469" s="1" t="s">
        <v>26</v>
      </c>
      <c r="I1469" t="s">
        <v>13</v>
      </c>
      <c r="J1469" t="s">
        <v>14</v>
      </c>
    </row>
    <row r="1470" spans="1:10" x14ac:dyDescent="0.35">
      <c r="A1470">
        <v>1469</v>
      </c>
      <c r="B1470" s="1" t="s">
        <v>35</v>
      </c>
      <c r="C1470">
        <v>2003</v>
      </c>
      <c r="D1470" s="4">
        <v>3.1</v>
      </c>
      <c r="E1470" s="5">
        <v>167466</v>
      </c>
      <c r="F1470" s="1" t="s">
        <v>11</v>
      </c>
      <c r="G1470" s="10">
        <v>81568.350000000006</v>
      </c>
      <c r="H1470" s="1" t="s">
        <v>36</v>
      </c>
      <c r="I1470" t="s">
        <v>13</v>
      </c>
      <c r="J1470" t="s">
        <v>14</v>
      </c>
    </row>
    <row r="1471" spans="1:10" x14ac:dyDescent="0.35">
      <c r="A1471">
        <v>1470</v>
      </c>
      <c r="B1471" s="1" t="s">
        <v>35</v>
      </c>
      <c r="C1471">
        <v>2000</v>
      </c>
      <c r="D1471" s="4">
        <v>4.0999999999999996</v>
      </c>
      <c r="E1471" s="5">
        <v>195868</v>
      </c>
      <c r="F1471" s="1" t="s">
        <v>16</v>
      </c>
      <c r="G1471" s="10">
        <v>22034.71</v>
      </c>
      <c r="H1471" s="1" t="s">
        <v>47</v>
      </c>
      <c r="I1471" t="s">
        <v>13</v>
      </c>
      <c r="J1471" t="s">
        <v>14</v>
      </c>
    </row>
    <row r="1472" spans="1:10" x14ac:dyDescent="0.35">
      <c r="A1472">
        <v>1471</v>
      </c>
      <c r="B1472" s="1" t="s">
        <v>25</v>
      </c>
      <c r="C1472">
        <v>2023</v>
      </c>
      <c r="D1472" s="4">
        <v>1.4</v>
      </c>
      <c r="E1472" s="5">
        <v>290431</v>
      </c>
      <c r="F1472" s="1" t="s">
        <v>16</v>
      </c>
      <c r="G1472" s="10">
        <v>82246.19</v>
      </c>
      <c r="H1472" s="1" t="s">
        <v>41</v>
      </c>
      <c r="I1472" t="s">
        <v>51</v>
      </c>
      <c r="J1472" t="s">
        <v>14</v>
      </c>
    </row>
    <row r="1473" spans="1:10" x14ac:dyDescent="0.35">
      <c r="A1473">
        <v>1472</v>
      </c>
      <c r="B1473" s="1" t="s">
        <v>10</v>
      </c>
      <c r="C1473">
        <v>2006</v>
      </c>
      <c r="D1473" s="4">
        <v>1.4</v>
      </c>
      <c r="E1473" s="5">
        <v>82104</v>
      </c>
      <c r="F1473" s="1" t="s">
        <v>16</v>
      </c>
      <c r="G1473" s="10">
        <v>94344.03</v>
      </c>
      <c r="H1473" s="1" t="s">
        <v>18</v>
      </c>
      <c r="I1473" t="s">
        <v>13</v>
      </c>
      <c r="J1473" t="s">
        <v>14</v>
      </c>
    </row>
    <row r="1474" spans="1:10" x14ac:dyDescent="0.35">
      <c r="A1474">
        <v>1473</v>
      </c>
      <c r="B1474" s="1" t="s">
        <v>23</v>
      </c>
      <c r="C1474">
        <v>2001</v>
      </c>
      <c r="D1474" s="4">
        <v>1.9</v>
      </c>
      <c r="E1474" s="5">
        <v>161508</v>
      </c>
      <c r="F1474" s="1" t="s">
        <v>15</v>
      </c>
      <c r="G1474" s="10">
        <v>36890.94</v>
      </c>
      <c r="H1474" s="1" t="s">
        <v>24</v>
      </c>
      <c r="I1474" t="s">
        <v>53</v>
      </c>
      <c r="J1474" t="s">
        <v>22</v>
      </c>
    </row>
    <row r="1475" spans="1:10" x14ac:dyDescent="0.35">
      <c r="A1475">
        <v>1474</v>
      </c>
      <c r="B1475" s="1" t="s">
        <v>29</v>
      </c>
      <c r="C1475">
        <v>2023</v>
      </c>
      <c r="D1475" s="4">
        <v>3.6</v>
      </c>
      <c r="E1475" s="5">
        <v>221404</v>
      </c>
      <c r="F1475" s="1" t="s">
        <v>16</v>
      </c>
      <c r="G1475" s="10">
        <v>55339.199999999997</v>
      </c>
      <c r="H1475" s="1" t="s">
        <v>38</v>
      </c>
      <c r="I1475" t="s">
        <v>52</v>
      </c>
      <c r="J1475" t="s">
        <v>22</v>
      </c>
    </row>
    <row r="1476" spans="1:10" x14ac:dyDescent="0.35">
      <c r="A1476">
        <v>1475</v>
      </c>
      <c r="B1476" s="1" t="s">
        <v>20</v>
      </c>
      <c r="C1476">
        <v>2004</v>
      </c>
      <c r="D1476" s="4">
        <v>2.1</v>
      </c>
      <c r="E1476" s="5">
        <v>265332</v>
      </c>
      <c r="F1476" s="1" t="s">
        <v>15</v>
      </c>
      <c r="G1476" s="10">
        <v>67541.259999999995</v>
      </c>
      <c r="H1476" s="1" t="s">
        <v>46</v>
      </c>
      <c r="I1476" t="s">
        <v>53</v>
      </c>
      <c r="J1476" t="s">
        <v>22</v>
      </c>
    </row>
    <row r="1477" spans="1:10" x14ac:dyDescent="0.35">
      <c r="A1477">
        <v>1476</v>
      </c>
      <c r="B1477" s="1" t="s">
        <v>27</v>
      </c>
      <c r="C1477">
        <v>2006</v>
      </c>
      <c r="D1477" s="4">
        <v>2.4</v>
      </c>
      <c r="E1477" s="5">
        <v>91205</v>
      </c>
      <c r="F1477" s="1" t="s">
        <v>16</v>
      </c>
      <c r="G1477" s="10">
        <v>12549.81</v>
      </c>
      <c r="H1477" s="1" t="s">
        <v>28</v>
      </c>
      <c r="I1477" t="s">
        <v>51</v>
      </c>
      <c r="J1477" t="s">
        <v>22</v>
      </c>
    </row>
    <row r="1478" spans="1:10" x14ac:dyDescent="0.35">
      <c r="A1478">
        <v>1477</v>
      </c>
      <c r="B1478" s="1" t="s">
        <v>20</v>
      </c>
      <c r="C1478">
        <v>2003</v>
      </c>
      <c r="D1478" s="4">
        <v>3</v>
      </c>
      <c r="E1478" s="5">
        <v>232321</v>
      </c>
      <c r="F1478" s="1" t="s">
        <v>16</v>
      </c>
      <c r="G1478" s="10">
        <v>51937.67</v>
      </c>
      <c r="H1478" s="1" t="s">
        <v>21</v>
      </c>
      <c r="I1478" t="s">
        <v>13</v>
      </c>
      <c r="J1478" t="s">
        <v>22</v>
      </c>
    </row>
    <row r="1479" spans="1:10" x14ac:dyDescent="0.35">
      <c r="A1479">
        <v>1478</v>
      </c>
      <c r="B1479" s="1" t="s">
        <v>25</v>
      </c>
      <c r="C1479">
        <v>2004</v>
      </c>
      <c r="D1479" s="4">
        <v>5.0999999999999996</v>
      </c>
      <c r="E1479" s="5">
        <v>137837</v>
      </c>
      <c r="F1479" s="1" t="s">
        <v>11</v>
      </c>
      <c r="G1479" s="10">
        <v>39255.57</v>
      </c>
      <c r="H1479" s="1" t="s">
        <v>49</v>
      </c>
      <c r="I1479" t="s">
        <v>52</v>
      </c>
      <c r="J1479" t="s">
        <v>22</v>
      </c>
    </row>
    <row r="1480" spans="1:10" x14ac:dyDescent="0.35">
      <c r="A1480">
        <v>1479</v>
      </c>
      <c r="B1480" s="1" t="s">
        <v>35</v>
      </c>
      <c r="C1480">
        <v>2023</v>
      </c>
      <c r="D1480" s="4">
        <v>1.1000000000000001</v>
      </c>
      <c r="E1480" s="5">
        <v>219779</v>
      </c>
      <c r="F1480" s="1" t="s">
        <v>15</v>
      </c>
      <c r="G1480" s="10">
        <v>87883.28</v>
      </c>
      <c r="H1480" s="1" t="s">
        <v>50</v>
      </c>
      <c r="I1480" t="s">
        <v>52</v>
      </c>
      <c r="J1480" t="s">
        <v>22</v>
      </c>
    </row>
    <row r="1481" spans="1:10" x14ac:dyDescent="0.35">
      <c r="A1481">
        <v>1480</v>
      </c>
      <c r="B1481" s="1" t="s">
        <v>10</v>
      </c>
      <c r="C1481">
        <v>2000</v>
      </c>
      <c r="D1481" s="4">
        <v>4.2</v>
      </c>
      <c r="E1481" s="5">
        <v>141879</v>
      </c>
      <c r="F1481" s="1" t="s">
        <v>16</v>
      </c>
      <c r="G1481" s="10">
        <v>88284.55</v>
      </c>
      <c r="H1481" s="1" t="s">
        <v>19</v>
      </c>
      <c r="I1481" t="s">
        <v>13</v>
      </c>
      <c r="J1481" t="s">
        <v>14</v>
      </c>
    </row>
    <row r="1482" spans="1:10" x14ac:dyDescent="0.35">
      <c r="A1482">
        <v>1481</v>
      </c>
      <c r="B1482" s="1" t="s">
        <v>35</v>
      </c>
      <c r="C1482">
        <v>2000</v>
      </c>
      <c r="D1482" s="4">
        <v>4.3</v>
      </c>
      <c r="E1482" s="5">
        <v>10204</v>
      </c>
      <c r="F1482" s="1" t="s">
        <v>11</v>
      </c>
      <c r="G1482" s="10">
        <v>71574.06</v>
      </c>
      <c r="H1482" s="1" t="s">
        <v>36</v>
      </c>
      <c r="I1482" t="s">
        <v>52</v>
      </c>
      <c r="J1482" t="s">
        <v>14</v>
      </c>
    </row>
    <row r="1483" spans="1:10" x14ac:dyDescent="0.35">
      <c r="A1483">
        <v>1482</v>
      </c>
      <c r="B1483" s="1" t="s">
        <v>27</v>
      </c>
      <c r="C1483">
        <v>2014</v>
      </c>
      <c r="D1483" s="4">
        <v>5</v>
      </c>
      <c r="E1483" s="5">
        <v>223674</v>
      </c>
      <c r="F1483" s="1" t="s">
        <v>15</v>
      </c>
      <c r="G1483" s="10">
        <v>67293.83</v>
      </c>
      <c r="H1483" s="1" t="s">
        <v>40</v>
      </c>
      <c r="I1483" t="s">
        <v>13</v>
      </c>
      <c r="J1483" t="s">
        <v>14</v>
      </c>
    </row>
    <row r="1484" spans="1:10" x14ac:dyDescent="0.35">
      <c r="A1484">
        <v>1483</v>
      </c>
      <c r="B1484" s="1" t="s">
        <v>35</v>
      </c>
      <c r="C1484">
        <v>2019</v>
      </c>
      <c r="D1484" s="4">
        <v>5.7</v>
      </c>
      <c r="E1484" s="5">
        <v>189016</v>
      </c>
      <c r="F1484" s="1" t="s">
        <v>15</v>
      </c>
      <c r="G1484" s="10">
        <v>74700.399999999994</v>
      </c>
      <c r="H1484" s="1" t="s">
        <v>45</v>
      </c>
      <c r="I1484" t="s">
        <v>52</v>
      </c>
      <c r="J1484" t="s">
        <v>14</v>
      </c>
    </row>
    <row r="1485" spans="1:10" x14ac:dyDescent="0.35">
      <c r="A1485">
        <v>1484</v>
      </c>
      <c r="B1485" s="1" t="s">
        <v>35</v>
      </c>
      <c r="C1485">
        <v>2018</v>
      </c>
      <c r="D1485" s="4">
        <v>1.1000000000000001</v>
      </c>
      <c r="E1485" s="5">
        <v>102903</v>
      </c>
      <c r="F1485" s="1" t="s">
        <v>16</v>
      </c>
      <c r="G1485" s="10">
        <v>39768.76</v>
      </c>
      <c r="H1485" s="1" t="s">
        <v>36</v>
      </c>
      <c r="I1485" t="s">
        <v>13</v>
      </c>
      <c r="J1485" t="s">
        <v>14</v>
      </c>
    </row>
    <row r="1486" spans="1:10" x14ac:dyDescent="0.35">
      <c r="A1486">
        <v>1485</v>
      </c>
      <c r="B1486" s="1" t="s">
        <v>27</v>
      </c>
      <c r="C1486">
        <v>2009</v>
      </c>
      <c r="D1486" s="4">
        <v>1.8</v>
      </c>
      <c r="E1486" s="5">
        <v>299225</v>
      </c>
      <c r="F1486" s="1" t="s">
        <v>15</v>
      </c>
      <c r="G1486" s="10">
        <v>43429.33</v>
      </c>
      <c r="H1486" s="1" t="s">
        <v>48</v>
      </c>
      <c r="I1486" t="s">
        <v>51</v>
      </c>
      <c r="J1486" t="s">
        <v>14</v>
      </c>
    </row>
    <row r="1487" spans="1:10" x14ac:dyDescent="0.35">
      <c r="A1487">
        <v>1486</v>
      </c>
      <c r="B1487" s="1" t="s">
        <v>29</v>
      </c>
      <c r="C1487">
        <v>2017</v>
      </c>
      <c r="D1487" s="4">
        <v>5.4</v>
      </c>
      <c r="E1487" s="5">
        <v>256687</v>
      </c>
      <c r="F1487" s="1" t="s">
        <v>11</v>
      </c>
      <c r="G1487" s="10">
        <v>57601.95</v>
      </c>
      <c r="H1487" s="1" t="s">
        <v>30</v>
      </c>
      <c r="I1487" t="s">
        <v>51</v>
      </c>
      <c r="J1487" t="s">
        <v>14</v>
      </c>
    </row>
    <row r="1488" spans="1:10" x14ac:dyDescent="0.35">
      <c r="A1488">
        <v>1487</v>
      </c>
      <c r="B1488" s="1" t="s">
        <v>29</v>
      </c>
      <c r="C1488">
        <v>2002</v>
      </c>
      <c r="D1488" s="4">
        <v>3.3</v>
      </c>
      <c r="E1488" s="5">
        <v>34986</v>
      </c>
      <c r="F1488" s="1" t="s">
        <v>11</v>
      </c>
      <c r="G1488" s="10">
        <v>94112.67</v>
      </c>
      <c r="H1488" s="1" t="s">
        <v>31</v>
      </c>
      <c r="I1488" t="s">
        <v>13</v>
      </c>
      <c r="J1488" t="s">
        <v>22</v>
      </c>
    </row>
    <row r="1489" spans="1:10" x14ac:dyDescent="0.35">
      <c r="A1489">
        <v>1488</v>
      </c>
      <c r="B1489" s="1" t="s">
        <v>27</v>
      </c>
      <c r="C1489">
        <v>2010</v>
      </c>
      <c r="D1489" s="4">
        <v>3.8</v>
      </c>
      <c r="E1489" s="5">
        <v>50304</v>
      </c>
      <c r="F1489" s="1" t="s">
        <v>15</v>
      </c>
      <c r="G1489" s="10">
        <v>73779.990000000005</v>
      </c>
      <c r="H1489" s="1" t="s">
        <v>37</v>
      </c>
      <c r="I1489" t="s">
        <v>53</v>
      </c>
      <c r="J1489" t="s">
        <v>22</v>
      </c>
    </row>
    <row r="1490" spans="1:10" x14ac:dyDescent="0.35">
      <c r="A1490">
        <v>1489</v>
      </c>
      <c r="B1490" s="1" t="s">
        <v>10</v>
      </c>
      <c r="C1490">
        <v>2014</v>
      </c>
      <c r="D1490" s="4">
        <v>4.3</v>
      </c>
      <c r="E1490" s="5">
        <v>39986</v>
      </c>
      <c r="F1490" s="1" t="s">
        <v>11</v>
      </c>
      <c r="G1490" s="10">
        <v>57343.98</v>
      </c>
      <c r="H1490" s="1" t="s">
        <v>19</v>
      </c>
      <c r="I1490" t="s">
        <v>13</v>
      </c>
      <c r="J1490" t="s">
        <v>14</v>
      </c>
    </row>
    <row r="1491" spans="1:10" x14ac:dyDescent="0.35">
      <c r="A1491">
        <v>1490</v>
      </c>
      <c r="B1491" s="1" t="s">
        <v>25</v>
      </c>
      <c r="C1491">
        <v>2010</v>
      </c>
      <c r="D1491" s="4">
        <v>4.4000000000000004</v>
      </c>
      <c r="E1491" s="5">
        <v>91594</v>
      </c>
      <c r="F1491" s="1" t="s">
        <v>15</v>
      </c>
      <c r="G1491" s="10">
        <v>78189.240000000005</v>
      </c>
      <c r="H1491" s="1" t="s">
        <v>49</v>
      </c>
      <c r="I1491" t="s">
        <v>53</v>
      </c>
      <c r="J1491" t="s">
        <v>22</v>
      </c>
    </row>
    <row r="1492" spans="1:10" x14ac:dyDescent="0.35">
      <c r="A1492">
        <v>1491</v>
      </c>
      <c r="B1492" s="1" t="s">
        <v>35</v>
      </c>
      <c r="C1492">
        <v>2016</v>
      </c>
      <c r="D1492" s="4">
        <v>5.7</v>
      </c>
      <c r="E1492" s="5">
        <v>66151</v>
      </c>
      <c r="F1492" s="1" t="s">
        <v>11</v>
      </c>
      <c r="G1492" s="10">
        <v>40234.58</v>
      </c>
      <c r="H1492" s="1" t="s">
        <v>47</v>
      </c>
      <c r="I1492" t="s">
        <v>52</v>
      </c>
      <c r="J1492" t="s">
        <v>22</v>
      </c>
    </row>
    <row r="1493" spans="1:10" x14ac:dyDescent="0.35">
      <c r="A1493">
        <v>1492</v>
      </c>
      <c r="B1493" s="1" t="s">
        <v>10</v>
      </c>
      <c r="C1493">
        <v>2016</v>
      </c>
      <c r="D1493" s="4">
        <v>6</v>
      </c>
      <c r="E1493" s="5">
        <v>290358</v>
      </c>
      <c r="F1493" s="1" t="s">
        <v>15</v>
      </c>
      <c r="G1493" s="10">
        <v>74394.34</v>
      </c>
      <c r="H1493" s="1" t="s">
        <v>19</v>
      </c>
      <c r="I1493" t="s">
        <v>13</v>
      </c>
      <c r="J1493" t="s">
        <v>14</v>
      </c>
    </row>
    <row r="1494" spans="1:10" x14ac:dyDescent="0.35">
      <c r="A1494">
        <v>1493</v>
      </c>
      <c r="B1494" s="1" t="s">
        <v>35</v>
      </c>
      <c r="C1494">
        <v>2005</v>
      </c>
      <c r="D1494" s="4">
        <v>4.5999999999999996</v>
      </c>
      <c r="E1494" s="5">
        <v>173620</v>
      </c>
      <c r="F1494" s="1" t="s">
        <v>15</v>
      </c>
      <c r="G1494" s="10">
        <v>44014.239999999998</v>
      </c>
      <c r="H1494" s="1" t="s">
        <v>36</v>
      </c>
      <c r="I1494" t="s">
        <v>51</v>
      </c>
      <c r="J1494" t="s">
        <v>22</v>
      </c>
    </row>
    <row r="1495" spans="1:10" x14ac:dyDescent="0.35">
      <c r="A1495">
        <v>1494</v>
      </c>
      <c r="B1495" s="1" t="s">
        <v>25</v>
      </c>
      <c r="C1495">
        <v>2004</v>
      </c>
      <c r="D1495" s="4">
        <v>2.4</v>
      </c>
      <c r="E1495" s="5">
        <v>141753</v>
      </c>
      <c r="F1495" s="1" t="s">
        <v>15</v>
      </c>
      <c r="G1495" s="10">
        <v>31567.83</v>
      </c>
      <c r="H1495" s="1" t="s">
        <v>26</v>
      </c>
      <c r="I1495" t="s">
        <v>51</v>
      </c>
      <c r="J1495" t="s">
        <v>22</v>
      </c>
    </row>
    <row r="1496" spans="1:10" x14ac:dyDescent="0.35">
      <c r="A1496">
        <v>1495</v>
      </c>
      <c r="B1496" s="1" t="s">
        <v>29</v>
      </c>
      <c r="C1496">
        <v>2007</v>
      </c>
      <c r="D1496" s="4">
        <v>5.4</v>
      </c>
      <c r="E1496" s="5">
        <v>138056</v>
      </c>
      <c r="F1496" s="1" t="s">
        <v>11</v>
      </c>
      <c r="G1496" s="10">
        <v>62923.78</v>
      </c>
      <c r="H1496" s="1" t="s">
        <v>31</v>
      </c>
      <c r="I1496" t="s">
        <v>52</v>
      </c>
      <c r="J1496" t="s">
        <v>14</v>
      </c>
    </row>
    <row r="1497" spans="1:10" x14ac:dyDescent="0.35">
      <c r="A1497">
        <v>1496</v>
      </c>
      <c r="B1497" s="1" t="s">
        <v>10</v>
      </c>
      <c r="C1497">
        <v>2001</v>
      </c>
      <c r="D1497" s="4">
        <v>1.2</v>
      </c>
      <c r="E1497" s="5">
        <v>158651</v>
      </c>
      <c r="F1497" s="1" t="s">
        <v>15</v>
      </c>
      <c r="G1497" s="10">
        <v>70253.37</v>
      </c>
      <c r="H1497" s="1" t="s">
        <v>12</v>
      </c>
      <c r="I1497" t="s">
        <v>13</v>
      </c>
      <c r="J1497" t="s">
        <v>14</v>
      </c>
    </row>
    <row r="1498" spans="1:10" x14ac:dyDescent="0.35">
      <c r="A1498">
        <v>1497</v>
      </c>
      <c r="B1498" s="1" t="s">
        <v>23</v>
      </c>
      <c r="C1498">
        <v>2015</v>
      </c>
      <c r="D1498" s="4">
        <v>2.2000000000000002</v>
      </c>
      <c r="E1498" s="5">
        <v>234347</v>
      </c>
      <c r="F1498" s="1" t="s">
        <v>15</v>
      </c>
      <c r="G1498" s="10">
        <v>48632.89</v>
      </c>
      <c r="H1498" s="1" t="s">
        <v>34</v>
      </c>
      <c r="I1498" t="s">
        <v>51</v>
      </c>
      <c r="J1498" t="s">
        <v>14</v>
      </c>
    </row>
    <row r="1499" spans="1:10" x14ac:dyDescent="0.35">
      <c r="A1499">
        <v>1498</v>
      </c>
      <c r="B1499" s="1" t="s">
        <v>23</v>
      </c>
      <c r="C1499">
        <v>2019</v>
      </c>
      <c r="D1499" s="4">
        <v>5.5</v>
      </c>
      <c r="E1499" s="5">
        <v>186005</v>
      </c>
      <c r="F1499" s="1" t="s">
        <v>16</v>
      </c>
      <c r="G1499" s="10">
        <v>58722.57</v>
      </c>
      <c r="H1499" s="1" t="s">
        <v>42</v>
      </c>
      <c r="I1499" t="s">
        <v>51</v>
      </c>
      <c r="J1499" t="s">
        <v>14</v>
      </c>
    </row>
    <row r="1500" spans="1:10" x14ac:dyDescent="0.35">
      <c r="A1500">
        <v>1499</v>
      </c>
      <c r="B1500" s="1" t="s">
        <v>23</v>
      </c>
      <c r="C1500">
        <v>2023</v>
      </c>
      <c r="D1500" s="4">
        <v>2.2999999999999998</v>
      </c>
      <c r="E1500" s="5">
        <v>162553</v>
      </c>
      <c r="F1500" s="1" t="s">
        <v>16</v>
      </c>
      <c r="G1500" s="10">
        <v>70936.28</v>
      </c>
      <c r="H1500" s="1" t="s">
        <v>42</v>
      </c>
      <c r="I1500" t="s">
        <v>51</v>
      </c>
      <c r="J1500" t="s">
        <v>14</v>
      </c>
    </row>
    <row r="1501" spans="1:10" x14ac:dyDescent="0.35">
      <c r="A1501">
        <v>1500</v>
      </c>
      <c r="B1501" s="1" t="s">
        <v>29</v>
      </c>
      <c r="C1501">
        <v>2011</v>
      </c>
      <c r="D1501" s="4">
        <v>2.1</v>
      </c>
      <c r="E1501" s="5">
        <v>944</v>
      </c>
      <c r="F1501" s="1" t="s">
        <v>15</v>
      </c>
      <c r="G1501" s="10">
        <v>77932.45</v>
      </c>
      <c r="H1501" s="1" t="s">
        <v>31</v>
      </c>
      <c r="I1501" t="s">
        <v>53</v>
      </c>
      <c r="J1501" t="s">
        <v>22</v>
      </c>
    </row>
    <row r="1502" spans="1:10" x14ac:dyDescent="0.35">
      <c r="A1502">
        <v>1501</v>
      </c>
      <c r="B1502" s="1" t="s">
        <v>29</v>
      </c>
      <c r="C1502">
        <v>2005</v>
      </c>
      <c r="D1502" s="4">
        <v>1.7</v>
      </c>
      <c r="E1502" s="5">
        <v>93993</v>
      </c>
      <c r="F1502" s="1" t="s">
        <v>16</v>
      </c>
      <c r="G1502" s="10">
        <v>90079.29</v>
      </c>
      <c r="H1502" s="1" t="s">
        <v>38</v>
      </c>
      <c r="I1502" t="s">
        <v>51</v>
      </c>
      <c r="J1502" t="s">
        <v>14</v>
      </c>
    </row>
    <row r="1503" spans="1:10" x14ac:dyDescent="0.35">
      <c r="A1503">
        <v>1502</v>
      </c>
      <c r="B1503" s="1" t="s">
        <v>25</v>
      </c>
      <c r="C1503">
        <v>2000</v>
      </c>
      <c r="D1503" s="4">
        <v>5.3</v>
      </c>
      <c r="E1503" s="5">
        <v>271258</v>
      </c>
      <c r="F1503" s="1" t="s">
        <v>15</v>
      </c>
      <c r="G1503" s="10">
        <v>38681.699999999997</v>
      </c>
      <c r="H1503" s="1" t="s">
        <v>49</v>
      </c>
      <c r="I1503" t="s">
        <v>51</v>
      </c>
      <c r="J1503" t="s">
        <v>14</v>
      </c>
    </row>
    <row r="1504" spans="1:10" x14ac:dyDescent="0.35">
      <c r="A1504">
        <v>1503</v>
      </c>
      <c r="B1504" s="1" t="s">
        <v>35</v>
      </c>
      <c r="C1504">
        <v>2003</v>
      </c>
      <c r="D1504" s="4">
        <v>3.5</v>
      </c>
      <c r="E1504" s="5">
        <v>214738</v>
      </c>
      <c r="F1504" s="1" t="s">
        <v>16</v>
      </c>
      <c r="G1504" s="10">
        <v>95390.34</v>
      </c>
      <c r="H1504" s="1" t="s">
        <v>47</v>
      </c>
      <c r="I1504" t="s">
        <v>53</v>
      </c>
      <c r="J1504" t="s">
        <v>14</v>
      </c>
    </row>
    <row r="1505" spans="1:10" x14ac:dyDescent="0.35">
      <c r="A1505">
        <v>1504</v>
      </c>
      <c r="B1505" s="1" t="s">
        <v>25</v>
      </c>
      <c r="C1505">
        <v>2016</v>
      </c>
      <c r="D1505" s="4">
        <v>4.4000000000000004</v>
      </c>
      <c r="E1505" s="5">
        <v>208920</v>
      </c>
      <c r="F1505" s="1" t="s">
        <v>11</v>
      </c>
      <c r="G1505" s="10">
        <v>65541.58</v>
      </c>
      <c r="H1505" s="1" t="s">
        <v>41</v>
      </c>
      <c r="I1505" t="s">
        <v>53</v>
      </c>
      <c r="J1505" t="s">
        <v>14</v>
      </c>
    </row>
    <row r="1506" spans="1:10" x14ac:dyDescent="0.35">
      <c r="A1506">
        <v>1505</v>
      </c>
      <c r="B1506" s="1" t="s">
        <v>25</v>
      </c>
      <c r="C1506">
        <v>2012</v>
      </c>
      <c r="D1506" s="4">
        <v>2.2000000000000002</v>
      </c>
      <c r="E1506" s="5">
        <v>256805</v>
      </c>
      <c r="F1506" s="1" t="s">
        <v>11</v>
      </c>
      <c r="G1506" s="10">
        <v>79831.679999999993</v>
      </c>
      <c r="H1506" s="1" t="s">
        <v>49</v>
      </c>
      <c r="I1506" t="s">
        <v>52</v>
      </c>
      <c r="J1506" t="s">
        <v>22</v>
      </c>
    </row>
    <row r="1507" spans="1:10" x14ac:dyDescent="0.35">
      <c r="A1507">
        <v>1506</v>
      </c>
      <c r="B1507" s="1" t="s">
        <v>29</v>
      </c>
      <c r="C1507">
        <v>2017</v>
      </c>
      <c r="D1507" s="4">
        <v>4.8</v>
      </c>
      <c r="E1507" s="5">
        <v>294740</v>
      </c>
      <c r="F1507" s="1" t="s">
        <v>15</v>
      </c>
      <c r="G1507" s="10">
        <v>71478.06</v>
      </c>
      <c r="H1507" s="1" t="s">
        <v>38</v>
      </c>
      <c r="I1507" t="s">
        <v>13</v>
      </c>
      <c r="J1507" t="s">
        <v>14</v>
      </c>
    </row>
    <row r="1508" spans="1:10" x14ac:dyDescent="0.35">
      <c r="A1508">
        <v>1507</v>
      </c>
      <c r="B1508" s="1" t="s">
        <v>23</v>
      </c>
      <c r="C1508">
        <v>2004</v>
      </c>
      <c r="D1508" s="4">
        <v>4.8</v>
      </c>
      <c r="E1508" s="5">
        <v>104087</v>
      </c>
      <c r="F1508" s="1" t="s">
        <v>15</v>
      </c>
      <c r="G1508" s="10">
        <v>24529.31</v>
      </c>
      <c r="H1508" s="1" t="s">
        <v>34</v>
      </c>
      <c r="I1508" t="s">
        <v>51</v>
      </c>
      <c r="J1508" t="s">
        <v>14</v>
      </c>
    </row>
    <row r="1509" spans="1:10" x14ac:dyDescent="0.35">
      <c r="A1509">
        <v>1508</v>
      </c>
      <c r="B1509" s="1" t="s">
        <v>20</v>
      </c>
      <c r="C1509">
        <v>2023</v>
      </c>
      <c r="D1509" s="4">
        <v>2.6</v>
      </c>
      <c r="E1509" s="5">
        <v>269051</v>
      </c>
      <c r="F1509" s="1" t="s">
        <v>11</v>
      </c>
      <c r="G1509" s="10">
        <v>11786.65</v>
      </c>
      <c r="H1509" s="1" t="s">
        <v>46</v>
      </c>
      <c r="I1509" t="s">
        <v>51</v>
      </c>
      <c r="J1509" t="s">
        <v>14</v>
      </c>
    </row>
    <row r="1510" spans="1:10" x14ac:dyDescent="0.35">
      <c r="A1510">
        <v>1509</v>
      </c>
      <c r="B1510" s="1" t="s">
        <v>35</v>
      </c>
      <c r="C1510">
        <v>2023</v>
      </c>
      <c r="D1510" s="4">
        <v>3.1</v>
      </c>
      <c r="E1510" s="5">
        <v>255035</v>
      </c>
      <c r="F1510" s="1" t="s">
        <v>11</v>
      </c>
      <c r="G1510" s="10">
        <v>73997.210000000006</v>
      </c>
      <c r="H1510" s="1" t="s">
        <v>45</v>
      </c>
      <c r="I1510" t="s">
        <v>51</v>
      </c>
      <c r="J1510" t="s">
        <v>14</v>
      </c>
    </row>
    <row r="1511" spans="1:10" x14ac:dyDescent="0.35">
      <c r="A1511">
        <v>1510</v>
      </c>
      <c r="B1511" s="1" t="s">
        <v>29</v>
      </c>
      <c r="C1511">
        <v>2002</v>
      </c>
      <c r="D1511" s="4">
        <v>2</v>
      </c>
      <c r="E1511" s="5">
        <v>159186</v>
      </c>
      <c r="F1511" s="1" t="s">
        <v>16</v>
      </c>
      <c r="G1511" s="10">
        <v>53550</v>
      </c>
      <c r="H1511" s="1" t="s">
        <v>31</v>
      </c>
      <c r="I1511" t="s">
        <v>52</v>
      </c>
      <c r="J1511" t="s">
        <v>22</v>
      </c>
    </row>
    <row r="1512" spans="1:10" x14ac:dyDescent="0.35">
      <c r="A1512">
        <v>1511</v>
      </c>
      <c r="B1512" s="1" t="s">
        <v>23</v>
      </c>
      <c r="C1512">
        <v>2010</v>
      </c>
      <c r="D1512" s="4">
        <v>5.9</v>
      </c>
      <c r="E1512" s="5">
        <v>287153</v>
      </c>
      <c r="F1512" s="1" t="s">
        <v>15</v>
      </c>
      <c r="G1512" s="10">
        <v>71710.27</v>
      </c>
      <c r="H1512" s="1" t="s">
        <v>24</v>
      </c>
      <c r="I1512" t="s">
        <v>51</v>
      </c>
      <c r="J1512" t="s">
        <v>14</v>
      </c>
    </row>
    <row r="1513" spans="1:10" x14ac:dyDescent="0.35">
      <c r="A1513">
        <v>1512</v>
      </c>
      <c r="B1513" s="1" t="s">
        <v>10</v>
      </c>
      <c r="C1513">
        <v>2012</v>
      </c>
      <c r="D1513" s="4">
        <v>4.2</v>
      </c>
      <c r="E1513" s="5">
        <v>166797</v>
      </c>
      <c r="F1513" s="1" t="s">
        <v>11</v>
      </c>
      <c r="G1513" s="10">
        <v>50300.07</v>
      </c>
      <c r="H1513" s="1" t="s">
        <v>19</v>
      </c>
      <c r="I1513" t="s">
        <v>13</v>
      </c>
      <c r="J1513" t="s">
        <v>14</v>
      </c>
    </row>
    <row r="1514" spans="1:10" x14ac:dyDescent="0.35">
      <c r="A1514">
        <v>1513</v>
      </c>
      <c r="B1514" s="1" t="s">
        <v>20</v>
      </c>
      <c r="C1514">
        <v>2003</v>
      </c>
      <c r="D1514" s="4">
        <v>5.7</v>
      </c>
      <c r="E1514" s="5">
        <v>281140</v>
      </c>
      <c r="F1514" s="1" t="s">
        <v>11</v>
      </c>
      <c r="G1514" s="10">
        <v>34662.28</v>
      </c>
      <c r="H1514" s="1" t="s">
        <v>21</v>
      </c>
      <c r="I1514" t="s">
        <v>53</v>
      </c>
      <c r="J1514" t="s">
        <v>14</v>
      </c>
    </row>
    <row r="1515" spans="1:10" x14ac:dyDescent="0.35">
      <c r="A1515">
        <v>1514</v>
      </c>
      <c r="B1515" s="1" t="s">
        <v>20</v>
      </c>
      <c r="C1515">
        <v>2013</v>
      </c>
      <c r="D1515" s="4">
        <v>2.5</v>
      </c>
      <c r="E1515" s="5">
        <v>290911</v>
      </c>
      <c r="F1515" s="1" t="s">
        <v>15</v>
      </c>
      <c r="G1515" s="10">
        <v>32076.7</v>
      </c>
      <c r="H1515" s="1" t="s">
        <v>39</v>
      </c>
      <c r="I1515" t="s">
        <v>52</v>
      </c>
      <c r="J1515" t="s">
        <v>14</v>
      </c>
    </row>
    <row r="1516" spans="1:10" x14ac:dyDescent="0.35">
      <c r="A1516">
        <v>1515</v>
      </c>
      <c r="B1516" s="1" t="s">
        <v>29</v>
      </c>
      <c r="C1516">
        <v>2021</v>
      </c>
      <c r="D1516" s="4">
        <v>4.9000000000000004</v>
      </c>
      <c r="E1516" s="5">
        <v>278491</v>
      </c>
      <c r="F1516" s="1" t="s">
        <v>16</v>
      </c>
      <c r="G1516" s="10">
        <v>74400.55</v>
      </c>
      <c r="H1516" s="1" t="s">
        <v>38</v>
      </c>
      <c r="I1516" t="s">
        <v>53</v>
      </c>
      <c r="J1516" t="s">
        <v>14</v>
      </c>
    </row>
    <row r="1517" spans="1:10" x14ac:dyDescent="0.35">
      <c r="A1517">
        <v>1516</v>
      </c>
      <c r="B1517" s="1" t="s">
        <v>27</v>
      </c>
      <c r="C1517">
        <v>2010</v>
      </c>
      <c r="D1517" s="4">
        <v>4.8</v>
      </c>
      <c r="E1517" s="5">
        <v>102063</v>
      </c>
      <c r="F1517" s="1" t="s">
        <v>16</v>
      </c>
      <c r="G1517" s="10">
        <v>31294.11</v>
      </c>
      <c r="H1517" s="1" t="s">
        <v>48</v>
      </c>
      <c r="I1517" t="s">
        <v>51</v>
      </c>
      <c r="J1517" t="s">
        <v>14</v>
      </c>
    </row>
    <row r="1518" spans="1:10" x14ac:dyDescent="0.35">
      <c r="A1518">
        <v>1517</v>
      </c>
      <c r="B1518" s="1" t="s">
        <v>35</v>
      </c>
      <c r="C1518">
        <v>2009</v>
      </c>
      <c r="D1518" s="4">
        <v>4.5</v>
      </c>
      <c r="E1518" s="5">
        <v>24102</v>
      </c>
      <c r="F1518" s="1" t="s">
        <v>16</v>
      </c>
      <c r="G1518" s="10">
        <v>72894.3</v>
      </c>
      <c r="H1518" s="1" t="s">
        <v>36</v>
      </c>
      <c r="I1518" t="s">
        <v>51</v>
      </c>
      <c r="J1518" t="s">
        <v>22</v>
      </c>
    </row>
    <row r="1519" spans="1:10" x14ac:dyDescent="0.35">
      <c r="A1519">
        <v>1518</v>
      </c>
      <c r="B1519" s="1" t="s">
        <v>20</v>
      </c>
      <c r="C1519">
        <v>2018</v>
      </c>
      <c r="D1519" s="4">
        <v>5.8</v>
      </c>
      <c r="E1519" s="5">
        <v>4263</v>
      </c>
      <c r="F1519" s="1" t="s">
        <v>16</v>
      </c>
      <c r="G1519" s="10">
        <v>41476.21</v>
      </c>
      <c r="H1519" s="1" t="s">
        <v>21</v>
      </c>
      <c r="I1519" t="s">
        <v>51</v>
      </c>
      <c r="J1519" t="s">
        <v>14</v>
      </c>
    </row>
    <row r="1520" spans="1:10" x14ac:dyDescent="0.35">
      <c r="A1520">
        <v>1519</v>
      </c>
      <c r="B1520" s="1" t="s">
        <v>29</v>
      </c>
      <c r="C1520">
        <v>2017</v>
      </c>
      <c r="D1520" s="4">
        <v>3</v>
      </c>
      <c r="E1520" s="5">
        <v>67438</v>
      </c>
      <c r="F1520" s="1" t="s">
        <v>11</v>
      </c>
      <c r="G1520" s="10">
        <v>78235.350000000006</v>
      </c>
      <c r="H1520" s="1" t="s">
        <v>38</v>
      </c>
      <c r="I1520" t="s">
        <v>13</v>
      </c>
      <c r="J1520" t="s">
        <v>22</v>
      </c>
    </row>
    <row r="1521" spans="1:10" x14ac:dyDescent="0.35">
      <c r="A1521">
        <v>1520</v>
      </c>
      <c r="B1521" s="1" t="s">
        <v>29</v>
      </c>
      <c r="C1521">
        <v>2005</v>
      </c>
      <c r="D1521" s="4">
        <v>1.7</v>
      </c>
      <c r="E1521" s="5">
        <v>96359</v>
      </c>
      <c r="F1521" s="1" t="s">
        <v>15</v>
      </c>
      <c r="G1521" s="10">
        <v>18566.939999999999</v>
      </c>
      <c r="H1521" s="1" t="s">
        <v>43</v>
      </c>
      <c r="I1521" t="s">
        <v>13</v>
      </c>
      <c r="J1521" t="s">
        <v>22</v>
      </c>
    </row>
    <row r="1522" spans="1:10" x14ac:dyDescent="0.35">
      <c r="A1522">
        <v>1521</v>
      </c>
      <c r="B1522" s="1" t="s">
        <v>23</v>
      </c>
      <c r="C1522">
        <v>2014</v>
      </c>
      <c r="D1522" s="4">
        <v>4.4000000000000004</v>
      </c>
      <c r="E1522" s="5">
        <v>130251</v>
      </c>
      <c r="F1522" s="1" t="s">
        <v>15</v>
      </c>
      <c r="G1522" s="10">
        <v>24473.09</v>
      </c>
      <c r="H1522" s="1" t="s">
        <v>32</v>
      </c>
      <c r="I1522" t="s">
        <v>52</v>
      </c>
      <c r="J1522" t="s">
        <v>14</v>
      </c>
    </row>
    <row r="1523" spans="1:10" x14ac:dyDescent="0.35">
      <c r="A1523">
        <v>1522</v>
      </c>
      <c r="B1523" s="1" t="s">
        <v>10</v>
      </c>
      <c r="C1523">
        <v>2020</v>
      </c>
      <c r="D1523" s="4">
        <v>4.5999999999999996</v>
      </c>
      <c r="E1523" s="5">
        <v>171915</v>
      </c>
      <c r="F1523" s="1" t="s">
        <v>11</v>
      </c>
      <c r="G1523" s="10">
        <v>70161.600000000006</v>
      </c>
      <c r="H1523" s="1" t="s">
        <v>19</v>
      </c>
      <c r="I1523" t="s">
        <v>13</v>
      </c>
      <c r="J1523" t="s">
        <v>14</v>
      </c>
    </row>
    <row r="1524" spans="1:10" x14ac:dyDescent="0.35">
      <c r="A1524">
        <v>1523</v>
      </c>
      <c r="B1524" s="1" t="s">
        <v>27</v>
      </c>
      <c r="C1524">
        <v>2009</v>
      </c>
      <c r="D1524" s="4">
        <v>3.9</v>
      </c>
      <c r="E1524" s="5">
        <v>27690</v>
      </c>
      <c r="F1524" s="1" t="s">
        <v>11</v>
      </c>
      <c r="G1524" s="10">
        <v>58221.96</v>
      </c>
      <c r="H1524" s="1" t="s">
        <v>48</v>
      </c>
      <c r="I1524" t="s">
        <v>51</v>
      </c>
      <c r="J1524" t="s">
        <v>14</v>
      </c>
    </row>
    <row r="1525" spans="1:10" x14ac:dyDescent="0.35">
      <c r="A1525">
        <v>1524</v>
      </c>
      <c r="B1525" s="1" t="s">
        <v>35</v>
      </c>
      <c r="C1525">
        <v>2004</v>
      </c>
      <c r="D1525" s="4">
        <v>2</v>
      </c>
      <c r="E1525" s="5">
        <v>2994</v>
      </c>
      <c r="F1525" s="1" t="s">
        <v>11</v>
      </c>
      <c r="G1525" s="10">
        <v>24368.44</v>
      </c>
      <c r="H1525" s="1" t="s">
        <v>45</v>
      </c>
      <c r="I1525" t="s">
        <v>51</v>
      </c>
      <c r="J1525" t="s">
        <v>22</v>
      </c>
    </row>
    <row r="1526" spans="1:10" x14ac:dyDescent="0.35">
      <c r="A1526">
        <v>1525</v>
      </c>
      <c r="B1526" s="1" t="s">
        <v>25</v>
      </c>
      <c r="C1526">
        <v>2004</v>
      </c>
      <c r="D1526" s="4">
        <v>3.5</v>
      </c>
      <c r="E1526" s="5">
        <v>103533</v>
      </c>
      <c r="F1526" s="1" t="s">
        <v>15</v>
      </c>
      <c r="G1526" s="10">
        <v>90768.57</v>
      </c>
      <c r="H1526" s="1" t="s">
        <v>44</v>
      </c>
      <c r="I1526" t="s">
        <v>51</v>
      </c>
      <c r="J1526" t="s">
        <v>14</v>
      </c>
    </row>
    <row r="1527" spans="1:10" x14ac:dyDescent="0.35">
      <c r="A1527">
        <v>1526</v>
      </c>
      <c r="B1527" s="1" t="s">
        <v>10</v>
      </c>
      <c r="C1527">
        <v>2009</v>
      </c>
      <c r="D1527" s="4">
        <v>2.6</v>
      </c>
      <c r="E1527" s="5">
        <v>67546</v>
      </c>
      <c r="F1527" s="1" t="s">
        <v>15</v>
      </c>
      <c r="G1527" s="10">
        <v>31214.69</v>
      </c>
      <c r="H1527" s="1" t="s">
        <v>18</v>
      </c>
      <c r="I1527" t="s">
        <v>13</v>
      </c>
      <c r="J1527" t="s">
        <v>14</v>
      </c>
    </row>
    <row r="1528" spans="1:10" x14ac:dyDescent="0.35">
      <c r="A1528">
        <v>1527</v>
      </c>
      <c r="B1528" s="1" t="s">
        <v>10</v>
      </c>
      <c r="C1528">
        <v>2004</v>
      </c>
      <c r="D1528" s="4">
        <v>3.1</v>
      </c>
      <c r="E1528" s="5">
        <v>26467</v>
      </c>
      <c r="F1528" s="1" t="s">
        <v>15</v>
      </c>
      <c r="G1528" s="10">
        <v>45001.78</v>
      </c>
      <c r="H1528" s="1" t="s">
        <v>12</v>
      </c>
      <c r="I1528" t="s">
        <v>13</v>
      </c>
      <c r="J1528" t="s">
        <v>14</v>
      </c>
    </row>
    <row r="1529" spans="1:10" x14ac:dyDescent="0.35">
      <c r="A1529">
        <v>1528</v>
      </c>
      <c r="B1529" s="1" t="s">
        <v>23</v>
      </c>
      <c r="C1529">
        <v>2002</v>
      </c>
      <c r="D1529" s="4">
        <v>4.2</v>
      </c>
      <c r="E1529" s="5">
        <v>246590</v>
      </c>
      <c r="F1529" s="1" t="s">
        <v>16</v>
      </c>
      <c r="G1529" s="10">
        <v>24217.35</v>
      </c>
      <c r="H1529" s="1" t="s">
        <v>24</v>
      </c>
      <c r="I1529" t="s">
        <v>53</v>
      </c>
      <c r="J1529" t="s">
        <v>14</v>
      </c>
    </row>
    <row r="1530" spans="1:10" x14ac:dyDescent="0.35">
      <c r="A1530">
        <v>1529</v>
      </c>
      <c r="B1530" s="1" t="s">
        <v>20</v>
      </c>
      <c r="C1530">
        <v>2022</v>
      </c>
      <c r="D1530" s="4">
        <v>4.7</v>
      </c>
      <c r="E1530" s="5">
        <v>131120</v>
      </c>
      <c r="F1530" s="1" t="s">
        <v>11</v>
      </c>
      <c r="G1530" s="10">
        <v>41862.620000000003</v>
      </c>
      <c r="H1530" s="1" t="s">
        <v>46</v>
      </c>
      <c r="I1530" t="s">
        <v>53</v>
      </c>
      <c r="J1530" t="s">
        <v>22</v>
      </c>
    </row>
    <row r="1531" spans="1:10" x14ac:dyDescent="0.35">
      <c r="A1531">
        <v>1530</v>
      </c>
      <c r="B1531" s="1" t="s">
        <v>20</v>
      </c>
      <c r="C1531">
        <v>2005</v>
      </c>
      <c r="D1531" s="4">
        <v>2.2000000000000002</v>
      </c>
      <c r="E1531" s="5">
        <v>168050</v>
      </c>
      <c r="F1531" s="1" t="s">
        <v>11</v>
      </c>
      <c r="G1531" s="10">
        <v>51706.44</v>
      </c>
      <c r="H1531" s="1" t="s">
        <v>46</v>
      </c>
      <c r="I1531" t="s">
        <v>52</v>
      </c>
      <c r="J1531" t="s">
        <v>22</v>
      </c>
    </row>
    <row r="1532" spans="1:10" x14ac:dyDescent="0.35">
      <c r="A1532">
        <v>1531</v>
      </c>
      <c r="B1532" s="1" t="s">
        <v>23</v>
      </c>
      <c r="C1532">
        <v>2003</v>
      </c>
      <c r="D1532" s="4">
        <v>3</v>
      </c>
      <c r="E1532" s="5">
        <v>73414</v>
      </c>
      <c r="F1532" s="1" t="s">
        <v>11</v>
      </c>
      <c r="G1532" s="10">
        <v>33048.47</v>
      </c>
      <c r="H1532" s="1" t="s">
        <v>32</v>
      </c>
      <c r="I1532" t="s">
        <v>13</v>
      </c>
      <c r="J1532" t="s">
        <v>22</v>
      </c>
    </row>
    <row r="1533" spans="1:10" x14ac:dyDescent="0.35">
      <c r="A1533">
        <v>1532</v>
      </c>
      <c r="B1533" s="1" t="s">
        <v>29</v>
      </c>
      <c r="C1533">
        <v>2017</v>
      </c>
      <c r="D1533" s="4">
        <v>2.2999999999999998</v>
      </c>
      <c r="E1533" s="5">
        <v>180294</v>
      </c>
      <c r="F1533" s="1" t="s">
        <v>15</v>
      </c>
      <c r="G1533" s="10">
        <v>78063.899999999994</v>
      </c>
      <c r="H1533" s="1" t="s">
        <v>38</v>
      </c>
      <c r="I1533" t="s">
        <v>51</v>
      </c>
      <c r="J1533" t="s">
        <v>22</v>
      </c>
    </row>
    <row r="1534" spans="1:10" x14ac:dyDescent="0.35">
      <c r="A1534">
        <v>1533</v>
      </c>
      <c r="B1534" s="1" t="s">
        <v>20</v>
      </c>
      <c r="C1534">
        <v>2008</v>
      </c>
      <c r="D1534" s="4">
        <v>2</v>
      </c>
      <c r="E1534" s="5">
        <v>48115</v>
      </c>
      <c r="F1534" s="1" t="s">
        <v>11</v>
      </c>
      <c r="G1534" s="10">
        <v>42423.63</v>
      </c>
      <c r="H1534" s="1" t="s">
        <v>46</v>
      </c>
      <c r="I1534" t="s">
        <v>53</v>
      </c>
      <c r="J1534" t="s">
        <v>22</v>
      </c>
    </row>
    <row r="1535" spans="1:10" x14ac:dyDescent="0.35">
      <c r="A1535">
        <v>1534</v>
      </c>
      <c r="B1535" s="1" t="s">
        <v>27</v>
      </c>
      <c r="C1535">
        <v>2016</v>
      </c>
      <c r="D1535" s="4">
        <v>4.9000000000000004</v>
      </c>
      <c r="E1535" s="5">
        <v>40647</v>
      </c>
      <c r="F1535" s="1" t="s">
        <v>11</v>
      </c>
      <c r="G1535" s="10">
        <v>74303.45</v>
      </c>
      <c r="H1535" s="1" t="s">
        <v>37</v>
      </c>
      <c r="I1535" t="s">
        <v>53</v>
      </c>
      <c r="J1535" t="s">
        <v>14</v>
      </c>
    </row>
    <row r="1536" spans="1:10" x14ac:dyDescent="0.35">
      <c r="A1536">
        <v>1535</v>
      </c>
      <c r="B1536" s="1" t="s">
        <v>35</v>
      </c>
      <c r="C1536">
        <v>2012</v>
      </c>
      <c r="D1536" s="4">
        <v>5.5</v>
      </c>
      <c r="E1536" s="5">
        <v>54607</v>
      </c>
      <c r="F1536" s="1" t="s">
        <v>16</v>
      </c>
      <c r="G1536" s="10">
        <v>24671.86</v>
      </c>
      <c r="H1536" s="1" t="s">
        <v>45</v>
      </c>
      <c r="I1536" t="s">
        <v>13</v>
      </c>
      <c r="J1536" t="s">
        <v>22</v>
      </c>
    </row>
    <row r="1537" spans="1:10" x14ac:dyDescent="0.35">
      <c r="A1537">
        <v>1536</v>
      </c>
      <c r="B1537" s="1" t="s">
        <v>10</v>
      </c>
      <c r="C1537">
        <v>2014</v>
      </c>
      <c r="D1537" s="4">
        <v>2.9</v>
      </c>
      <c r="E1537" s="5">
        <v>21996</v>
      </c>
      <c r="F1537" s="1" t="s">
        <v>15</v>
      </c>
      <c r="G1537" s="10">
        <v>40818.370000000003</v>
      </c>
      <c r="H1537" s="1" t="s">
        <v>12</v>
      </c>
      <c r="I1537" t="s">
        <v>13</v>
      </c>
      <c r="J1537" t="s">
        <v>14</v>
      </c>
    </row>
    <row r="1538" spans="1:10" x14ac:dyDescent="0.35">
      <c r="A1538">
        <v>1537</v>
      </c>
      <c r="B1538" s="1" t="s">
        <v>10</v>
      </c>
      <c r="C1538">
        <v>2019</v>
      </c>
      <c r="D1538" s="4">
        <v>4.8</v>
      </c>
      <c r="E1538" s="5">
        <v>83697</v>
      </c>
      <c r="F1538" s="1" t="s">
        <v>11</v>
      </c>
      <c r="G1538" s="10">
        <v>5765.54</v>
      </c>
      <c r="H1538" s="1" t="s">
        <v>19</v>
      </c>
      <c r="I1538" t="s">
        <v>13</v>
      </c>
      <c r="J1538" t="s">
        <v>14</v>
      </c>
    </row>
    <row r="1539" spans="1:10" x14ac:dyDescent="0.35">
      <c r="A1539">
        <v>1538</v>
      </c>
      <c r="B1539" s="1" t="s">
        <v>27</v>
      </c>
      <c r="C1539">
        <v>2016</v>
      </c>
      <c r="D1539" s="4">
        <v>5.5</v>
      </c>
      <c r="E1539" s="5">
        <v>67764</v>
      </c>
      <c r="F1539" s="1" t="s">
        <v>15</v>
      </c>
      <c r="G1539" s="10">
        <v>77070.570000000007</v>
      </c>
      <c r="H1539" s="1" t="s">
        <v>28</v>
      </c>
      <c r="I1539" t="s">
        <v>51</v>
      </c>
      <c r="J1539" t="s">
        <v>14</v>
      </c>
    </row>
    <row r="1540" spans="1:10" x14ac:dyDescent="0.35">
      <c r="A1540">
        <v>1539</v>
      </c>
      <c r="B1540" s="1" t="s">
        <v>20</v>
      </c>
      <c r="C1540">
        <v>2012</v>
      </c>
      <c r="D1540" s="4">
        <v>5.2</v>
      </c>
      <c r="E1540" s="5">
        <v>239190</v>
      </c>
      <c r="F1540" s="1" t="s">
        <v>15</v>
      </c>
      <c r="G1540" s="10">
        <v>64459.23</v>
      </c>
      <c r="H1540" s="1" t="s">
        <v>33</v>
      </c>
      <c r="I1540" t="s">
        <v>52</v>
      </c>
      <c r="J1540" t="s">
        <v>14</v>
      </c>
    </row>
    <row r="1541" spans="1:10" x14ac:dyDescent="0.35">
      <c r="A1541">
        <v>1540</v>
      </c>
      <c r="B1541" s="1" t="s">
        <v>10</v>
      </c>
      <c r="C1541">
        <v>2015</v>
      </c>
      <c r="D1541" s="4">
        <v>1.9</v>
      </c>
      <c r="E1541" s="5">
        <v>8888</v>
      </c>
      <c r="F1541" s="1" t="s">
        <v>15</v>
      </c>
      <c r="G1541" s="10">
        <v>82693.22</v>
      </c>
      <c r="H1541" s="1" t="s">
        <v>17</v>
      </c>
      <c r="I1541" t="s">
        <v>13</v>
      </c>
      <c r="J1541" t="s">
        <v>14</v>
      </c>
    </row>
    <row r="1542" spans="1:10" x14ac:dyDescent="0.35">
      <c r="A1542">
        <v>1541</v>
      </c>
      <c r="B1542" s="1" t="s">
        <v>25</v>
      </c>
      <c r="C1542">
        <v>2021</v>
      </c>
      <c r="D1542" s="4">
        <v>5.8</v>
      </c>
      <c r="E1542" s="5">
        <v>219738</v>
      </c>
      <c r="F1542" s="1" t="s">
        <v>16</v>
      </c>
      <c r="G1542" s="10">
        <v>48283.02</v>
      </c>
      <c r="H1542" s="1" t="s">
        <v>49</v>
      </c>
      <c r="I1542" t="s">
        <v>52</v>
      </c>
      <c r="J1542" t="s">
        <v>22</v>
      </c>
    </row>
    <row r="1543" spans="1:10" x14ac:dyDescent="0.35">
      <c r="A1543">
        <v>1542</v>
      </c>
      <c r="B1543" s="1" t="s">
        <v>35</v>
      </c>
      <c r="C1543">
        <v>2003</v>
      </c>
      <c r="D1543" s="4">
        <v>2.9</v>
      </c>
      <c r="E1543" s="5">
        <v>221432</v>
      </c>
      <c r="F1543" s="1" t="s">
        <v>15</v>
      </c>
      <c r="G1543" s="10">
        <v>80975.360000000001</v>
      </c>
      <c r="H1543" s="1" t="s">
        <v>36</v>
      </c>
      <c r="I1543" t="s">
        <v>51</v>
      </c>
      <c r="J1543" t="s">
        <v>22</v>
      </c>
    </row>
    <row r="1544" spans="1:10" x14ac:dyDescent="0.35">
      <c r="A1544">
        <v>1543</v>
      </c>
      <c r="B1544" s="1" t="s">
        <v>35</v>
      </c>
      <c r="C1544">
        <v>2004</v>
      </c>
      <c r="D1544" s="4">
        <v>2.7</v>
      </c>
      <c r="E1544" s="5">
        <v>279477</v>
      </c>
      <c r="F1544" s="1" t="s">
        <v>15</v>
      </c>
      <c r="G1544" s="10">
        <v>66520.34</v>
      </c>
      <c r="H1544" s="1" t="s">
        <v>36</v>
      </c>
      <c r="I1544" t="s">
        <v>53</v>
      </c>
      <c r="J1544" t="s">
        <v>22</v>
      </c>
    </row>
    <row r="1545" spans="1:10" x14ac:dyDescent="0.35">
      <c r="A1545">
        <v>1544</v>
      </c>
      <c r="B1545" s="1" t="s">
        <v>10</v>
      </c>
      <c r="C1545">
        <v>2004</v>
      </c>
      <c r="D1545" s="4">
        <v>1.3</v>
      </c>
      <c r="E1545" s="5">
        <v>36355</v>
      </c>
      <c r="F1545" s="1" t="s">
        <v>15</v>
      </c>
      <c r="G1545" s="10">
        <v>5343.23</v>
      </c>
      <c r="H1545" s="1" t="s">
        <v>17</v>
      </c>
      <c r="I1545" t="s">
        <v>13</v>
      </c>
      <c r="J1545" t="s">
        <v>14</v>
      </c>
    </row>
    <row r="1546" spans="1:10" x14ac:dyDescent="0.35">
      <c r="A1546">
        <v>1545</v>
      </c>
      <c r="B1546" s="1" t="s">
        <v>23</v>
      </c>
      <c r="C1546">
        <v>2008</v>
      </c>
      <c r="D1546" s="4">
        <v>3.4</v>
      </c>
      <c r="E1546" s="5">
        <v>230487</v>
      </c>
      <c r="F1546" s="1" t="s">
        <v>11</v>
      </c>
      <c r="G1546" s="10">
        <v>29100.959999999999</v>
      </c>
      <c r="H1546" s="1" t="s">
        <v>24</v>
      </c>
      <c r="I1546" t="s">
        <v>52</v>
      </c>
      <c r="J1546" t="s">
        <v>14</v>
      </c>
    </row>
    <row r="1547" spans="1:10" x14ac:dyDescent="0.35">
      <c r="A1547">
        <v>1546</v>
      </c>
      <c r="B1547" s="1" t="s">
        <v>10</v>
      </c>
      <c r="C1547">
        <v>2016</v>
      </c>
      <c r="D1547" s="4">
        <v>1.5</v>
      </c>
      <c r="E1547" s="5">
        <v>129686</v>
      </c>
      <c r="F1547" s="1" t="s">
        <v>16</v>
      </c>
      <c r="G1547" s="10">
        <v>51919.68</v>
      </c>
      <c r="H1547" s="1" t="s">
        <v>17</v>
      </c>
      <c r="I1547" t="s">
        <v>13</v>
      </c>
      <c r="J1547" t="s">
        <v>14</v>
      </c>
    </row>
    <row r="1548" spans="1:10" x14ac:dyDescent="0.35">
      <c r="A1548">
        <v>1547</v>
      </c>
      <c r="B1548" s="1" t="s">
        <v>23</v>
      </c>
      <c r="C1548">
        <v>2012</v>
      </c>
      <c r="D1548" s="4">
        <v>2.2000000000000002</v>
      </c>
      <c r="E1548" s="5">
        <v>162217</v>
      </c>
      <c r="F1548" s="1" t="s">
        <v>11</v>
      </c>
      <c r="G1548" s="10">
        <v>63775.3</v>
      </c>
      <c r="H1548" s="1" t="s">
        <v>42</v>
      </c>
      <c r="I1548" t="s">
        <v>51</v>
      </c>
      <c r="J1548" t="s">
        <v>22</v>
      </c>
    </row>
    <row r="1549" spans="1:10" x14ac:dyDescent="0.35">
      <c r="A1549">
        <v>1548</v>
      </c>
      <c r="B1549" s="1" t="s">
        <v>10</v>
      </c>
      <c r="C1549">
        <v>2001</v>
      </c>
      <c r="D1549" s="4">
        <v>2.6</v>
      </c>
      <c r="E1549" s="5">
        <v>249602</v>
      </c>
      <c r="F1549" s="1" t="s">
        <v>16</v>
      </c>
      <c r="G1549" s="10">
        <v>11231.13</v>
      </c>
      <c r="H1549" s="1" t="s">
        <v>18</v>
      </c>
      <c r="I1549" t="s">
        <v>13</v>
      </c>
      <c r="J1549" t="s">
        <v>14</v>
      </c>
    </row>
    <row r="1550" spans="1:10" x14ac:dyDescent="0.35">
      <c r="A1550">
        <v>1549</v>
      </c>
      <c r="B1550" s="1" t="s">
        <v>25</v>
      </c>
      <c r="C1550">
        <v>2012</v>
      </c>
      <c r="D1550" s="4">
        <v>5</v>
      </c>
      <c r="E1550" s="5">
        <v>249434</v>
      </c>
      <c r="F1550" s="1" t="s">
        <v>16</v>
      </c>
      <c r="G1550" s="10">
        <v>71982.59</v>
      </c>
      <c r="H1550" s="1" t="s">
        <v>26</v>
      </c>
      <c r="I1550" t="s">
        <v>13</v>
      </c>
      <c r="J1550" t="s">
        <v>22</v>
      </c>
    </row>
    <row r="1551" spans="1:10" x14ac:dyDescent="0.35">
      <c r="A1551">
        <v>1550</v>
      </c>
      <c r="B1551" s="1" t="s">
        <v>29</v>
      </c>
      <c r="C1551">
        <v>2021</v>
      </c>
      <c r="D1551" s="4">
        <v>5.4</v>
      </c>
      <c r="E1551" s="5">
        <v>180926</v>
      </c>
      <c r="F1551" s="1" t="s">
        <v>15</v>
      </c>
      <c r="G1551" s="10">
        <v>56635.93</v>
      </c>
      <c r="H1551" s="1" t="s">
        <v>38</v>
      </c>
      <c r="I1551" t="s">
        <v>53</v>
      </c>
      <c r="J1551" t="s">
        <v>14</v>
      </c>
    </row>
    <row r="1552" spans="1:10" x14ac:dyDescent="0.35">
      <c r="A1552">
        <v>1551</v>
      </c>
      <c r="B1552" s="1" t="s">
        <v>35</v>
      </c>
      <c r="C1552">
        <v>2020</v>
      </c>
      <c r="D1552" s="4">
        <v>2.5</v>
      </c>
      <c r="E1552" s="5">
        <v>67664</v>
      </c>
      <c r="F1552" s="1" t="s">
        <v>15</v>
      </c>
      <c r="G1552" s="10">
        <v>54949.03</v>
      </c>
      <c r="H1552" s="1" t="s">
        <v>36</v>
      </c>
      <c r="I1552" t="s">
        <v>13</v>
      </c>
      <c r="J1552" t="s">
        <v>14</v>
      </c>
    </row>
    <row r="1553" spans="1:10" x14ac:dyDescent="0.35">
      <c r="A1553">
        <v>1552</v>
      </c>
      <c r="B1553" s="1" t="s">
        <v>10</v>
      </c>
      <c r="C1553">
        <v>2022</v>
      </c>
      <c r="D1553" s="4">
        <v>5.3</v>
      </c>
      <c r="E1553" s="5">
        <v>86153</v>
      </c>
      <c r="F1553" s="1" t="s">
        <v>11</v>
      </c>
      <c r="G1553" s="10">
        <v>32744.33</v>
      </c>
      <c r="H1553" s="1" t="s">
        <v>17</v>
      </c>
      <c r="I1553" t="s">
        <v>13</v>
      </c>
      <c r="J1553" t="s">
        <v>14</v>
      </c>
    </row>
    <row r="1554" spans="1:10" x14ac:dyDescent="0.35">
      <c r="A1554">
        <v>1553</v>
      </c>
      <c r="B1554" s="1" t="s">
        <v>25</v>
      </c>
      <c r="C1554">
        <v>2018</v>
      </c>
      <c r="D1554" s="4">
        <v>5.3</v>
      </c>
      <c r="E1554" s="5">
        <v>93616</v>
      </c>
      <c r="F1554" s="1" t="s">
        <v>16</v>
      </c>
      <c r="G1554" s="10">
        <v>61508.19</v>
      </c>
      <c r="H1554" s="1" t="s">
        <v>41</v>
      </c>
      <c r="I1554" t="s">
        <v>52</v>
      </c>
      <c r="J1554" t="s">
        <v>14</v>
      </c>
    </row>
    <row r="1555" spans="1:10" x14ac:dyDescent="0.35">
      <c r="A1555">
        <v>1554</v>
      </c>
      <c r="B1555" s="1" t="s">
        <v>23</v>
      </c>
      <c r="C1555">
        <v>2002</v>
      </c>
      <c r="D1555" s="4">
        <v>4.8</v>
      </c>
      <c r="E1555" s="5">
        <v>297429</v>
      </c>
      <c r="F1555" s="1" t="s">
        <v>15</v>
      </c>
      <c r="G1555" s="10">
        <v>7611.82</v>
      </c>
      <c r="H1555" s="1" t="s">
        <v>42</v>
      </c>
      <c r="I1555" t="s">
        <v>52</v>
      </c>
      <c r="J1555" t="s">
        <v>22</v>
      </c>
    </row>
    <row r="1556" spans="1:10" x14ac:dyDescent="0.35">
      <c r="A1556">
        <v>1555</v>
      </c>
      <c r="B1556" s="1" t="s">
        <v>23</v>
      </c>
      <c r="C1556">
        <v>2009</v>
      </c>
      <c r="D1556" s="4">
        <v>1.7</v>
      </c>
      <c r="E1556" s="5">
        <v>256349</v>
      </c>
      <c r="F1556" s="1" t="s">
        <v>15</v>
      </c>
      <c r="G1556" s="10">
        <v>11146.53</v>
      </c>
      <c r="H1556" s="1" t="s">
        <v>42</v>
      </c>
      <c r="I1556" t="s">
        <v>52</v>
      </c>
      <c r="J1556" t="s">
        <v>22</v>
      </c>
    </row>
    <row r="1557" spans="1:10" x14ac:dyDescent="0.35">
      <c r="A1557">
        <v>1556</v>
      </c>
      <c r="B1557" s="1" t="s">
        <v>35</v>
      </c>
      <c r="C1557">
        <v>2001</v>
      </c>
      <c r="D1557" s="4">
        <v>4.5</v>
      </c>
      <c r="E1557" s="5">
        <v>46996</v>
      </c>
      <c r="F1557" s="1" t="s">
        <v>15</v>
      </c>
      <c r="G1557" s="10">
        <v>74717.66</v>
      </c>
      <c r="H1557" s="1" t="s">
        <v>45</v>
      </c>
      <c r="I1557" t="s">
        <v>13</v>
      </c>
      <c r="J1557" t="s">
        <v>14</v>
      </c>
    </row>
    <row r="1558" spans="1:10" x14ac:dyDescent="0.35">
      <c r="A1558">
        <v>1557</v>
      </c>
      <c r="B1558" s="1" t="s">
        <v>27</v>
      </c>
      <c r="C1558">
        <v>2012</v>
      </c>
      <c r="D1558" s="4">
        <v>5.7</v>
      </c>
      <c r="E1558" s="5">
        <v>128344</v>
      </c>
      <c r="F1558" s="1" t="s">
        <v>15</v>
      </c>
      <c r="G1558" s="10">
        <v>35579.68</v>
      </c>
      <c r="H1558" s="1" t="s">
        <v>28</v>
      </c>
      <c r="I1558" t="s">
        <v>53</v>
      </c>
      <c r="J1558" t="s">
        <v>22</v>
      </c>
    </row>
    <row r="1559" spans="1:10" x14ac:dyDescent="0.35">
      <c r="A1559">
        <v>1558</v>
      </c>
      <c r="B1559" s="1" t="s">
        <v>10</v>
      </c>
      <c r="C1559">
        <v>2018</v>
      </c>
      <c r="D1559" s="4">
        <v>4.4000000000000004</v>
      </c>
      <c r="E1559" s="5">
        <v>229685</v>
      </c>
      <c r="F1559" s="1" t="s">
        <v>11</v>
      </c>
      <c r="G1559" s="10">
        <v>37961.870000000003</v>
      </c>
      <c r="H1559" s="1" t="s">
        <v>12</v>
      </c>
      <c r="I1559" t="s">
        <v>13</v>
      </c>
      <c r="J1559" t="s">
        <v>14</v>
      </c>
    </row>
    <row r="1560" spans="1:10" x14ac:dyDescent="0.35">
      <c r="A1560">
        <v>1559</v>
      </c>
      <c r="B1560" s="1" t="s">
        <v>20</v>
      </c>
      <c r="C1560">
        <v>2016</v>
      </c>
      <c r="D1560" s="4">
        <v>2.7</v>
      </c>
      <c r="E1560" s="5">
        <v>128019</v>
      </c>
      <c r="F1560" s="1" t="s">
        <v>11</v>
      </c>
      <c r="G1560" s="10">
        <v>24796.59</v>
      </c>
      <c r="H1560" s="1" t="s">
        <v>33</v>
      </c>
      <c r="I1560" t="s">
        <v>13</v>
      </c>
      <c r="J1560" t="s">
        <v>22</v>
      </c>
    </row>
    <row r="1561" spans="1:10" x14ac:dyDescent="0.35">
      <c r="A1561">
        <v>1560</v>
      </c>
      <c r="B1561" s="1" t="s">
        <v>23</v>
      </c>
      <c r="C1561">
        <v>2020</v>
      </c>
      <c r="D1561" s="4">
        <v>3.5</v>
      </c>
      <c r="E1561" s="5">
        <v>135024</v>
      </c>
      <c r="F1561" s="1" t="s">
        <v>15</v>
      </c>
      <c r="G1561" s="10">
        <v>47333.97</v>
      </c>
      <c r="H1561" s="1" t="s">
        <v>42</v>
      </c>
      <c r="I1561" t="s">
        <v>52</v>
      </c>
      <c r="J1561" t="s">
        <v>14</v>
      </c>
    </row>
    <row r="1562" spans="1:10" x14ac:dyDescent="0.35">
      <c r="A1562">
        <v>1561</v>
      </c>
      <c r="B1562" s="1" t="s">
        <v>29</v>
      </c>
      <c r="C1562">
        <v>2013</v>
      </c>
      <c r="D1562" s="4">
        <v>4.2</v>
      </c>
      <c r="E1562" s="5">
        <v>183273</v>
      </c>
      <c r="F1562" s="1" t="s">
        <v>15</v>
      </c>
      <c r="G1562" s="10">
        <v>9939.3799999999992</v>
      </c>
      <c r="H1562" s="1" t="s">
        <v>30</v>
      </c>
      <c r="I1562" t="s">
        <v>51</v>
      </c>
      <c r="J1562" t="s">
        <v>22</v>
      </c>
    </row>
    <row r="1563" spans="1:10" x14ac:dyDescent="0.35">
      <c r="A1563">
        <v>1562</v>
      </c>
      <c r="B1563" s="1" t="s">
        <v>29</v>
      </c>
      <c r="C1563">
        <v>2011</v>
      </c>
      <c r="D1563" s="4">
        <v>3.6</v>
      </c>
      <c r="E1563" s="5">
        <v>120454</v>
      </c>
      <c r="F1563" s="1" t="s">
        <v>15</v>
      </c>
      <c r="G1563" s="10">
        <v>33534.51</v>
      </c>
      <c r="H1563" s="1" t="s">
        <v>38</v>
      </c>
      <c r="I1563" t="s">
        <v>53</v>
      </c>
      <c r="J1563" t="s">
        <v>14</v>
      </c>
    </row>
    <row r="1564" spans="1:10" x14ac:dyDescent="0.35">
      <c r="A1564">
        <v>1563</v>
      </c>
      <c r="B1564" s="1" t="s">
        <v>23</v>
      </c>
      <c r="C1564">
        <v>2020</v>
      </c>
      <c r="D1564" s="4">
        <v>1.6</v>
      </c>
      <c r="E1564" s="5">
        <v>124444</v>
      </c>
      <c r="F1564" s="1" t="s">
        <v>15</v>
      </c>
      <c r="G1564" s="10">
        <v>55076.77</v>
      </c>
      <c r="H1564" s="1" t="s">
        <v>42</v>
      </c>
      <c r="I1564" t="s">
        <v>51</v>
      </c>
      <c r="J1564" t="s">
        <v>22</v>
      </c>
    </row>
    <row r="1565" spans="1:10" x14ac:dyDescent="0.35">
      <c r="A1565">
        <v>1564</v>
      </c>
      <c r="B1565" s="1" t="s">
        <v>27</v>
      </c>
      <c r="C1565">
        <v>2011</v>
      </c>
      <c r="D1565" s="4">
        <v>2.6</v>
      </c>
      <c r="E1565" s="5">
        <v>153868</v>
      </c>
      <c r="F1565" s="1" t="s">
        <v>15</v>
      </c>
      <c r="G1565" s="10">
        <v>49235.03</v>
      </c>
      <c r="H1565" s="1" t="s">
        <v>37</v>
      </c>
      <c r="I1565" t="s">
        <v>52</v>
      </c>
      <c r="J1565" t="s">
        <v>22</v>
      </c>
    </row>
    <row r="1566" spans="1:10" x14ac:dyDescent="0.35">
      <c r="A1566">
        <v>1565</v>
      </c>
      <c r="B1566" s="1" t="s">
        <v>27</v>
      </c>
      <c r="C1566">
        <v>2010</v>
      </c>
      <c r="D1566" s="4">
        <v>5</v>
      </c>
      <c r="E1566" s="5">
        <v>162818</v>
      </c>
      <c r="F1566" s="1" t="s">
        <v>16</v>
      </c>
      <c r="G1566" s="10">
        <v>99968.62</v>
      </c>
      <c r="H1566" s="1" t="s">
        <v>37</v>
      </c>
      <c r="I1566" t="s">
        <v>13</v>
      </c>
      <c r="J1566" t="s">
        <v>14</v>
      </c>
    </row>
    <row r="1567" spans="1:10" x14ac:dyDescent="0.35">
      <c r="A1567">
        <v>1566</v>
      </c>
      <c r="B1567" s="1" t="s">
        <v>25</v>
      </c>
      <c r="C1567">
        <v>2006</v>
      </c>
      <c r="D1567" s="4">
        <v>5.3</v>
      </c>
      <c r="E1567" s="5">
        <v>15</v>
      </c>
      <c r="F1567" s="1" t="s">
        <v>16</v>
      </c>
      <c r="G1567" s="10">
        <v>41932.639999999999</v>
      </c>
      <c r="H1567" s="1" t="s">
        <v>44</v>
      </c>
      <c r="I1567" t="s">
        <v>13</v>
      </c>
      <c r="J1567" t="s">
        <v>22</v>
      </c>
    </row>
    <row r="1568" spans="1:10" x14ac:dyDescent="0.35">
      <c r="A1568">
        <v>1567</v>
      </c>
      <c r="B1568" s="1" t="s">
        <v>29</v>
      </c>
      <c r="C1568">
        <v>2003</v>
      </c>
      <c r="D1568" s="4">
        <v>1.7</v>
      </c>
      <c r="E1568" s="5">
        <v>157029</v>
      </c>
      <c r="F1568" s="1" t="s">
        <v>16</v>
      </c>
      <c r="G1568" s="10">
        <v>41764.910000000003</v>
      </c>
      <c r="H1568" s="1" t="s">
        <v>31</v>
      </c>
      <c r="I1568" t="s">
        <v>52</v>
      </c>
      <c r="J1568" t="s">
        <v>14</v>
      </c>
    </row>
    <row r="1569" spans="1:10" x14ac:dyDescent="0.35">
      <c r="A1569">
        <v>1568</v>
      </c>
      <c r="B1569" s="1" t="s">
        <v>25</v>
      </c>
      <c r="C1569">
        <v>2018</v>
      </c>
      <c r="D1569" s="4">
        <v>5.8</v>
      </c>
      <c r="E1569" s="5">
        <v>81541</v>
      </c>
      <c r="F1569" s="1" t="s">
        <v>16</v>
      </c>
      <c r="G1569" s="10">
        <v>52840.27</v>
      </c>
      <c r="H1569" s="1" t="s">
        <v>41</v>
      </c>
      <c r="I1569" t="s">
        <v>13</v>
      </c>
      <c r="J1569" t="s">
        <v>14</v>
      </c>
    </row>
    <row r="1570" spans="1:10" x14ac:dyDescent="0.35">
      <c r="A1570">
        <v>1569</v>
      </c>
      <c r="B1570" s="1" t="s">
        <v>29</v>
      </c>
      <c r="C1570">
        <v>2000</v>
      </c>
      <c r="D1570" s="4">
        <v>2.6</v>
      </c>
      <c r="E1570" s="5">
        <v>21292</v>
      </c>
      <c r="F1570" s="1" t="s">
        <v>15</v>
      </c>
      <c r="G1570" s="10">
        <v>23078.799999999999</v>
      </c>
      <c r="H1570" s="1" t="s">
        <v>43</v>
      </c>
      <c r="I1570" t="s">
        <v>52</v>
      </c>
      <c r="J1570" t="s">
        <v>22</v>
      </c>
    </row>
    <row r="1571" spans="1:10" x14ac:dyDescent="0.35">
      <c r="A1571">
        <v>1570</v>
      </c>
      <c r="B1571" s="1" t="s">
        <v>10</v>
      </c>
      <c r="C1571">
        <v>2023</v>
      </c>
      <c r="D1571" s="4">
        <v>4.3</v>
      </c>
      <c r="E1571" s="5">
        <v>162948</v>
      </c>
      <c r="F1571" s="1" t="s">
        <v>16</v>
      </c>
      <c r="G1571" s="10">
        <v>88248.92</v>
      </c>
      <c r="H1571" s="1" t="s">
        <v>19</v>
      </c>
      <c r="I1571" t="s">
        <v>13</v>
      </c>
      <c r="J1571" t="s">
        <v>14</v>
      </c>
    </row>
    <row r="1572" spans="1:10" x14ac:dyDescent="0.35">
      <c r="A1572">
        <v>1571</v>
      </c>
      <c r="B1572" s="1" t="s">
        <v>10</v>
      </c>
      <c r="C1572">
        <v>2002</v>
      </c>
      <c r="D1572" s="4">
        <v>4.8</v>
      </c>
      <c r="E1572" s="5">
        <v>191799</v>
      </c>
      <c r="F1572" s="1" t="s">
        <v>16</v>
      </c>
      <c r="G1572" s="10">
        <v>59365.440000000002</v>
      </c>
      <c r="H1572" s="1" t="s">
        <v>12</v>
      </c>
      <c r="I1572" t="s">
        <v>13</v>
      </c>
      <c r="J1572" t="s">
        <v>14</v>
      </c>
    </row>
    <row r="1573" spans="1:10" x14ac:dyDescent="0.35">
      <c r="A1573">
        <v>1572</v>
      </c>
      <c r="B1573" s="1" t="s">
        <v>20</v>
      </c>
      <c r="C1573">
        <v>2012</v>
      </c>
      <c r="D1573" s="4">
        <v>5.0999999999999996</v>
      </c>
      <c r="E1573" s="5">
        <v>47046</v>
      </c>
      <c r="F1573" s="1" t="s">
        <v>11</v>
      </c>
      <c r="G1573" s="10">
        <v>23250.23</v>
      </c>
      <c r="H1573" s="1" t="s">
        <v>39</v>
      </c>
      <c r="I1573" t="s">
        <v>13</v>
      </c>
      <c r="J1573" t="s">
        <v>22</v>
      </c>
    </row>
    <row r="1574" spans="1:10" x14ac:dyDescent="0.35">
      <c r="A1574">
        <v>1573</v>
      </c>
      <c r="B1574" s="1" t="s">
        <v>10</v>
      </c>
      <c r="C1574">
        <v>2014</v>
      </c>
      <c r="D1574" s="4">
        <v>5.7</v>
      </c>
      <c r="E1574" s="5">
        <v>14817</v>
      </c>
      <c r="F1574" s="1" t="s">
        <v>16</v>
      </c>
      <c r="G1574" s="10">
        <v>80376.95</v>
      </c>
      <c r="H1574" s="1" t="s">
        <v>12</v>
      </c>
      <c r="I1574" t="s">
        <v>13</v>
      </c>
      <c r="J1574" t="s">
        <v>14</v>
      </c>
    </row>
    <row r="1575" spans="1:10" x14ac:dyDescent="0.35">
      <c r="A1575">
        <v>1574</v>
      </c>
      <c r="B1575" s="1" t="s">
        <v>20</v>
      </c>
      <c r="C1575">
        <v>2001</v>
      </c>
      <c r="D1575" s="4">
        <v>2.6</v>
      </c>
      <c r="E1575" s="5">
        <v>9759</v>
      </c>
      <c r="F1575" s="1" t="s">
        <v>16</v>
      </c>
      <c r="G1575" s="10">
        <v>8261.56</v>
      </c>
      <c r="H1575" s="1" t="s">
        <v>21</v>
      </c>
      <c r="I1575" t="s">
        <v>53</v>
      </c>
      <c r="J1575" t="s">
        <v>22</v>
      </c>
    </row>
    <row r="1576" spans="1:10" x14ac:dyDescent="0.35">
      <c r="A1576">
        <v>1575</v>
      </c>
      <c r="B1576" s="1" t="s">
        <v>10</v>
      </c>
      <c r="C1576">
        <v>2010</v>
      </c>
      <c r="D1576" s="4">
        <v>5.3</v>
      </c>
      <c r="E1576" s="5">
        <v>179504</v>
      </c>
      <c r="F1576" s="1" t="s">
        <v>15</v>
      </c>
      <c r="G1576" s="10">
        <v>98343.6</v>
      </c>
      <c r="H1576" s="1" t="s">
        <v>18</v>
      </c>
      <c r="I1576" t="s">
        <v>13</v>
      </c>
      <c r="J1576" t="s">
        <v>14</v>
      </c>
    </row>
    <row r="1577" spans="1:10" x14ac:dyDescent="0.35">
      <c r="A1577">
        <v>1576</v>
      </c>
      <c r="B1577" s="1" t="s">
        <v>35</v>
      </c>
      <c r="C1577">
        <v>2003</v>
      </c>
      <c r="D1577" s="4">
        <v>1.7</v>
      </c>
      <c r="E1577" s="5">
        <v>268556</v>
      </c>
      <c r="F1577" s="1" t="s">
        <v>16</v>
      </c>
      <c r="G1577" s="10">
        <v>87189.19</v>
      </c>
      <c r="H1577" s="1" t="s">
        <v>47</v>
      </c>
      <c r="I1577" t="s">
        <v>53</v>
      </c>
      <c r="J1577" t="s">
        <v>22</v>
      </c>
    </row>
    <row r="1578" spans="1:10" x14ac:dyDescent="0.35">
      <c r="A1578">
        <v>1577</v>
      </c>
      <c r="B1578" s="1" t="s">
        <v>10</v>
      </c>
      <c r="C1578">
        <v>2018</v>
      </c>
      <c r="D1578" s="4">
        <v>4.5</v>
      </c>
      <c r="E1578" s="5">
        <v>282648</v>
      </c>
      <c r="F1578" s="1" t="s">
        <v>16</v>
      </c>
      <c r="G1578" s="10">
        <v>60065.75</v>
      </c>
      <c r="H1578" s="1" t="s">
        <v>12</v>
      </c>
      <c r="I1578" t="s">
        <v>13</v>
      </c>
      <c r="J1578" t="s">
        <v>14</v>
      </c>
    </row>
    <row r="1579" spans="1:10" x14ac:dyDescent="0.35">
      <c r="A1579">
        <v>1578</v>
      </c>
      <c r="B1579" s="1" t="s">
        <v>25</v>
      </c>
      <c r="C1579">
        <v>2016</v>
      </c>
      <c r="D1579" s="4">
        <v>4.7</v>
      </c>
      <c r="E1579" s="5">
        <v>270651</v>
      </c>
      <c r="F1579" s="1" t="s">
        <v>15</v>
      </c>
      <c r="G1579" s="10">
        <v>15573.09</v>
      </c>
      <c r="H1579" s="1" t="s">
        <v>41</v>
      </c>
      <c r="I1579" t="s">
        <v>51</v>
      </c>
      <c r="J1579" t="s">
        <v>22</v>
      </c>
    </row>
    <row r="1580" spans="1:10" x14ac:dyDescent="0.35">
      <c r="A1580">
        <v>1579</v>
      </c>
      <c r="B1580" s="1" t="s">
        <v>23</v>
      </c>
      <c r="C1580">
        <v>2002</v>
      </c>
      <c r="D1580" s="4">
        <v>4.4000000000000004</v>
      </c>
      <c r="E1580" s="5">
        <v>21050</v>
      </c>
      <c r="F1580" s="1" t="s">
        <v>16</v>
      </c>
      <c r="G1580" s="10">
        <v>25450.91</v>
      </c>
      <c r="H1580" s="1" t="s">
        <v>24</v>
      </c>
      <c r="I1580" t="s">
        <v>51</v>
      </c>
      <c r="J1580" t="s">
        <v>14</v>
      </c>
    </row>
    <row r="1581" spans="1:10" x14ac:dyDescent="0.35">
      <c r="A1581">
        <v>1580</v>
      </c>
      <c r="B1581" s="1" t="s">
        <v>25</v>
      </c>
      <c r="C1581">
        <v>2017</v>
      </c>
      <c r="D1581" s="4">
        <v>2.2999999999999998</v>
      </c>
      <c r="E1581" s="5">
        <v>100153</v>
      </c>
      <c r="F1581" s="1" t="s">
        <v>15</v>
      </c>
      <c r="G1581" s="10">
        <v>31546.34</v>
      </c>
      <c r="H1581" s="1" t="s">
        <v>26</v>
      </c>
      <c r="I1581" t="s">
        <v>53</v>
      </c>
      <c r="J1581" t="s">
        <v>22</v>
      </c>
    </row>
    <row r="1582" spans="1:10" x14ac:dyDescent="0.35">
      <c r="A1582">
        <v>1581</v>
      </c>
      <c r="B1582" s="1" t="s">
        <v>23</v>
      </c>
      <c r="C1582">
        <v>2007</v>
      </c>
      <c r="D1582" s="4">
        <v>5.4</v>
      </c>
      <c r="E1582" s="5">
        <v>275731</v>
      </c>
      <c r="F1582" s="1" t="s">
        <v>16</v>
      </c>
      <c r="G1582" s="10">
        <v>27898.02</v>
      </c>
      <c r="H1582" s="1" t="s">
        <v>42</v>
      </c>
      <c r="I1582" t="s">
        <v>51</v>
      </c>
      <c r="J1582" t="s">
        <v>14</v>
      </c>
    </row>
    <row r="1583" spans="1:10" x14ac:dyDescent="0.35">
      <c r="A1583">
        <v>1582</v>
      </c>
      <c r="B1583" s="1" t="s">
        <v>27</v>
      </c>
      <c r="C1583">
        <v>2021</v>
      </c>
      <c r="D1583" s="4">
        <v>1.8</v>
      </c>
      <c r="E1583" s="5">
        <v>231329</v>
      </c>
      <c r="F1583" s="1" t="s">
        <v>11</v>
      </c>
      <c r="G1583" s="10">
        <v>52264.4</v>
      </c>
      <c r="H1583" s="1" t="s">
        <v>28</v>
      </c>
      <c r="I1583" t="s">
        <v>51</v>
      </c>
      <c r="J1583" t="s">
        <v>22</v>
      </c>
    </row>
    <row r="1584" spans="1:10" x14ac:dyDescent="0.35">
      <c r="A1584">
        <v>1583</v>
      </c>
      <c r="B1584" s="1" t="s">
        <v>25</v>
      </c>
      <c r="C1584">
        <v>2023</v>
      </c>
      <c r="D1584" s="4">
        <v>1.3</v>
      </c>
      <c r="E1584" s="5">
        <v>57732</v>
      </c>
      <c r="F1584" s="1" t="s">
        <v>11</v>
      </c>
      <c r="G1584" s="10">
        <v>94733.24</v>
      </c>
      <c r="H1584" s="1" t="s">
        <v>44</v>
      </c>
      <c r="I1584" t="s">
        <v>13</v>
      </c>
      <c r="J1584" t="s">
        <v>22</v>
      </c>
    </row>
    <row r="1585" spans="1:10" x14ac:dyDescent="0.35">
      <c r="A1585">
        <v>1584</v>
      </c>
      <c r="B1585" s="1" t="s">
        <v>27</v>
      </c>
      <c r="C1585">
        <v>2018</v>
      </c>
      <c r="D1585" s="4">
        <v>4.5999999999999996</v>
      </c>
      <c r="E1585" s="5">
        <v>51921</v>
      </c>
      <c r="F1585" s="1" t="s">
        <v>16</v>
      </c>
      <c r="G1585" s="10">
        <v>47196.4</v>
      </c>
      <c r="H1585" s="1" t="s">
        <v>40</v>
      </c>
      <c r="I1585" t="s">
        <v>13</v>
      </c>
      <c r="J1585" t="s">
        <v>14</v>
      </c>
    </row>
    <row r="1586" spans="1:10" x14ac:dyDescent="0.35">
      <c r="A1586">
        <v>1585</v>
      </c>
      <c r="B1586" s="1" t="s">
        <v>20</v>
      </c>
      <c r="C1586">
        <v>2004</v>
      </c>
      <c r="D1586" s="4">
        <v>3.4</v>
      </c>
      <c r="E1586" s="5">
        <v>117734</v>
      </c>
      <c r="F1586" s="1" t="s">
        <v>11</v>
      </c>
      <c r="G1586" s="10">
        <v>67848.63</v>
      </c>
      <c r="H1586" s="1" t="s">
        <v>46</v>
      </c>
      <c r="I1586" t="s">
        <v>52</v>
      </c>
      <c r="J1586" t="s">
        <v>22</v>
      </c>
    </row>
    <row r="1587" spans="1:10" x14ac:dyDescent="0.35">
      <c r="A1587">
        <v>1586</v>
      </c>
      <c r="B1587" s="1" t="s">
        <v>20</v>
      </c>
      <c r="C1587">
        <v>2006</v>
      </c>
      <c r="D1587" s="4">
        <v>5.2</v>
      </c>
      <c r="E1587" s="5">
        <v>137912</v>
      </c>
      <c r="F1587" s="1" t="s">
        <v>15</v>
      </c>
      <c r="G1587" s="10">
        <v>70415.399999999994</v>
      </c>
      <c r="H1587" s="1" t="s">
        <v>46</v>
      </c>
      <c r="I1587" t="s">
        <v>51</v>
      </c>
      <c r="J1587" t="s">
        <v>22</v>
      </c>
    </row>
    <row r="1588" spans="1:10" x14ac:dyDescent="0.35">
      <c r="A1588">
        <v>1587</v>
      </c>
      <c r="B1588" s="1" t="s">
        <v>35</v>
      </c>
      <c r="C1588">
        <v>2020</v>
      </c>
      <c r="D1588" s="4">
        <v>2.9</v>
      </c>
      <c r="E1588" s="5">
        <v>31440</v>
      </c>
      <c r="F1588" s="1" t="s">
        <v>16</v>
      </c>
      <c r="G1588" s="10">
        <v>87800.17</v>
      </c>
      <c r="H1588" s="1" t="s">
        <v>45</v>
      </c>
      <c r="I1588" t="s">
        <v>52</v>
      </c>
      <c r="J1588" t="s">
        <v>22</v>
      </c>
    </row>
    <row r="1589" spans="1:10" x14ac:dyDescent="0.35">
      <c r="A1589">
        <v>1588</v>
      </c>
      <c r="B1589" s="1" t="s">
        <v>10</v>
      </c>
      <c r="C1589">
        <v>2007</v>
      </c>
      <c r="D1589" s="4">
        <v>1.8</v>
      </c>
      <c r="E1589" s="5">
        <v>35183</v>
      </c>
      <c r="F1589" s="1" t="s">
        <v>15</v>
      </c>
      <c r="G1589" s="10">
        <v>8213.02</v>
      </c>
      <c r="H1589" s="1" t="s">
        <v>17</v>
      </c>
      <c r="I1589" t="s">
        <v>13</v>
      </c>
      <c r="J1589" t="s">
        <v>14</v>
      </c>
    </row>
    <row r="1590" spans="1:10" x14ac:dyDescent="0.35">
      <c r="A1590">
        <v>1589</v>
      </c>
      <c r="B1590" s="1" t="s">
        <v>25</v>
      </c>
      <c r="C1590">
        <v>2004</v>
      </c>
      <c r="D1590" s="4">
        <v>5.2</v>
      </c>
      <c r="E1590" s="5">
        <v>133461</v>
      </c>
      <c r="F1590" s="1" t="s">
        <v>11</v>
      </c>
      <c r="G1590" s="10">
        <v>43411.360000000001</v>
      </c>
      <c r="H1590" s="1" t="s">
        <v>41</v>
      </c>
      <c r="I1590" t="s">
        <v>51</v>
      </c>
      <c r="J1590" t="s">
        <v>22</v>
      </c>
    </row>
    <row r="1591" spans="1:10" x14ac:dyDescent="0.35">
      <c r="A1591">
        <v>1590</v>
      </c>
      <c r="B1591" s="1" t="s">
        <v>27</v>
      </c>
      <c r="C1591">
        <v>2016</v>
      </c>
      <c r="D1591" s="4">
        <v>3.7</v>
      </c>
      <c r="E1591" s="5">
        <v>114515</v>
      </c>
      <c r="F1591" s="1" t="s">
        <v>15</v>
      </c>
      <c r="G1591" s="10">
        <v>79549.84</v>
      </c>
      <c r="H1591" s="1" t="s">
        <v>37</v>
      </c>
      <c r="I1591" t="s">
        <v>53</v>
      </c>
      <c r="J1591" t="s">
        <v>14</v>
      </c>
    </row>
    <row r="1592" spans="1:10" x14ac:dyDescent="0.35">
      <c r="A1592">
        <v>1591</v>
      </c>
      <c r="B1592" s="1" t="s">
        <v>23</v>
      </c>
      <c r="C1592">
        <v>2004</v>
      </c>
      <c r="D1592" s="4">
        <v>1.9</v>
      </c>
      <c r="E1592" s="5">
        <v>220533</v>
      </c>
      <c r="F1592" s="1" t="s">
        <v>11</v>
      </c>
      <c r="G1592" s="10">
        <v>82412.37</v>
      </c>
      <c r="H1592" s="1" t="s">
        <v>32</v>
      </c>
      <c r="I1592" t="s">
        <v>51</v>
      </c>
      <c r="J1592" t="s">
        <v>14</v>
      </c>
    </row>
    <row r="1593" spans="1:10" x14ac:dyDescent="0.35">
      <c r="A1593">
        <v>1592</v>
      </c>
      <c r="B1593" s="1" t="s">
        <v>20</v>
      </c>
      <c r="C1593">
        <v>2003</v>
      </c>
      <c r="D1593" s="4">
        <v>4.5999999999999996</v>
      </c>
      <c r="E1593" s="5">
        <v>115503</v>
      </c>
      <c r="F1593" s="1" t="s">
        <v>11</v>
      </c>
      <c r="G1593" s="10">
        <v>93096.6</v>
      </c>
      <c r="H1593" s="1" t="s">
        <v>33</v>
      </c>
      <c r="I1593" t="s">
        <v>13</v>
      </c>
      <c r="J1593" t="s">
        <v>14</v>
      </c>
    </row>
    <row r="1594" spans="1:10" x14ac:dyDescent="0.35">
      <c r="A1594">
        <v>1593</v>
      </c>
      <c r="B1594" s="1" t="s">
        <v>10</v>
      </c>
      <c r="C1594">
        <v>2021</v>
      </c>
      <c r="D1594" s="4">
        <v>3.6</v>
      </c>
      <c r="E1594" s="5">
        <v>39023</v>
      </c>
      <c r="F1594" s="1" t="s">
        <v>11</v>
      </c>
      <c r="G1594" s="10">
        <v>71765.460000000006</v>
      </c>
      <c r="H1594" s="1" t="s">
        <v>18</v>
      </c>
      <c r="I1594" t="s">
        <v>13</v>
      </c>
      <c r="J1594" t="s">
        <v>14</v>
      </c>
    </row>
    <row r="1595" spans="1:10" x14ac:dyDescent="0.35">
      <c r="A1595">
        <v>1594</v>
      </c>
      <c r="B1595" s="1" t="s">
        <v>20</v>
      </c>
      <c r="C1595">
        <v>2018</v>
      </c>
      <c r="D1595" s="4">
        <v>4</v>
      </c>
      <c r="E1595" s="5">
        <v>181101</v>
      </c>
      <c r="F1595" s="1" t="s">
        <v>15</v>
      </c>
      <c r="G1595" s="10">
        <v>28289.62</v>
      </c>
      <c r="H1595" s="1" t="s">
        <v>33</v>
      </c>
      <c r="I1595" t="s">
        <v>53</v>
      </c>
      <c r="J1595" t="s">
        <v>14</v>
      </c>
    </row>
    <row r="1596" spans="1:10" x14ac:dyDescent="0.35">
      <c r="A1596">
        <v>1595</v>
      </c>
      <c r="B1596" s="1" t="s">
        <v>23</v>
      </c>
      <c r="C1596">
        <v>2020</v>
      </c>
      <c r="D1596" s="4">
        <v>3.3</v>
      </c>
      <c r="E1596" s="5">
        <v>218031</v>
      </c>
      <c r="F1596" s="1" t="s">
        <v>11</v>
      </c>
      <c r="G1596" s="10">
        <v>53038.25</v>
      </c>
      <c r="H1596" s="1" t="s">
        <v>24</v>
      </c>
      <c r="I1596" t="s">
        <v>52</v>
      </c>
      <c r="J1596" t="s">
        <v>14</v>
      </c>
    </row>
    <row r="1597" spans="1:10" x14ac:dyDescent="0.35">
      <c r="A1597">
        <v>1596</v>
      </c>
      <c r="B1597" s="1" t="s">
        <v>10</v>
      </c>
      <c r="C1597">
        <v>2001</v>
      </c>
      <c r="D1597" s="4">
        <v>5.0999999999999996</v>
      </c>
      <c r="E1597" s="5">
        <v>76054</v>
      </c>
      <c r="F1597" s="1" t="s">
        <v>16</v>
      </c>
      <c r="G1597" s="10">
        <v>8072.8</v>
      </c>
      <c r="H1597" s="1" t="s">
        <v>18</v>
      </c>
      <c r="I1597" t="s">
        <v>13</v>
      </c>
      <c r="J1597" t="s">
        <v>14</v>
      </c>
    </row>
    <row r="1598" spans="1:10" x14ac:dyDescent="0.35">
      <c r="A1598">
        <v>1597</v>
      </c>
      <c r="B1598" s="1" t="s">
        <v>10</v>
      </c>
      <c r="C1598">
        <v>2010</v>
      </c>
      <c r="D1598" s="4">
        <v>5.0999999999999996</v>
      </c>
      <c r="E1598" s="5">
        <v>61742</v>
      </c>
      <c r="F1598" s="1" t="s">
        <v>11</v>
      </c>
      <c r="G1598" s="10">
        <v>66458.19</v>
      </c>
      <c r="H1598" s="1" t="s">
        <v>18</v>
      </c>
      <c r="I1598" t="s">
        <v>13</v>
      </c>
      <c r="J1598" t="s">
        <v>14</v>
      </c>
    </row>
    <row r="1599" spans="1:10" x14ac:dyDescent="0.35">
      <c r="A1599">
        <v>1598</v>
      </c>
      <c r="B1599" s="1" t="s">
        <v>27</v>
      </c>
      <c r="C1599">
        <v>2021</v>
      </c>
      <c r="D1599" s="4">
        <v>4.5</v>
      </c>
      <c r="E1599" s="5">
        <v>45215</v>
      </c>
      <c r="F1599" s="1" t="s">
        <v>16</v>
      </c>
      <c r="G1599" s="10">
        <v>57658.05</v>
      </c>
      <c r="H1599" s="1" t="s">
        <v>48</v>
      </c>
      <c r="I1599" t="s">
        <v>13</v>
      </c>
      <c r="J1599" t="s">
        <v>14</v>
      </c>
    </row>
    <row r="1600" spans="1:10" x14ac:dyDescent="0.35">
      <c r="A1600">
        <v>1599</v>
      </c>
      <c r="B1600" s="1" t="s">
        <v>27</v>
      </c>
      <c r="C1600">
        <v>2012</v>
      </c>
      <c r="D1600" s="4">
        <v>1.5</v>
      </c>
      <c r="E1600" s="5">
        <v>159245</v>
      </c>
      <c r="F1600" s="1" t="s">
        <v>16</v>
      </c>
      <c r="G1600" s="10">
        <v>68349.45</v>
      </c>
      <c r="H1600" s="1" t="s">
        <v>37</v>
      </c>
      <c r="I1600" t="s">
        <v>13</v>
      </c>
      <c r="J1600" t="s">
        <v>22</v>
      </c>
    </row>
    <row r="1601" spans="1:10" x14ac:dyDescent="0.35">
      <c r="A1601">
        <v>1600</v>
      </c>
      <c r="B1601" s="1" t="s">
        <v>25</v>
      </c>
      <c r="C1601">
        <v>2014</v>
      </c>
      <c r="D1601" s="4">
        <v>5.2</v>
      </c>
      <c r="E1601" s="5">
        <v>241443</v>
      </c>
      <c r="F1601" s="1" t="s">
        <v>16</v>
      </c>
      <c r="G1601" s="10">
        <v>93363.35</v>
      </c>
      <c r="H1601" s="1" t="s">
        <v>49</v>
      </c>
      <c r="I1601" t="s">
        <v>52</v>
      </c>
      <c r="J1601" t="s">
        <v>22</v>
      </c>
    </row>
    <row r="1602" spans="1:10" x14ac:dyDescent="0.35">
      <c r="A1602">
        <v>1601</v>
      </c>
      <c r="B1602" s="1" t="s">
        <v>25</v>
      </c>
      <c r="C1602">
        <v>2011</v>
      </c>
      <c r="D1602" s="4">
        <v>4.4000000000000004</v>
      </c>
      <c r="E1602" s="5">
        <v>103591</v>
      </c>
      <c r="F1602" s="1" t="s">
        <v>16</v>
      </c>
      <c r="G1602" s="10">
        <v>70291.28</v>
      </c>
      <c r="H1602" s="1" t="s">
        <v>44</v>
      </c>
      <c r="I1602" t="s">
        <v>13</v>
      </c>
      <c r="J1602" t="s">
        <v>14</v>
      </c>
    </row>
    <row r="1603" spans="1:10" x14ac:dyDescent="0.35">
      <c r="A1603">
        <v>1602</v>
      </c>
      <c r="B1603" s="1" t="s">
        <v>29</v>
      </c>
      <c r="C1603">
        <v>2021</v>
      </c>
      <c r="D1603" s="4">
        <v>4.5</v>
      </c>
      <c r="E1603" s="5">
        <v>249045</v>
      </c>
      <c r="F1603" s="1" t="s">
        <v>15</v>
      </c>
      <c r="G1603" s="10">
        <v>35442.74</v>
      </c>
      <c r="H1603" s="1" t="s">
        <v>38</v>
      </c>
      <c r="I1603" t="s">
        <v>51</v>
      </c>
      <c r="J1603" t="s">
        <v>22</v>
      </c>
    </row>
    <row r="1604" spans="1:10" x14ac:dyDescent="0.35">
      <c r="A1604">
        <v>1603</v>
      </c>
      <c r="B1604" s="1" t="s">
        <v>29</v>
      </c>
      <c r="C1604">
        <v>2020</v>
      </c>
      <c r="D1604" s="4">
        <v>2.8</v>
      </c>
      <c r="E1604" s="5">
        <v>46229</v>
      </c>
      <c r="F1604" s="1" t="s">
        <v>16</v>
      </c>
      <c r="G1604" s="10">
        <v>23879.98</v>
      </c>
      <c r="H1604" s="1" t="s">
        <v>31</v>
      </c>
      <c r="I1604" t="s">
        <v>52</v>
      </c>
      <c r="J1604" t="s">
        <v>22</v>
      </c>
    </row>
    <row r="1605" spans="1:10" x14ac:dyDescent="0.35">
      <c r="A1605">
        <v>1604</v>
      </c>
      <c r="B1605" s="1" t="s">
        <v>35</v>
      </c>
      <c r="C1605">
        <v>2021</v>
      </c>
      <c r="D1605" s="4">
        <v>5.4</v>
      </c>
      <c r="E1605" s="5">
        <v>62583</v>
      </c>
      <c r="F1605" s="1" t="s">
        <v>11</v>
      </c>
      <c r="G1605" s="10">
        <v>86190.44</v>
      </c>
      <c r="H1605" s="1" t="s">
        <v>47</v>
      </c>
      <c r="I1605" t="s">
        <v>53</v>
      </c>
      <c r="J1605" t="s">
        <v>22</v>
      </c>
    </row>
    <row r="1606" spans="1:10" x14ac:dyDescent="0.35">
      <c r="A1606">
        <v>1605</v>
      </c>
      <c r="B1606" s="1" t="s">
        <v>20</v>
      </c>
      <c r="C1606">
        <v>2010</v>
      </c>
      <c r="D1606" s="4">
        <v>4.5999999999999996</v>
      </c>
      <c r="E1606" s="5">
        <v>255931</v>
      </c>
      <c r="F1606" s="1" t="s">
        <v>16</v>
      </c>
      <c r="G1606" s="10">
        <v>23461.55</v>
      </c>
      <c r="H1606" s="1" t="s">
        <v>46</v>
      </c>
      <c r="I1606" t="s">
        <v>52</v>
      </c>
      <c r="J1606" t="s">
        <v>14</v>
      </c>
    </row>
    <row r="1607" spans="1:10" x14ac:dyDescent="0.35">
      <c r="A1607">
        <v>1606</v>
      </c>
      <c r="B1607" s="1" t="s">
        <v>25</v>
      </c>
      <c r="C1607">
        <v>2006</v>
      </c>
      <c r="D1607" s="4">
        <v>1.6</v>
      </c>
      <c r="E1607" s="5">
        <v>159996</v>
      </c>
      <c r="F1607" s="1" t="s">
        <v>11</v>
      </c>
      <c r="G1607" s="10">
        <v>20352.91</v>
      </c>
      <c r="H1607" s="1" t="s">
        <v>49</v>
      </c>
      <c r="I1607" t="s">
        <v>51</v>
      </c>
      <c r="J1607" t="s">
        <v>14</v>
      </c>
    </row>
    <row r="1608" spans="1:10" x14ac:dyDescent="0.35">
      <c r="A1608">
        <v>1607</v>
      </c>
      <c r="B1608" s="1" t="s">
        <v>27</v>
      </c>
      <c r="C1608">
        <v>2004</v>
      </c>
      <c r="D1608" s="4">
        <v>3</v>
      </c>
      <c r="E1608" s="5">
        <v>126011</v>
      </c>
      <c r="F1608" s="1" t="s">
        <v>15</v>
      </c>
      <c r="G1608" s="10">
        <v>24628.15</v>
      </c>
      <c r="H1608" s="1" t="s">
        <v>37</v>
      </c>
      <c r="I1608" t="s">
        <v>51</v>
      </c>
      <c r="J1608" t="s">
        <v>22</v>
      </c>
    </row>
    <row r="1609" spans="1:10" x14ac:dyDescent="0.35">
      <c r="A1609">
        <v>1608</v>
      </c>
      <c r="B1609" s="1" t="s">
        <v>23</v>
      </c>
      <c r="C1609">
        <v>2016</v>
      </c>
      <c r="D1609" s="4">
        <v>5.4</v>
      </c>
      <c r="E1609" s="5">
        <v>292248</v>
      </c>
      <c r="F1609" s="1" t="s">
        <v>16</v>
      </c>
      <c r="G1609" s="10">
        <v>53339.88</v>
      </c>
      <c r="H1609" s="1" t="s">
        <v>24</v>
      </c>
      <c r="I1609" t="s">
        <v>13</v>
      </c>
      <c r="J1609" t="s">
        <v>14</v>
      </c>
    </row>
    <row r="1610" spans="1:10" x14ac:dyDescent="0.35">
      <c r="A1610">
        <v>1609</v>
      </c>
      <c r="B1610" s="1" t="s">
        <v>27</v>
      </c>
      <c r="C1610">
        <v>2023</v>
      </c>
      <c r="D1610" s="4">
        <v>1.2</v>
      </c>
      <c r="E1610" s="5">
        <v>240660</v>
      </c>
      <c r="F1610" s="1" t="s">
        <v>11</v>
      </c>
      <c r="G1610" s="10">
        <v>16797.810000000001</v>
      </c>
      <c r="H1610" s="1" t="s">
        <v>28</v>
      </c>
      <c r="I1610" t="s">
        <v>52</v>
      </c>
      <c r="J1610" t="s">
        <v>22</v>
      </c>
    </row>
    <row r="1611" spans="1:10" x14ac:dyDescent="0.35">
      <c r="A1611">
        <v>1610</v>
      </c>
      <c r="B1611" s="1" t="s">
        <v>20</v>
      </c>
      <c r="C1611">
        <v>2019</v>
      </c>
      <c r="D1611" s="4">
        <v>5.8</v>
      </c>
      <c r="E1611" s="5">
        <v>299738</v>
      </c>
      <c r="F1611" s="1" t="s">
        <v>15</v>
      </c>
      <c r="G1611" s="10">
        <v>94121.24</v>
      </c>
      <c r="H1611" s="1" t="s">
        <v>33</v>
      </c>
      <c r="I1611" t="s">
        <v>52</v>
      </c>
      <c r="J1611" t="s">
        <v>22</v>
      </c>
    </row>
    <row r="1612" spans="1:10" x14ac:dyDescent="0.35">
      <c r="A1612">
        <v>1611</v>
      </c>
      <c r="B1612" s="1" t="s">
        <v>29</v>
      </c>
      <c r="C1612">
        <v>2008</v>
      </c>
      <c r="D1612" s="4">
        <v>4.4000000000000004</v>
      </c>
      <c r="E1612" s="5">
        <v>265808</v>
      </c>
      <c r="F1612" s="1" t="s">
        <v>15</v>
      </c>
      <c r="G1612" s="10">
        <v>96794.1</v>
      </c>
      <c r="H1612" s="1" t="s">
        <v>31</v>
      </c>
      <c r="I1612" t="s">
        <v>52</v>
      </c>
      <c r="J1612" t="s">
        <v>22</v>
      </c>
    </row>
    <row r="1613" spans="1:10" x14ac:dyDescent="0.35">
      <c r="A1613">
        <v>1612</v>
      </c>
      <c r="B1613" s="1" t="s">
        <v>27</v>
      </c>
      <c r="C1613">
        <v>2013</v>
      </c>
      <c r="D1613" s="4">
        <v>4.2</v>
      </c>
      <c r="E1613" s="5">
        <v>272672</v>
      </c>
      <c r="F1613" s="1" t="s">
        <v>11</v>
      </c>
      <c r="G1613" s="10">
        <v>97511.18</v>
      </c>
      <c r="H1613" s="1" t="s">
        <v>48</v>
      </c>
      <c r="I1613" t="s">
        <v>53</v>
      </c>
      <c r="J1613" t="s">
        <v>22</v>
      </c>
    </row>
    <row r="1614" spans="1:10" x14ac:dyDescent="0.35">
      <c r="A1614">
        <v>1613</v>
      </c>
      <c r="B1614" s="1" t="s">
        <v>35</v>
      </c>
      <c r="C1614">
        <v>2011</v>
      </c>
      <c r="D1614" s="4">
        <v>2.4</v>
      </c>
      <c r="E1614" s="5">
        <v>159262</v>
      </c>
      <c r="F1614" s="1" t="s">
        <v>16</v>
      </c>
      <c r="G1614" s="10">
        <v>8716.86</v>
      </c>
      <c r="H1614" s="1" t="s">
        <v>45</v>
      </c>
      <c r="I1614" t="s">
        <v>13</v>
      </c>
      <c r="J1614" t="s">
        <v>22</v>
      </c>
    </row>
    <row r="1615" spans="1:10" x14ac:dyDescent="0.35">
      <c r="A1615">
        <v>1614</v>
      </c>
      <c r="B1615" s="1" t="s">
        <v>20</v>
      </c>
      <c r="C1615">
        <v>2005</v>
      </c>
      <c r="D1615" s="4">
        <v>2.2000000000000002</v>
      </c>
      <c r="E1615" s="5">
        <v>197105</v>
      </c>
      <c r="F1615" s="1" t="s">
        <v>15</v>
      </c>
      <c r="G1615" s="10">
        <v>94888.77</v>
      </c>
      <c r="H1615" s="1" t="s">
        <v>21</v>
      </c>
      <c r="I1615" t="s">
        <v>51</v>
      </c>
      <c r="J1615" t="s">
        <v>14</v>
      </c>
    </row>
    <row r="1616" spans="1:10" x14ac:dyDescent="0.35">
      <c r="A1616">
        <v>1615</v>
      </c>
      <c r="B1616" s="1" t="s">
        <v>29</v>
      </c>
      <c r="C1616">
        <v>2016</v>
      </c>
      <c r="D1616" s="4">
        <v>5.7</v>
      </c>
      <c r="E1616" s="5">
        <v>204249</v>
      </c>
      <c r="F1616" s="1" t="s">
        <v>11</v>
      </c>
      <c r="G1616" s="10">
        <v>99754.42</v>
      </c>
      <c r="H1616" s="1" t="s">
        <v>30</v>
      </c>
      <c r="I1616" t="s">
        <v>51</v>
      </c>
      <c r="J1616" t="s">
        <v>14</v>
      </c>
    </row>
    <row r="1617" spans="1:10" x14ac:dyDescent="0.35">
      <c r="A1617">
        <v>1616</v>
      </c>
      <c r="B1617" s="1" t="s">
        <v>23</v>
      </c>
      <c r="C1617">
        <v>2018</v>
      </c>
      <c r="D1617" s="4">
        <v>2.5</v>
      </c>
      <c r="E1617" s="5">
        <v>128404</v>
      </c>
      <c r="F1617" s="1" t="s">
        <v>16</v>
      </c>
      <c r="G1617" s="10">
        <v>94530.77</v>
      </c>
      <c r="H1617" s="1" t="s">
        <v>24</v>
      </c>
      <c r="I1617" t="s">
        <v>13</v>
      </c>
      <c r="J1617" t="s">
        <v>14</v>
      </c>
    </row>
    <row r="1618" spans="1:10" x14ac:dyDescent="0.35">
      <c r="A1618">
        <v>1617</v>
      </c>
      <c r="B1618" s="1" t="s">
        <v>29</v>
      </c>
      <c r="C1618">
        <v>2018</v>
      </c>
      <c r="D1618" s="4">
        <v>4.9000000000000004</v>
      </c>
      <c r="E1618" s="5">
        <v>201664</v>
      </c>
      <c r="F1618" s="1" t="s">
        <v>15</v>
      </c>
      <c r="G1618" s="10">
        <v>68739.199999999997</v>
      </c>
      <c r="H1618" s="1" t="s">
        <v>43</v>
      </c>
      <c r="I1618" t="s">
        <v>51</v>
      </c>
      <c r="J1618" t="s">
        <v>14</v>
      </c>
    </row>
    <row r="1619" spans="1:10" x14ac:dyDescent="0.35">
      <c r="A1619">
        <v>1618</v>
      </c>
      <c r="B1619" s="1" t="s">
        <v>10</v>
      </c>
      <c r="C1619">
        <v>2015</v>
      </c>
      <c r="D1619" s="4">
        <v>3</v>
      </c>
      <c r="E1619" s="5">
        <v>295043</v>
      </c>
      <c r="F1619" s="1" t="s">
        <v>11</v>
      </c>
      <c r="G1619" s="10">
        <v>71616.86</v>
      </c>
      <c r="H1619" s="1" t="s">
        <v>17</v>
      </c>
      <c r="I1619" t="s">
        <v>13</v>
      </c>
      <c r="J1619" t="s">
        <v>14</v>
      </c>
    </row>
    <row r="1620" spans="1:10" x14ac:dyDescent="0.35">
      <c r="A1620">
        <v>1619</v>
      </c>
      <c r="B1620" s="1" t="s">
        <v>35</v>
      </c>
      <c r="C1620">
        <v>2011</v>
      </c>
      <c r="D1620" s="4">
        <v>1.7</v>
      </c>
      <c r="E1620" s="5">
        <v>17241</v>
      </c>
      <c r="F1620" s="1" t="s">
        <v>15</v>
      </c>
      <c r="G1620" s="10">
        <v>16614.03</v>
      </c>
      <c r="H1620" s="1" t="s">
        <v>45</v>
      </c>
      <c r="I1620" t="s">
        <v>13</v>
      </c>
      <c r="J1620" t="s">
        <v>22</v>
      </c>
    </row>
    <row r="1621" spans="1:10" x14ac:dyDescent="0.35">
      <c r="A1621">
        <v>1620</v>
      </c>
      <c r="B1621" s="1" t="s">
        <v>20</v>
      </c>
      <c r="C1621">
        <v>2011</v>
      </c>
      <c r="D1621" s="4">
        <v>1.1000000000000001</v>
      </c>
      <c r="E1621" s="5">
        <v>63472</v>
      </c>
      <c r="F1621" s="1" t="s">
        <v>15</v>
      </c>
      <c r="G1621" s="10">
        <v>88058.22</v>
      </c>
      <c r="H1621" s="1" t="s">
        <v>33</v>
      </c>
      <c r="I1621" t="s">
        <v>51</v>
      </c>
      <c r="J1621" t="s">
        <v>14</v>
      </c>
    </row>
    <row r="1622" spans="1:10" x14ac:dyDescent="0.35">
      <c r="A1622">
        <v>1621</v>
      </c>
      <c r="B1622" s="1" t="s">
        <v>23</v>
      </c>
      <c r="C1622">
        <v>2019</v>
      </c>
      <c r="D1622" s="4">
        <v>3.7</v>
      </c>
      <c r="E1622" s="5">
        <v>205320</v>
      </c>
      <c r="F1622" s="1" t="s">
        <v>11</v>
      </c>
      <c r="G1622" s="10">
        <v>10665.76</v>
      </c>
      <c r="H1622" s="1" t="s">
        <v>32</v>
      </c>
      <c r="I1622" t="s">
        <v>52</v>
      </c>
      <c r="J1622" t="s">
        <v>14</v>
      </c>
    </row>
    <row r="1623" spans="1:10" x14ac:dyDescent="0.35">
      <c r="A1623">
        <v>1622</v>
      </c>
      <c r="B1623" s="1" t="s">
        <v>35</v>
      </c>
      <c r="C1623">
        <v>2005</v>
      </c>
      <c r="D1623" s="4">
        <v>5.9</v>
      </c>
      <c r="E1623" s="5">
        <v>31346</v>
      </c>
      <c r="F1623" s="1" t="s">
        <v>15</v>
      </c>
      <c r="G1623" s="10">
        <v>35184.400000000001</v>
      </c>
      <c r="H1623" s="1" t="s">
        <v>50</v>
      </c>
      <c r="I1623" t="s">
        <v>53</v>
      </c>
      <c r="J1623" t="s">
        <v>22</v>
      </c>
    </row>
    <row r="1624" spans="1:10" x14ac:dyDescent="0.35">
      <c r="A1624">
        <v>1623</v>
      </c>
      <c r="B1624" s="1" t="s">
        <v>29</v>
      </c>
      <c r="C1624">
        <v>2022</v>
      </c>
      <c r="D1624" s="4">
        <v>2.8</v>
      </c>
      <c r="E1624" s="5">
        <v>81196</v>
      </c>
      <c r="F1624" s="1" t="s">
        <v>11</v>
      </c>
      <c r="G1624" s="10">
        <v>99159.41</v>
      </c>
      <c r="H1624" s="1" t="s">
        <v>30</v>
      </c>
      <c r="I1624" t="s">
        <v>13</v>
      </c>
      <c r="J1624" t="s">
        <v>22</v>
      </c>
    </row>
    <row r="1625" spans="1:10" x14ac:dyDescent="0.35">
      <c r="A1625">
        <v>1624</v>
      </c>
      <c r="B1625" s="1" t="s">
        <v>35</v>
      </c>
      <c r="C1625">
        <v>2003</v>
      </c>
      <c r="D1625" s="4">
        <v>2.8</v>
      </c>
      <c r="E1625" s="5">
        <v>208196</v>
      </c>
      <c r="F1625" s="1" t="s">
        <v>16</v>
      </c>
      <c r="G1625" s="10">
        <v>45121.15</v>
      </c>
      <c r="H1625" s="1" t="s">
        <v>45</v>
      </c>
      <c r="I1625" t="s">
        <v>53</v>
      </c>
      <c r="J1625" t="s">
        <v>22</v>
      </c>
    </row>
    <row r="1626" spans="1:10" x14ac:dyDescent="0.35">
      <c r="A1626">
        <v>1625</v>
      </c>
      <c r="B1626" s="1" t="s">
        <v>20</v>
      </c>
      <c r="C1626">
        <v>2005</v>
      </c>
      <c r="D1626" s="4">
        <v>2.7</v>
      </c>
      <c r="E1626" s="5">
        <v>149014</v>
      </c>
      <c r="F1626" s="1" t="s">
        <v>11</v>
      </c>
      <c r="G1626" s="10">
        <v>17459.84</v>
      </c>
      <c r="H1626" s="1" t="s">
        <v>46</v>
      </c>
      <c r="I1626" t="s">
        <v>51</v>
      </c>
      <c r="J1626" t="s">
        <v>14</v>
      </c>
    </row>
    <row r="1627" spans="1:10" x14ac:dyDescent="0.35">
      <c r="A1627">
        <v>1626</v>
      </c>
      <c r="B1627" s="1" t="s">
        <v>25</v>
      </c>
      <c r="C1627">
        <v>2010</v>
      </c>
      <c r="D1627" s="4">
        <v>3.6</v>
      </c>
      <c r="E1627" s="5">
        <v>298517</v>
      </c>
      <c r="F1627" s="1" t="s">
        <v>16</v>
      </c>
      <c r="G1627" s="10">
        <v>97082.99</v>
      </c>
      <c r="H1627" s="1" t="s">
        <v>49</v>
      </c>
      <c r="I1627" t="s">
        <v>51</v>
      </c>
      <c r="J1627" t="s">
        <v>22</v>
      </c>
    </row>
    <row r="1628" spans="1:10" x14ac:dyDescent="0.35">
      <c r="A1628">
        <v>1627</v>
      </c>
      <c r="B1628" s="1" t="s">
        <v>35</v>
      </c>
      <c r="C1628">
        <v>2000</v>
      </c>
      <c r="D1628" s="4">
        <v>3.2</v>
      </c>
      <c r="E1628" s="5">
        <v>120623</v>
      </c>
      <c r="F1628" s="1" t="s">
        <v>15</v>
      </c>
      <c r="G1628" s="10">
        <v>98493.27</v>
      </c>
      <c r="H1628" s="1" t="s">
        <v>50</v>
      </c>
      <c r="I1628" t="s">
        <v>52</v>
      </c>
      <c r="J1628" t="s">
        <v>22</v>
      </c>
    </row>
    <row r="1629" spans="1:10" x14ac:dyDescent="0.35">
      <c r="A1629">
        <v>1628</v>
      </c>
      <c r="B1629" s="1" t="s">
        <v>10</v>
      </c>
      <c r="C1629">
        <v>2023</v>
      </c>
      <c r="D1629" s="4">
        <v>5.4</v>
      </c>
      <c r="E1629" s="5">
        <v>2016</v>
      </c>
      <c r="F1629" s="1" t="s">
        <v>11</v>
      </c>
      <c r="G1629" s="10">
        <v>22769.06</v>
      </c>
      <c r="H1629" s="1" t="s">
        <v>19</v>
      </c>
      <c r="I1629" t="s">
        <v>13</v>
      </c>
      <c r="J1629" t="s">
        <v>14</v>
      </c>
    </row>
    <row r="1630" spans="1:10" x14ac:dyDescent="0.35">
      <c r="A1630">
        <v>1629</v>
      </c>
      <c r="B1630" s="1" t="s">
        <v>35</v>
      </c>
      <c r="C1630">
        <v>2022</v>
      </c>
      <c r="D1630" s="4">
        <v>3.5</v>
      </c>
      <c r="E1630" s="5">
        <v>7274</v>
      </c>
      <c r="F1630" s="1" t="s">
        <v>11</v>
      </c>
      <c r="G1630" s="10">
        <v>87156.36</v>
      </c>
      <c r="H1630" s="1" t="s">
        <v>47</v>
      </c>
      <c r="I1630" t="s">
        <v>51</v>
      </c>
      <c r="J1630" t="s">
        <v>14</v>
      </c>
    </row>
    <row r="1631" spans="1:10" x14ac:dyDescent="0.35">
      <c r="A1631">
        <v>1630</v>
      </c>
      <c r="B1631" s="1" t="s">
        <v>29</v>
      </c>
      <c r="C1631">
        <v>2014</v>
      </c>
      <c r="D1631" s="4">
        <v>3.5</v>
      </c>
      <c r="E1631" s="5">
        <v>15748</v>
      </c>
      <c r="F1631" s="1" t="s">
        <v>11</v>
      </c>
      <c r="G1631" s="10">
        <v>42090.22</v>
      </c>
      <c r="H1631" s="1" t="s">
        <v>38</v>
      </c>
      <c r="I1631" t="s">
        <v>13</v>
      </c>
      <c r="J1631" t="s">
        <v>14</v>
      </c>
    </row>
    <row r="1632" spans="1:10" x14ac:dyDescent="0.35">
      <c r="A1632">
        <v>1631</v>
      </c>
      <c r="B1632" s="1" t="s">
        <v>29</v>
      </c>
      <c r="C1632">
        <v>2010</v>
      </c>
      <c r="D1632" s="4">
        <v>1.7</v>
      </c>
      <c r="E1632" s="5">
        <v>11826</v>
      </c>
      <c r="F1632" s="1" t="s">
        <v>11</v>
      </c>
      <c r="G1632" s="10">
        <v>41230</v>
      </c>
      <c r="H1632" s="1" t="s">
        <v>31</v>
      </c>
      <c r="I1632" t="s">
        <v>13</v>
      </c>
      <c r="J1632" t="s">
        <v>22</v>
      </c>
    </row>
    <row r="1633" spans="1:10" x14ac:dyDescent="0.35">
      <c r="A1633">
        <v>1632</v>
      </c>
      <c r="B1633" s="1" t="s">
        <v>23</v>
      </c>
      <c r="C1633">
        <v>2018</v>
      </c>
      <c r="D1633" s="4">
        <v>5.9</v>
      </c>
      <c r="E1633" s="5">
        <v>129288</v>
      </c>
      <c r="F1633" s="1" t="s">
        <v>16</v>
      </c>
      <c r="G1633" s="10">
        <v>29956.28</v>
      </c>
      <c r="H1633" s="1" t="s">
        <v>32</v>
      </c>
      <c r="I1633" t="s">
        <v>13</v>
      </c>
      <c r="J1633" t="s">
        <v>22</v>
      </c>
    </row>
    <row r="1634" spans="1:10" x14ac:dyDescent="0.35">
      <c r="A1634">
        <v>1633</v>
      </c>
      <c r="B1634" s="1" t="s">
        <v>29</v>
      </c>
      <c r="C1634">
        <v>2017</v>
      </c>
      <c r="D1634" s="4">
        <v>2.2000000000000002</v>
      </c>
      <c r="E1634" s="5">
        <v>201081</v>
      </c>
      <c r="F1634" s="1" t="s">
        <v>16</v>
      </c>
      <c r="G1634" s="10">
        <v>9247.48</v>
      </c>
      <c r="H1634" s="1" t="s">
        <v>30</v>
      </c>
      <c r="I1634" t="s">
        <v>13</v>
      </c>
      <c r="J1634" t="s">
        <v>14</v>
      </c>
    </row>
    <row r="1635" spans="1:10" x14ac:dyDescent="0.35">
      <c r="A1635">
        <v>1634</v>
      </c>
      <c r="B1635" s="1" t="s">
        <v>27</v>
      </c>
      <c r="C1635">
        <v>2016</v>
      </c>
      <c r="D1635" s="4">
        <v>1.4</v>
      </c>
      <c r="E1635" s="5">
        <v>251054</v>
      </c>
      <c r="F1635" s="1" t="s">
        <v>15</v>
      </c>
      <c r="G1635" s="10">
        <v>30460.85</v>
      </c>
      <c r="H1635" s="1" t="s">
        <v>28</v>
      </c>
      <c r="I1635" t="s">
        <v>13</v>
      </c>
      <c r="J1635" t="s">
        <v>14</v>
      </c>
    </row>
    <row r="1636" spans="1:10" x14ac:dyDescent="0.35">
      <c r="A1636">
        <v>1635</v>
      </c>
      <c r="B1636" s="1" t="s">
        <v>20</v>
      </c>
      <c r="C1636">
        <v>2018</v>
      </c>
      <c r="D1636" s="4">
        <v>4.3</v>
      </c>
      <c r="E1636" s="5">
        <v>172507</v>
      </c>
      <c r="F1636" s="1" t="s">
        <v>15</v>
      </c>
      <c r="G1636" s="10">
        <v>10108.81</v>
      </c>
      <c r="H1636" s="1" t="s">
        <v>46</v>
      </c>
      <c r="I1636" t="s">
        <v>53</v>
      </c>
      <c r="J1636" t="s">
        <v>22</v>
      </c>
    </row>
    <row r="1637" spans="1:10" x14ac:dyDescent="0.35">
      <c r="A1637">
        <v>1636</v>
      </c>
      <c r="B1637" s="1" t="s">
        <v>20</v>
      </c>
      <c r="C1637">
        <v>2020</v>
      </c>
      <c r="D1637" s="4">
        <v>4</v>
      </c>
      <c r="E1637" s="5">
        <v>206089</v>
      </c>
      <c r="F1637" s="1" t="s">
        <v>15</v>
      </c>
      <c r="G1637" s="10">
        <v>92815.34</v>
      </c>
      <c r="H1637" s="1" t="s">
        <v>46</v>
      </c>
      <c r="I1637" t="s">
        <v>52</v>
      </c>
      <c r="J1637" t="s">
        <v>22</v>
      </c>
    </row>
    <row r="1638" spans="1:10" x14ac:dyDescent="0.35">
      <c r="A1638">
        <v>1637</v>
      </c>
      <c r="B1638" s="1" t="s">
        <v>25</v>
      </c>
      <c r="C1638">
        <v>2013</v>
      </c>
      <c r="D1638" s="4">
        <v>3.1</v>
      </c>
      <c r="E1638" s="5">
        <v>223023</v>
      </c>
      <c r="F1638" s="1" t="s">
        <v>15</v>
      </c>
      <c r="G1638" s="10">
        <v>67863.460000000006</v>
      </c>
      <c r="H1638" s="1" t="s">
        <v>26</v>
      </c>
      <c r="I1638" t="s">
        <v>13</v>
      </c>
      <c r="J1638" t="s">
        <v>14</v>
      </c>
    </row>
    <row r="1639" spans="1:10" x14ac:dyDescent="0.35">
      <c r="A1639">
        <v>1638</v>
      </c>
      <c r="B1639" s="1" t="s">
        <v>25</v>
      </c>
      <c r="C1639">
        <v>2017</v>
      </c>
      <c r="D1639" s="4">
        <v>3.1</v>
      </c>
      <c r="E1639" s="5">
        <v>192949</v>
      </c>
      <c r="F1639" s="1" t="s">
        <v>11</v>
      </c>
      <c r="G1639" s="10">
        <v>89229.15</v>
      </c>
      <c r="H1639" s="1" t="s">
        <v>26</v>
      </c>
      <c r="I1639" t="s">
        <v>53</v>
      </c>
      <c r="J1639" t="s">
        <v>14</v>
      </c>
    </row>
    <row r="1640" spans="1:10" x14ac:dyDescent="0.35">
      <c r="A1640">
        <v>1639</v>
      </c>
      <c r="B1640" s="1" t="s">
        <v>20</v>
      </c>
      <c r="C1640">
        <v>2018</v>
      </c>
      <c r="D1640" s="4">
        <v>4.9000000000000004</v>
      </c>
      <c r="E1640" s="5">
        <v>69072</v>
      </c>
      <c r="F1640" s="1" t="s">
        <v>16</v>
      </c>
      <c r="G1640" s="10">
        <v>73142.61</v>
      </c>
      <c r="H1640" s="1" t="s">
        <v>39</v>
      </c>
      <c r="I1640" t="s">
        <v>51</v>
      </c>
      <c r="J1640" t="s">
        <v>22</v>
      </c>
    </row>
    <row r="1641" spans="1:10" x14ac:dyDescent="0.35">
      <c r="A1641">
        <v>1640</v>
      </c>
      <c r="B1641" s="1" t="s">
        <v>10</v>
      </c>
      <c r="C1641">
        <v>2014</v>
      </c>
      <c r="D1641" s="4">
        <v>2</v>
      </c>
      <c r="E1641" s="5">
        <v>67309</v>
      </c>
      <c r="F1641" s="1" t="s">
        <v>16</v>
      </c>
      <c r="G1641" s="10">
        <v>17472.25</v>
      </c>
      <c r="H1641" s="1" t="s">
        <v>19</v>
      </c>
      <c r="I1641" t="s">
        <v>13</v>
      </c>
      <c r="J1641" t="s">
        <v>14</v>
      </c>
    </row>
    <row r="1642" spans="1:10" x14ac:dyDescent="0.35">
      <c r="A1642">
        <v>1641</v>
      </c>
      <c r="B1642" s="1" t="s">
        <v>25</v>
      </c>
      <c r="C1642">
        <v>2014</v>
      </c>
      <c r="D1642" s="4">
        <v>5.0999999999999996</v>
      </c>
      <c r="E1642" s="5">
        <v>160966</v>
      </c>
      <c r="F1642" s="1" t="s">
        <v>16</v>
      </c>
      <c r="G1642" s="10">
        <v>94355.25</v>
      </c>
      <c r="H1642" s="1" t="s">
        <v>26</v>
      </c>
      <c r="I1642" t="s">
        <v>51</v>
      </c>
      <c r="J1642" t="s">
        <v>22</v>
      </c>
    </row>
    <row r="1643" spans="1:10" x14ac:dyDescent="0.35">
      <c r="A1643">
        <v>1642</v>
      </c>
      <c r="B1643" s="1" t="s">
        <v>23</v>
      </c>
      <c r="C1643">
        <v>2003</v>
      </c>
      <c r="D1643" s="4">
        <v>4.2</v>
      </c>
      <c r="E1643" s="5">
        <v>185639</v>
      </c>
      <c r="F1643" s="1" t="s">
        <v>16</v>
      </c>
      <c r="G1643" s="10">
        <v>90489.84</v>
      </c>
      <c r="H1643" s="1" t="s">
        <v>42</v>
      </c>
      <c r="I1643" t="s">
        <v>13</v>
      </c>
      <c r="J1643" t="s">
        <v>22</v>
      </c>
    </row>
    <row r="1644" spans="1:10" x14ac:dyDescent="0.35">
      <c r="A1644">
        <v>1643</v>
      </c>
      <c r="B1644" s="1" t="s">
        <v>29</v>
      </c>
      <c r="C1644">
        <v>2006</v>
      </c>
      <c r="D1644" s="4">
        <v>3.1</v>
      </c>
      <c r="E1644" s="5">
        <v>35326</v>
      </c>
      <c r="F1644" s="1" t="s">
        <v>15</v>
      </c>
      <c r="G1644" s="10">
        <v>38067.230000000003</v>
      </c>
      <c r="H1644" s="1" t="s">
        <v>43</v>
      </c>
      <c r="I1644" t="s">
        <v>53</v>
      </c>
      <c r="J1644" t="s">
        <v>14</v>
      </c>
    </row>
    <row r="1645" spans="1:10" x14ac:dyDescent="0.35">
      <c r="A1645">
        <v>1644</v>
      </c>
      <c r="B1645" s="1" t="s">
        <v>20</v>
      </c>
      <c r="C1645">
        <v>2012</v>
      </c>
      <c r="D1645" s="4">
        <v>3.3</v>
      </c>
      <c r="E1645" s="5">
        <v>186131</v>
      </c>
      <c r="F1645" s="1" t="s">
        <v>11</v>
      </c>
      <c r="G1645" s="10">
        <v>15595.67</v>
      </c>
      <c r="H1645" s="1" t="s">
        <v>33</v>
      </c>
      <c r="I1645" t="s">
        <v>53</v>
      </c>
      <c r="J1645" t="s">
        <v>14</v>
      </c>
    </row>
    <row r="1646" spans="1:10" x14ac:dyDescent="0.35">
      <c r="A1646">
        <v>1645</v>
      </c>
      <c r="B1646" s="1" t="s">
        <v>25</v>
      </c>
      <c r="C1646">
        <v>2002</v>
      </c>
      <c r="D1646" s="4">
        <v>2.2999999999999998</v>
      </c>
      <c r="E1646" s="5">
        <v>267223</v>
      </c>
      <c r="F1646" s="1" t="s">
        <v>16</v>
      </c>
      <c r="G1646" s="10">
        <v>71894.7</v>
      </c>
      <c r="H1646" s="1" t="s">
        <v>44</v>
      </c>
      <c r="I1646" t="s">
        <v>53</v>
      </c>
      <c r="J1646" t="s">
        <v>22</v>
      </c>
    </row>
    <row r="1647" spans="1:10" x14ac:dyDescent="0.35">
      <c r="A1647">
        <v>1646</v>
      </c>
      <c r="B1647" s="1" t="s">
        <v>20</v>
      </c>
      <c r="C1647">
        <v>2015</v>
      </c>
      <c r="D1647" s="4">
        <v>4.8</v>
      </c>
      <c r="E1647" s="5">
        <v>87340</v>
      </c>
      <c r="F1647" s="1" t="s">
        <v>11</v>
      </c>
      <c r="G1647" s="10">
        <v>74194.320000000007</v>
      </c>
      <c r="H1647" s="1" t="s">
        <v>33</v>
      </c>
      <c r="I1647" t="s">
        <v>52</v>
      </c>
      <c r="J1647" t="s">
        <v>22</v>
      </c>
    </row>
    <row r="1648" spans="1:10" x14ac:dyDescent="0.35">
      <c r="A1648">
        <v>1647</v>
      </c>
      <c r="B1648" s="1" t="s">
        <v>27</v>
      </c>
      <c r="C1648">
        <v>2008</v>
      </c>
      <c r="D1648" s="4">
        <v>3.6</v>
      </c>
      <c r="E1648" s="5">
        <v>167364</v>
      </c>
      <c r="F1648" s="1" t="s">
        <v>11</v>
      </c>
      <c r="G1648" s="10">
        <v>90198.76</v>
      </c>
      <c r="H1648" s="1" t="s">
        <v>37</v>
      </c>
      <c r="I1648" t="s">
        <v>51</v>
      </c>
      <c r="J1648" t="s">
        <v>14</v>
      </c>
    </row>
    <row r="1649" spans="1:10" x14ac:dyDescent="0.35">
      <c r="A1649">
        <v>1648</v>
      </c>
      <c r="B1649" s="1" t="s">
        <v>35</v>
      </c>
      <c r="C1649">
        <v>2007</v>
      </c>
      <c r="D1649" s="4">
        <v>2.6</v>
      </c>
      <c r="E1649" s="5">
        <v>118192</v>
      </c>
      <c r="F1649" s="1" t="s">
        <v>11</v>
      </c>
      <c r="G1649" s="10">
        <v>10002.299999999999</v>
      </c>
      <c r="H1649" s="1" t="s">
        <v>50</v>
      </c>
      <c r="I1649" t="s">
        <v>52</v>
      </c>
      <c r="J1649" t="s">
        <v>22</v>
      </c>
    </row>
    <row r="1650" spans="1:10" x14ac:dyDescent="0.35">
      <c r="A1650">
        <v>1649</v>
      </c>
      <c r="B1650" s="1" t="s">
        <v>29</v>
      </c>
      <c r="C1650">
        <v>2019</v>
      </c>
      <c r="D1650" s="4">
        <v>4</v>
      </c>
      <c r="E1650" s="5">
        <v>251749</v>
      </c>
      <c r="F1650" s="1" t="s">
        <v>11</v>
      </c>
      <c r="G1650" s="10">
        <v>18461.86</v>
      </c>
      <c r="H1650" s="1" t="s">
        <v>38</v>
      </c>
      <c r="I1650" t="s">
        <v>13</v>
      </c>
      <c r="J1650" t="s">
        <v>14</v>
      </c>
    </row>
    <row r="1651" spans="1:10" x14ac:dyDescent="0.35">
      <c r="A1651">
        <v>1650</v>
      </c>
      <c r="B1651" s="1" t="s">
        <v>20</v>
      </c>
      <c r="C1651">
        <v>2012</v>
      </c>
      <c r="D1651" s="4">
        <v>6</v>
      </c>
      <c r="E1651" s="5">
        <v>51818</v>
      </c>
      <c r="F1651" s="1" t="s">
        <v>16</v>
      </c>
      <c r="G1651" s="10">
        <v>61833.64</v>
      </c>
      <c r="H1651" s="1" t="s">
        <v>21</v>
      </c>
      <c r="I1651" t="s">
        <v>51</v>
      </c>
      <c r="J1651" t="s">
        <v>22</v>
      </c>
    </row>
    <row r="1652" spans="1:10" x14ac:dyDescent="0.35">
      <c r="A1652">
        <v>1651</v>
      </c>
      <c r="B1652" s="1" t="s">
        <v>35</v>
      </c>
      <c r="C1652">
        <v>2016</v>
      </c>
      <c r="D1652" s="4">
        <v>3.2</v>
      </c>
      <c r="E1652" s="5">
        <v>13429</v>
      </c>
      <c r="F1652" s="1" t="s">
        <v>16</v>
      </c>
      <c r="G1652" s="10">
        <v>63817.5</v>
      </c>
      <c r="H1652" s="1" t="s">
        <v>50</v>
      </c>
      <c r="I1652" t="s">
        <v>53</v>
      </c>
      <c r="J1652" t="s">
        <v>14</v>
      </c>
    </row>
    <row r="1653" spans="1:10" x14ac:dyDescent="0.35">
      <c r="A1653">
        <v>1652</v>
      </c>
      <c r="B1653" s="1" t="s">
        <v>25</v>
      </c>
      <c r="C1653">
        <v>2016</v>
      </c>
      <c r="D1653" s="4">
        <v>5.6</v>
      </c>
      <c r="E1653" s="5">
        <v>57748</v>
      </c>
      <c r="F1653" s="1" t="s">
        <v>16</v>
      </c>
      <c r="G1653" s="10">
        <v>8192.92</v>
      </c>
      <c r="H1653" s="1" t="s">
        <v>44</v>
      </c>
      <c r="I1653" t="s">
        <v>51</v>
      </c>
      <c r="J1653" t="s">
        <v>22</v>
      </c>
    </row>
    <row r="1654" spans="1:10" x14ac:dyDescent="0.35">
      <c r="A1654">
        <v>1653</v>
      </c>
      <c r="B1654" s="1" t="s">
        <v>35</v>
      </c>
      <c r="C1654">
        <v>2016</v>
      </c>
      <c r="D1654" s="4">
        <v>2.7</v>
      </c>
      <c r="E1654" s="5">
        <v>48807</v>
      </c>
      <c r="F1654" s="1" t="s">
        <v>15</v>
      </c>
      <c r="G1654" s="10">
        <v>42708.54</v>
      </c>
      <c r="H1654" s="1" t="s">
        <v>50</v>
      </c>
      <c r="I1654" t="s">
        <v>53</v>
      </c>
      <c r="J1654" t="s">
        <v>22</v>
      </c>
    </row>
    <row r="1655" spans="1:10" x14ac:dyDescent="0.35">
      <c r="A1655">
        <v>1654</v>
      </c>
      <c r="B1655" s="1" t="s">
        <v>29</v>
      </c>
      <c r="C1655">
        <v>2000</v>
      </c>
      <c r="D1655" s="4">
        <v>1.3</v>
      </c>
      <c r="E1655" s="5">
        <v>269284</v>
      </c>
      <c r="F1655" s="1" t="s">
        <v>16</v>
      </c>
      <c r="G1655" s="10">
        <v>60495.360000000001</v>
      </c>
      <c r="H1655" s="1" t="s">
        <v>43</v>
      </c>
      <c r="I1655" t="s">
        <v>52</v>
      </c>
      <c r="J1655" t="s">
        <v>14</v>
      </c>
    </row>
    <row r="1656" spans="1:10" x14ac:dyDescent="0.35">
      <c r="A1656">
        <v>1655</v>
      </c>
      <c r="B1656" s="1" t="s">
        <v>20</v>
      </c>
      <c r="C1656">
        <v>2007</v>
      </c>
      <c r="D1656" s="4">
        <v>2</v>
      </c>
      <c r="E1656" s="5">
        <v>238161</v>
      </c>
      <c r="F1656" s="1" t="s">
        <v>15</v>
      </c>
      <c r="G1656" s="10">
        <v>75101.58</v>
      </c>
      <c r="H1656" s="1" t="s">
        <v>46</v>
      </c>
      <c r="I1656" t="s">
        <v>52</v>
      </c>
      <c r="J1656" t="s">
        <v>14</v>
      </c>
    </row>
    <row r="1657" spans="1:10" x14ac:dyDescent="0.35">
      <c r="A1657">
        <v>1656</v>
      </c>
      <c r="B1657" s="1" t="s">
        <v>27</v>
      </c>
      <c r="C1657">
        <v>2018</v>
      </c>
      <c r="D1657" s="4">
        <v>3.1</v>
      </c>
      <c r="E1657" s="5">
        <v>290669</v>
      </c>
      <c r="F1657" s="1" t="s">
        <v>15</v>
      </c>
      <c r="G1657" s="10">
        <v>35034.32</v>
      </c>
      <c r="H1657" s="1" t="s">
        <v>40</v>
      </c>
      <c r="I1657" t="s">
        <v>53</v>
      </c>
      <c r="J1657" t="s">
        <v>22</v>
      </c>
    </row>
    <row r="1658" spans="1:10" x14ac:dyDescent="0.35">
      <c r="A1658">
        <v>1657</v>
      </c>
      <c r="B1658" s="1" t="s">
        <v>10</v>
      </c>
      <c r="C1658">
        <v>2005</v>
      </c>
      <c r="D1658" s="4">
        <v>2.1</v>
      </c>
      <c r="E1658" s="5">
        <v>282635</v>
      </c>
      <c r="F1658" s="1" t="s">
        <v>15</v>
      </c>
      <c r="G1658" s="10">
        <v>50970.83</v>
      </c>
      <c r="H1658" s="1" t="s">
        <v>12</v>
      </c>
      <c r="I1658" t="s">
        <v>13</v>
      </c>
      <c r="J1658" t="s">
        <v>14</v>
      </c>
    </row>
    <row r="1659" spans="1:10" x14ac:dyDescent="0.35">
      <c r="A1659">
        <v>1658</v>
      </c>
      <c r="B1659" s="1" t="s">
        <v>25</v>
      </c>
      <c r="C1659">
        <v>2002</v>
      </c>
      <c r="D1659" s="4">
        <v>1</v>
      </c>
      <c r="E1659" s="5">
        <v>199888</v>
      </c>
      <c r="F1659" s="1" t="s">
        <v>16</v>
      </c>
      <c r="G1659" s="10">
        <v>82335.210000000006</v>
      </c>
      <c r="H1659" s="1" t="s">
        <v>41</v>
      </c>
      <c r="I1659" t="s">
        <v>13</v>
      </c>
      <c r="J1659" t="s">
        <v>14</v>
      </c>
    </row>
    <row r="1660" spans="1:10" x14ac:dyDescent="0.35">
      <c r="A1660">
        <v>1659</v>
      </c>
      <c r="B1660" s="1" t="s">
        <v>20</v>
      </c>
      <c r="C1660">
        <v>2004</v>
      </c>
      <c r="D1660" s="4">
        <v>5.6</v>
      </c>
      <c r="E1660" s="5">
        <v>166052</v>
      </c>
      <c r="F1660" s="1" t="s">
        <v>16</v>
      </c>
      <c r="G1660" s="10">
        <v>95620.03</v>
      </c>
      <c r="H1660" s="1" t="s">
        <v>21</v>
      </c>
      <c r="I1660" t="s">
        <v>52</v>
      </c>
      <c r="J1660" t="s">
        <v>14</v>
      </c>
    </row>
    <row r="1661" spans="1:10" x14ac:dyDescent="0.35">
      <c r="A1661">
        <v>1660</v>
      </c>
      <c r="B1661" s="1" t="s">
        <v>29</v>
      </c>
      <c r="C1661">
        <v>2012</v>
      </c>
      <c r="D1661" s="4">
        <v>5.2</v>
      </c>
      <c r="E1661" s="5">
        <v>226597</v>
      </c>
      <c r="F1661" s="1" t="s">
        <v>16</v>
      </c>
      <c r="G1661" s="10">
        <v>26879.89</v>
      </c>
      <c r="H1661" s="1" t="s">
        <v>31</v>
      </c>
      <c r="I1661" t="s">
        <v>52</v>
      </c>
      <c r="J1661" t="s">
        <v>22</v>
      </c>
    </row>
    <row r="1662" spans="1:10" x14ac:dyDescent="0.35">
      <c r="A1662">
        <v>1661</v>
      </c>
      <c r="B1662" s="1" t="s">
        <v>25</v>
      </c>
      <c r="C1662">
        <v>2014</v>
      </c>
      <c r="D1662" s="4">
        <v>4.7</v>
      </c>
      <c r="E1662" s="5">
        <v>8078</v>
      </c>
      <c r="F1662" s="1" t="s">
        <v>15</v>
      </c>
      <c r="G1662" s="10">
        <v>29039.01</v>
      </c>
      <c r="H1662" s="1" t="s">
        <v>41</v>
      </c>
      <c r="I1662" t="s">
        <v>13</v>
      </c>
      <c r="J1662" t="s">
        <v>22</v>
      </c>
    </row>
    <row r="1663" spans="1:10" x14ac:dyDescent="0.35">
      <c r="A1663">
        <v>1662</v>
      </c>
      <c r="B1663" s="1" t="s">
        <v>23</v>
      </c>
      <c r="C1663">
        <v>2013</v>
      </c>
      <c r="D1663" s="4">
        <v>1.8</v>
      </c>
      <c r="E1663" s="5">
        <v>91654</v>
      </c>
      <c r="F1663" s="1" t="s">
        <v>15</v>
      </c>
      <c r="G1663" s="10">
        <v>94282.73</v>
      </c>
      <c r="H1663" s="1" t="s">
        <v>32</v>
      </c>
      <c r="I1663" t="s">
        <v>52</v>
      </c>
      <c r="J1663" t="s">
        <v>14</v>
      </c>
    </row>
    <row r="1664" spans="1:10" x14ac:dyDescent="0.35">
      <c r="A1664">
        <v>1663</v>
      </c>
      <c r="B1664" s="1" t="s">
        <v>35</v>
      </c>
      <c r="C1664">
        <v>2022</v>
      </c>
      <c r="D1664" s="4">
        <v>1.6</v>
      </c>
      <c r="E1664" s="5">
        <v>129101</v>
      </c>
      <c r="F1664" s="1" t="s">
        <v>11</v>
      </c>
      <c r="G1664" s="10">
        <v>42611.56</v>
      </c>
      <c r="H1664" s="1" t="s">
        <v>50</v>
      </c>
      <c r="I1664" t="s">
        <v>53</v>
      </c>
      <c r="J1664" t="s">
        <v>14</v>
      </c>
    </row>
    <row r="1665" spans="1:10" x14ac:dyDescent="0.35">
      <c r="A1665">
        <v>1664</v>
      </c>
      <c r="B1665" s="1" t="s">
        <v>10</v>
      </c>
      <c r="C1665">
        <v>2015</v>
      </c>
      <c r="D1665" s="4">
        <v>1.3</v>
      </c>
      <c r="E1665" s="5">
        <v>16997</v>
      </c>
      <c r="F1665" s="1" t="s">
        <v>15</v>
      </c>
      <c r="G1665" s="10">
        <v>73243.09</v>
      </c>
      <c r="H1665" s="1" t="s">
        <v>18</v>
      </c>
      <c r="I1665" t="s">
        <v>13</v>
      </c>
      <c r="J1665" t="s">
        <v>14</v>
      </c>
    </row>
    <row r="1666" spans="1:10" x14ac:dyDescent="0.35">
      <c r="A1666">
        <v>1665</v>
      </c>
      <c r="B1666" s="1" t="s">
        <v>29</v>
      </c>
      <c r="C1666">
        <v>2017</v>
      </c>
      <c r="D1666" s="4">
        <v>4.5999999999999996</v>
      </c>
      <c r="E1666" s="5">
        <v>131940</v>
      </c>
      <c r="F1666" s="1" t="s">
        <v>15</v>
      </c>
      <c r="G1666" s="10">
        <v>63165.2</v>
      </c>
      <c r="H1666" s="1" t="s">
        <v>31</v>
      </c>
      <c r="I1666" t="s">
        <v>51</v>
      </c>
      <c r="J1666" t="s">
        <v>14</v>
      </c>
    </row>
    <row r="1667" spans="1:10" x14ac:dyDescent="0.35">
      <c r="A1667">
        <v>1666</v>
      </c>
      <c r="B1667" s="1" t="s">
        <v>23</v>
      </c>
      <c r="C1667">
        <v>2021</v>
      </c>
      <c r="D1667" s="4">
        <v>5.6</v>
      </c>
      <c r="E1667" s="5">
        <v>212650</v>
      </c>
      <c r="F1667" s="1" t="s">
        <v>16</v>
      </c>
      <c r="G1667" s="10">
        <v>32130.83</v>
      </c>
      <c r="H1667" s="1" t="s">
        <v>42</v>
      </c>
      <c r="I1667" t="s">
        <v>52</v>
      </c>
      <c r="J1667" t="s">
        <v>14</v>
      </c>
    </row>
    <row r="1668" spans="1:10" x14ac:dyDescent="0.35">
      <c r="A1668">
        <v>1667</v>
      </c>
      <c r="B1668" s="1" t="s">
        <v>20</v>
      </c>
      <c r="C1668">
        <v>2021</v>
      </c>
      <c r="D1668" s="4">
        <v>3.2</v>
      </c>
      <c r="E1668" s="5">
        <v>283390</v>
      </c>
      <c r="F1668" s="1" t="s">
        <v>11</v>
      </c>
      <c r="G1668" s="10">
        <v>67088.41</v>
      </c>
      <c r="H1668" s="1" t="s">
        <v>33</v>
      </c>
      <c r="I1668" t="s">
        <v>13</v>
      </c>
      <c r="J1668" t="s">
        <v>22</v>
      </c>
    </row>
    <row r="1669" spans="1:10" x14ac:dyDescent="0.35">
      <c r="A1669">
        <v>1668</v>
      </c>
      <c r="B1669" s="1" t="s">
        <v>27</v>
      </c>
      <c r="C1669">
        <v>2010</v>
      </c>
      <c r="D1669" s="4">
        <v>1.6</v>
      </c>
      <c r="E1669" s="5">
        <v>151633</v>
      </c>
      <c r="F1669" s="1" t="s">
        <v>11</v>
      </c>
      <c r="G1669" s="10">
        <v>67278.759999999995</v>
      </c>
      <c r="H1669" s="1" t="s">
        <v>40</v>
      </c>
      <c r="I1669" t="s">
        <v>53</v>
      </c>
      <c r="J1669" t="s">
        <v>22</v>
      </c>
    </row>
    <row r="1670" spans="1:10" x14ac:dyDescent="0.35">
      <c r="A1670">
        <v>1669</v>
      </c>
      <c r="B1670" s="1" t="s">
        <v>25</v>
      </c>
      <c r="C1670">
        <v>2002</v>
      </c>
      <c r="D1670" s="4">
        <v>3.6</v>
      </c>
      <c r="E1670" s="5">
        <v>34512</v>
      </c>
      <c r="F1670" s="1" t="s">
        <v>11</v>
      </c>
      <c r="G1670" s="10">
        <v>61282.1</v>
      </c>
      <c r="H1670" s="1" t="s">
        <v>41</v>
      </c>
      <c r="I1670" t="s">
        <v>51</v>
      </c>
      <c r="J1670" t="s">
        <v>14</v>
      </c>
    </row>
    <row r="1671" spans="1:10" x14ac:dyDescent="0.35">
      <c r="A1671">
        <v>1670</v>
      </c>
      <c r="B1671" s="1" t="s">
        <v>35</v>
      </c>
      <c r="C1671">
        <v>2021</v>
      </c>
      <c r="D1671" s="4">
        <v>2.7</v>
      </c>
      <c r="E1671" s="5">
        <v>225226</v>
      </c>
      <c r="F1671" s="1" t="s">
        <v>16</v>
      </c>
      <c r="G1671" s="10">
        <v>14467.78</v>
      </c>
      <c r="H1671" s="1" t="s">
        <v>36</v>
      </c>
      <c r="I1671" t="s">
        <v>53</v>
      </c>
      <c r="J1671" t="s">
        <v>22</v>
      </c>
    </row>
    <row r="1672" spans="1:10" x14ac:dyDescent="0.35">
      <c r="A1672">
        <v>1671</v>
      </c>
      <c r="B1672" s="1" t="s">
        <v>25</v>
      </c>
      <c r="C1672">
        <v>2009</v>
      </c>
      <c r="D1672" s="4">
        <v>2.9</v>
      </c>
      <c r="E1672" s="5">
        <v>208467</v>
      </c>
      <c r="F1672" s="1" t="s">
        <v>11</v>
      </c>
      <c r="G1672" s="10">
        <v>99541.32</v>
      </c>
      <c r="H1672" s="1" t="s">
        <v>49</v>
      </c>
      <c r="I1672" t="s">
        <v>52</v>
      </c>
      <c r="J1672" t="s">
        <v>22</v>
      </c>
    </row>
    <row r="1673" spans="1:10" x14ac:dyDescent="0.35">
      <c r="A1673">
        <v>1672</v>
      </c>
      <c r="B1673" s="1" t="s">
        <v>10</v>
      </c>
      <c r="C1673">
        <v>2009</v>
      </c>
      <c r="D1673" s="4">
        <v>4.0999999999999996</v>
      </c>
      <c r="E1673" s="5">
        <v>72144</v>
      </c>
      <c r="F1673" s="1" t="s">
        <v>11</v>
      </c>
      <c r="G1673" s="10">
        <v>43039.56</v>
      </c>
      <c r="H1673" s="1" t="s">
        <v>12</v>
      </c>
      <c r="I1673" t="s">
        <v>13</v>
      </c>
      <c r="J1673" t="s">
        <v>14</v>
      </c>
    </row>
    <row r="1674" spans="1:10" x14ac:dyDescent="0.35">
      <c r="A1674">
        <v>1673</v>
      </c>
      <c r="B1674" s="1" t="s">
        <v>20</v>
      </c>
      <c r="C1674">
        <v>2020</v>
      </c>
      <c r="D1674" s="4">
        <v>4.5999999999999996</v>
      </c>
      <c r="E1674" s="5">
        <v>173557</v>
      </c>
      <c r="F1674" s="1" t="s">
        <v>16</v>
      </c>
      <c r="G1674" s="10">
        <v>65633.84</v>
      </c>
      <c r="H1674" s="1" t="s">
        <v>33</v>
      </c>
      <c r="I1674" t="s">
        <v>51</v>
      </c>
      <c r="J1674" t="s">
        <v>22</v>
      </c>
    </row>
    <row r="1675" spans="1:10" x14ac:dyDescent="0.35">
      <c r="A1675">
        <v>1674</v>
      </c>
      <c r="B1675" s="1" t="s">
        <v>25</v>
      </c>
      <c r="C1675">
        <v>2015</v>
      </c>
      <c r="D1675" s="4">
        <v>1.6</v>
      </c>
      <c r="E1675" s="5">
        <v>117363</v>
      </c>
      <c r="F1675" s="1" t="s">
        <v>11</v>
      </c>
      <c r="G1675" s="10">
        <v>89147.36</v>
      </c>
      <c r="H1675" s="1" t="s">
        <v>41</v>
      </c>
      <c r="I1675" t="s">
        <v>52</v>
      </c>
      <c r="J1675" t="s">
        <v>22</v>
      </c>
    </row>
    <row r="1676" spans="1:10" x14ac:dyDescent="0.35">
      <c r="A1676">
        <v>1675</v>
      </c>
      <c r="B1676" s="1" t="s">
        <v>35</v>
      </c>
      <c r="C1676">
        <v>2011</v>
      </c>
      <c r="D1676" s="4">
        <v>1.2</v>
      </c>
      <c r="E1676" s="5">
        <v>201484</v>
      </c>
      <c r="F1676" s="1" t="s">
        <v>15</v>
      </c>
      <c r="G1676" s="10">
        <v>45212.41</v>
      </c>
      <c r="H1676" s="1" t="s">
        <v>36</v>
      </c>
      <c r="I1676" t="s">
        <v>13</v>
      </c>
      <c r="J1676" t="s">
        <v>22</v>
      </c>
    </row>
    <row r="1677" spans="1:10" x14ac:dyDescent="0.35">
      <c r="A1677">
        <v>1676</v>
      </c>
      <c r="B1677" s="1" t="s">
        <v>20</v>
      </c>
      <c r="C1677">
        <v>2001</v>
      </c>
      <c r="D1677" s="4">
        <v>6</v>
      </c>
      <c r="E1677" s="5">
        <v>181675</v>
      </c>
      <c r="F1677" s="1" t="s">
        <v>15</v>
      </c>
      <c r="G1677" s="10">
        <v>78522.880000000005</v>
      </c>
      <c r="H1677" s="1" t="s">
        <v>33</v>
      </c>
      <c r="I1677" t="s">
        <v>52</v>
      </c>
      <c r="J1677" t="s">
        <v>14</v>
      </c>
    </row>
    <row r="1678" spans="1:10" x14ac:dyDescent="0.35">
      <c r="A1678">
        <v>1677</v>
      </c>
      <c r="B1678" s="1" t="s">
        <v>25</v>
      </c>
      <c r="C1678">
        <v>2008</v>
      </c>
      <c r="D1678" s="4">
        <v>2.2000000000000002</v>
      </c>
      <c r="E1678" s="5">
        <v>152110</v>
      </c>
      <c r="F1678" s="1" t="s">
        <v>15</v>
      </c>
      <c r="G1678" s="10">
        <v>97323.32</v>
      </c>
      <c r="H1678" s="1" t="s">
        <v>49</v>
      </c>
      <c r="I1678" t="s">
        <v>52</v>
      </c>
      <c r="J1678" t="s">
        <v>14</v>
      </c>
    </row>
    <row r="1679" spans="1:10" x14ac:dyDescent="0.35">
      <c r="A1679">
        <v>1678</v>
      </c>
      <c r="B1679" s="1" t="s">
        <v>27</v>
      </c>
      <c r="C1679">
        <v>2023</v>
      </c>
      <c r="D1679" s="4">
        <v>1.3</v>
      </c>
      <c r="E1679" s="5">
        <v>93542</v>
      </c>
      <c r="F1679" s="1" t="s">
        <v>15</v>
      </c>
      <c r="G1679" s="10">
        <v>39098.800000000003</v>
      </c>
      <c r="H1679" s="1" t="s">
        <v>28</v>
      </c>
      <c r="I1679" t="s">
        <v>52</v>
      </c>
      <c r="J1679" t="s">
        <v>22</v>
      </c>
    </row>
    <row r="1680" spans="1:10" x14ac:dyDescent="0.35">
      <c r="A1680">
        <v>1679</v>
      </c>
      <c r="B1680" s="1" t="s">
        <v>29</v>
      </c>
      <c r="C1680">
        <v>2002</v>
      </c>
      <c r="D1680" s="4">
        <v>1.9</v>
      </c>
      <c r="E1680" s="5">
        <v>276469</v>
      </c>
      <c r="F1680" s="1" t="s">
        <v>15</v>
      </c>
      <c r="G1680" s="10">
        <v>43500.61</v>
      </c>
      <c r="H1680" s="1" t="s">
        <v>31</v>
      </c>
      <c r="I1680" t="s">
        <v>53</v>
      </c>
      <c r="J1680" t="s">
        <v>22</v>
      </c>
    </row>
    <row r="1681" spans="1:10" x14ac:dyDescent="0.35">
      <c r="A1681">
        <v>1680</v>
      </c>
      <c r="B1681" s="1" t="s">
        <v>20</v>
      </c>
      <c r="C1681">
        <v>2023</v>
      </c>
      <c r="D1681" s="4">
        <v>1.2</v>
      </c>
      <c r="E1681" s="5">
        <v>166964</v>
      </c>
      <c r="F1681" s="1" t="s">
        <v>15</v>
      </c>
      <c r="G1681" s="10">
        <v>91029.73</v>
      </c>
      <c r="H1681" s="1" t="s">
        <v>39</v>
      </c>
      <c r="I1681" t="s">
        <v>53</v>
      </c>
      <c r="J1681" t="s">
        <v>22</v>
      </c>
    </row>
    <row r="1682" spans="1:10" x14ac:dyDescent="0.35">
      <c r="A1682">
        <v>1681</v>
      </c>
      <c r="B1682" s="1" t="s">
        <v>29</v>
      </c>
      <c r="C1682">
        <v>2014</v>
      </c>
      <c r="D1682" s="4">
        <v>3</v>
      </c>
      <c r="E1682" s="5">
        <v>149068</v>
      </c>
      <c r="F1682" s="1" t="s">
        <v>15</v>
      </c>
      <c r="G1682" s="10">
        <v>20166.07</v>
      </c>
      <c r="H1682" s="1" t="s">
        <v>43</v>
      </c>
      <c r="I1682" t="s">
        <v>51</v>
      </c>
      <c r="J1682" t="s">
        <v>22</v>
      </c>
    </row>
    <row r="1683" spans="1:10" x14ac:dyDescent="0.35">
      <c r="A1683">
        <v>1682</v>
      </c>
      <c r="B1683" s="1" t="s">
        <v>20</v>
      </c>
      <c r="C1683">
        <v>2002</v>
      </c>
      <c r="D1683" s="4">
        <v>5</v>
      </c>
      <c r="E1683" s="5">
        <v>205355</v>
      </c>
      <c r="F1683" s="1" t="s">
        <v>15</v>
      </c>
      <c r="G1683" s="10">
        <v>7716.51</v>
      </c>
      <c r="H1683" s="1" t="s">
        <v>21</v>
      </c>
      <c r="I1683" t="s">
        <v>51</v>
      </c>
      <c r="J1683" t="s">
        <v>22</v>
      </c>
    </row>
    <row r="1684" spans="1:10" x14ac:dyDescent="0.35">
      <c r="A1684">
        <v>1683</v>
      </c>
      <c r="B1684" s="1" t="s">
        <v>27</v>
      </c>
      <c r="C1684">
        <v>2018</v>
      </c>
      <c r="D1684" s="4">
        <v>2.7</v>
      </c>
      <c r="E1684" s="5">
        <v>116737</v>
      </c>
      <c r="F1684" s="1" t="s">
        <v>15</v>
      </c>
      <c r="G1684" s="10">
        <v>91344.46</v>
      </c>
      <c r="H1684" s="1" t="s">
        <v>37</v>
      </c>
      <c r="I1684" t="s">
        <v>51</v>
      </c>
      <c r="J1684" t="s">
        <v>22</v>
      </c>
    </row>
    <row r="1685" spans="1:10" x14ac:dyDescent="0.35">
      <c r="A1685">
        <v>1684</v>
      </c>
      <c r="B1685" s="1" t="s">
        <v>29</v>
      </c>
      <c r="C1685">
        <v>2017</v>
      </c>
      <c r="D1685" s="4">
        <v>3.2</v>
      </c>
      <c r="E1685" s="5">
        <v>262968</v>
      </c>
      <c r="F1685" s="1" t="s">
        <v>16</v>
      </c>
      <c r="G1685" s="10">
        <v>83051.199999999997</v>
      </c>
      <c r="H1685" s="1" t="s">
        <v>38</v>
      </c>
      <c r="I1685" t="s">
        <v>52</v>
      </c>
      <c r="J1685" t="s">
        <v>14</v>
      </c>
    </row>
    <row r="1686" spans="1:10" x14ac:dyDescent="0.35">
      <c r="A1686">
        <v>1685</v>
      </c>
      <c r="B1686" s="1" t="s">
        <v>23</v>
      </c>
      <c r="C1686">
        <v>2007</v>
      </c>
      <c r="D1686" s="4">
        <v>4.4000000000000004</v>
      </c>
      <c r="E1686" s="5">
        <v>240417</v>
      </c>
      <c r="F1686" s="1" t="s">
        <v>16</v>
      </c>
      <c r="G1686" s="10">
        <v>97395.39</v>
      </c>
      <c r="H1686" s="1" t="s">
        <v>24</v>
      </c>
      <c r="I1686" t="s">
        <v>53</v>
      </c>
      <c r="J1686" t="s">
        <v>22</v>
      </c>
    </row>
    <row r="1687" spans="1:10" x14ac:dyDescent="0.35">
      <c r="A1687">
        <v>1686</v>
      </c>
      <c r="B1687" s="1" t="s">
        <v>35</v>
      </c>
      <c r="C1687">
        <v>2016</v>
      </c>
      <c r="D1687" s="4">
        <v>3.5</v>
      </c>
      <c r="E1687" s="5">
        <v>117718</v>
      </c>
      <c r="F1687" s="1" t="s">
        <v>15</v>
      </c>
      <c r="G1687" s="10">
        <v>10532.59</v>
      </c>
      <c r="H1687" s="1" t="s">
        <v>50</v>
      </c>
      <c r="I1687" t="s">
        <v>13</v>
      </c>
      <c r="J1687" t="s">
        <v>22</v>
      </c>
    </row>
    <row r="1688" spans="1:10" x14ac:dyDescent="0.35">
      <c r="A1688">
        <v>1687</v>
      </c>
      <c r="B1688" s="1" t="s">
        <v>23</v>
      </c>
      <c r="C1688">
        <v>2007</v>
      </c>
      <c r="D1688" s="4">
        <v>5.3</v>
      </c>
      <c r="E1688" s="5">
        <v>273661</v>
      </c>
      <c r="F1688" s="1" t="s">
        <v>16</v>
      </c>
      <c r="G1688" s="10">
        <v>19836.849999999999</v>
      </c>
      <c r="H1688" s="1" t="s">
        <v>32</v>
      </c>
      <c r="I1688" t="s">
        <v>52</v>
      </c>
      <c r="J1688" t="s">
        <v>14</v>
      </c>
    </row>
    <row r="1689" spans="1:10" x14ac:dyDescent="0.35">
      <c r="A1689">
        <v>1688</v>
      </c>
      <c r="B1689" s="1" t="s">
        <v>25</v>
      </c>
      <c r="C1689">
        <v>2006</v>
      </c>
      <c r="D1689" s="4">
        <v>5.3</v>
      </c>
      <c r="E1689" s="5">
        <v>152755</v>
      </c>
      <c r="F1689" s="1" t="s">
        <v>16</v>
      </c>
      <c r="G1689" s="10">
        <v>15004.69</v>
      </c>
      <c r="H1689" s="1" t="s">
        <v>41</v>
      </c>
      <c r="I1689" t="s">
        <v>52</v>
      </c>
      <c r="J1689" t="s">
        <v>22</v>
      </c>
    </row>
    <row r="1690" spans="1:10" x14ac:dyDescent="0.35">
      <c r="A1690">
        <v>1689</v>
      </c>
      <c r="B1690" s="1" t="s">
        <v>27</v>
      </c>
      <c r="C1690">
        <v>2006</v>
      </c>
      <c r="D1690" s="4">
        <v>1</v>
      </c>
      <c r="E1690" s="5">
        <v>207791</v>
      </c>
      <c r="F1690" s="1" t="s">
        <v>15</v>
      </c>
      <c r="G1690" s="10">
        <v>69924.53</v>
      </c>
      <c r="H1690" s="1" t="s">
        <v>48</v>
      </c>
      <c r="I1690" t="s">
        <v>52</v>
      </c>
      <c r="J1690" t="s">
        <v>22</v>
      </c>
    </row>
    <row r="1691" spans="1:10" x14ac:dyDescent="0.35">
      <c r="A1691">
        <v>1690</v>
      </c>
      <c r="B1691" s="1" t="s">
        <v>23</v>
      </c>
      <c r="C1691">
        <v>2002</v>
      </c>
      <c r="D1691" s="4">
        <v>4.9000000000000004</v>
      </c>
      <c r="E1691" s="5">
        <v>249120</v>
      </c>
      <c r="F1691" s="1" t="s">
        <v>15</v>
      </c>
      <c r="G1691" s="10">
        <v>62570.96</v>
      </c>
      <c r="H1691" s="1" t="s">
        <v>32</v>
      </c>
      <c r="I1691" t="s">
        <v>13</v>
      </c>
      <c r="J1691" t="s">
        <v>22</v>
      </c>
    </row>
    <row r="1692" spans="1:10" x14ac:dyDescent="0.35">
      <c r="A1692">
        <v>1691</v>
      </c>
      <c r="B1692" s="1" t="s">
        <v>20</v>
      </c>
      <c r="C1692">
        <v>2000</v>
      </c>
      <c r="D1692" s="4">
        <v>3.3</v>
      </c>
      <c r="E1692" s="5">
        <v>254322</v>
      </c>
      <c r="F1692" s="1" t="s">
        <v>16</v>
      </c>
      <c r="G1692" s="10">
        <v>39136.839999999997</v>
      </c>
      <c r="H1692" s="1" t="s">
        <v>21</v>
      </c>
      <c r="I1692" t="s">
        <v>51</v>
      </c>
      <c r="J1692" t="s">
        <v>22</v>
      </c>
    </row>
    <row r="1693" spans="1:10" x14ac:dyDescent="0.35">
      <c r="A1693">
        <v>1692</v>
      </c>
      <c r="B1693" s="1" t="s">
        <v>25</v>
      </c>
      <c r="C1693">
        <v>2003</v>
      </c>
      <c r="D1693" s="4">
        <v>5.9</v>
      </c>
      <c r="E1693" s="5">
        <v>209485</v>
      </c>
      <c r="F1693" s="1" t="s">
        <v>15</v>
      </c>
      <c r="G1693" s="10">
        <v>10455.23</v>
      </c>
      <c r="H1693" s="1" t="s">
        <v>49</v>
      </c>
      <c r="I1693" t="s">
        <v>13</v>
      </c>
      <c r="J1693" t="s">
        <v>14</v>
      </c>
    </row>
    <row r="1694" spans="1:10" x14ac:dyDescent="0.35">
      <c r="A1694">
        <v>1693</v>
      </c>
      <c r="B1694" s="1" t="s">
        <v>25</v>
      </c>
      <c r="C1694">
        <v>2004</v>
      </c>
      <c r="D1694" s="4">
        <v>3.4</v>
      </c>
      <c r="E1694" s="5">
        <v>272126</v>
      </c>
      <c r="F1694" s="1" t="s">
        <v>15</v>
      </c>
      <c r="G1694" s="10">
        <v>65767.89</v>
      </c>
      <c r="H1694" s="1" t="s">
        <v>49</v>
      </c>
      <c r="I1694" t="s">
        <v>51</v>
      </c>
      <c r="J1694" t="s">
        <v>22</v>
      </c>
    </row>
    <row r="1695" spans="1:10" x14ac:dyDescent="0.35">
      <c r="A1695">
        <v>1694</v>
      </c>
      <c r="B1695" s="1" t="s">
        <v>23</v>
      </c>
      <c r="C1695">
        <v>2000</v>
      </c>
      <c r="D1695" s="4">
        <v>5.9</v>
      </c>
      <c r="E1695" s="5">
        <v>145711</v>
      </c>
      <c r="F1695" s="1" t="s">
        <v>15</v>
      </c>
      <c r="G1695" s="10">
        <v>59161.45</v>
      </c>
      <c r="H1695" s="1" t="s">
        <v>42</v>
      </c>
      <c r="I1695" t="s">
        <v>13</v>
      </c>
      <c r="J1695" t="s">
        <v>14</v>
      </c>
    </row>
    <row r="1696" spans="1:10" x14ac:dyDescent="0.35">
      <c r="A1696">
        <v>1695</v>
      </c>
      <c r="B1696" s="1" t="s">
        <v>23</v>
      </c>
      <c r="C1696">
        <v>2014</v>
      </c>
      <c r="D1696" s="4">
        <v>4.8</v>
      </c>
      <c r="E1696" s="5">
        <v>70210</v>
      </c>
      <c r="F1696" s="1" t="s">
        <v>15</v>
      </c>
      <c r="G1696" s="10">
        <v>15725.81</v>
      </c>
      <c r="H1696" s="1" t="s">
        <v>34</v>
      </c>
      <c r="I1696" t="s">
        <v>53</v>
      </c>
      <c r="J1696" t="s">
        <v>22</v>
      </c>
    </row>
    <row r="1697" spans="1:10" x14ac:dyDescent="0.35">
      <c r="A1697">
        <v>1696</v>
      </c>
      <c r="B1697" s="1" t="s">
        <v>27</v>
      </c>
      <c r="C1697">
        <v>2004</v>
      </c>
      <c r="D1697" s="4">
        <v>2.2000000000000002</v>
      </c>
      <c r="E1697" s="5">
        <v>69852</v>
      </c>
      <c r="F1697" s="1" t="s">
        <v>16</v>
      </c>
      <c r="G1697" s="10">
        <v>91346.42</v>
      </c>
      <c r="H1697" s="1" t="s">
        <v>40</v>
      </c>
      <c r="I1697" t="s">
        <v>52</v>
      </c>
      <c r="J1697" t="s">
        <v>22</v>
      </c>
    </row>
    <row r="1698" spans="1:10" x14ac:dyDescent="0.35">
      <c r="A1698">
        <v>1697</v>
      </c>
      <c r="B1698" s="1" t="s">
        <v>35</v>
      </c>
      <c r="C1698">
        <v>2012</v>
      </c>
      <c r="D1698" s="4">
        <v>3.7</v>
      </c>
      <c r="E1698" s="5">
        <v>255139</v>
      </c>
      <c r="F1698" s="1" t="s">
        <v>11</v>
      </c>
      <c r="G1698" s="10">
        <v>23900.22</v>
      </c>
      <c r="H1698" s="1" t="s">
        <v>45</v>
      </c>
      <c r="I1698" t="s">
        <v>52</v>
      </c>
      <c r="J1698" t="s">
        <v>14</v>
      </c>
    </row>
    <row r="1699" spans="1:10" x14ac:dyDescent="0.35">
      <c r="A1699">
        <v>1698</v>
      </c>
      <c r="B1699" s="1" t="s">
        <v>23</v>
      </c>
      <c r="C1699">
        <v>2007</v>
      </c>
      <c r="D1699" s="4">
        <v>6</v>
      </c>
      <c r="E1699" s="5">
        <v>9695</v>
      </c>
      <c r="F1699" s="1" t="s">
        <v>16</v>
      </c>
      <c r="G1699" s="10">
        <v>75633.37</v>
      </c>
      <c r="H1699" s="1" t="s">
        <v>32</v>
      </c>
      <c r="I1699" t="s">
        <v>52</v>
      </c>
      <c r="J1699" t="s">
        <v>22</v>
      </c>
    </row>
    <row r="1700" spans="1:10" x14ac:dyDescent="0.35">
      <c r="A1700">
        <v>1699</v>
      </c>
      <c r="B1700" s="1" t="s">
        <v>10</v>
      </c>
      <c r="C1700">
        <v>2007</v>
      </c>
      <c r="D1700" s="4">
        <v>5.3</v>
      </c>
      <c r="E1700" s="5">
        <v>48582</v>
      </c>
      <c r="F1700" s="1" t="s">
        <v>11</v>
      </c>
      <c r="G1700" s="10">
        <v>89082.21</v>
      </c>
      <c r="H1700" s="1" t="s">
        <v>12</v>
      </c>
      <c r="I1700" t="s">
        <v>13</v>
      </c>
      <c r="J1700" t="s">
        <v>14</v>
      </c>
    </row>
    <row r="1701" spans="1:10" x14ac:dyDescent="0.35">
      <c r="A1701">
        <v>1700</v>
      </c>
      <c r="B1701" s="1" t="s">
        <v>23</v>
      </c>
      <c r="C1701">
        <v>2004</v>
      </c>
      <c r="D1701" s="4">
        <v>1.5</v>
      </c>
      <c r="E1701" s="5">
        <v>293238</v>
      </c>
      <c r="F1701" s="1" t="s">
        <v>11</v>
      </c>
      <c r="G1701" s="10">
        <v>60050.12</v>
      </c>
      <c r="H1701" s="1" t="s">
        <v>32</v>
      </c>
      <c r="I1701" t="s">
        <v>13</v>
      </c>
      <c r="J1701" t="s">
        <v>14</v>
      </c>
    </row>
    <row r="1702" spans="1:10" x14ac:dyDescent="0.35">
      <c r="A1702">
        <v>1701</v>
      </c>
      <c r="B1702" s="1" t="s">
        <v>29</v>
      </c>
      <c r="C1702">
        <v>2008</v>
      </c>
      <c r="D1702" s="4">
        <v>4.5</v>
      </c>
      <c r="E1702" s="5">
        <v>191707</v>
      </c>
      <c r="F1702" s="1" t="s">
        <v>11</v>
      </c>
      <c r="G1702" s="10">
        <v>28450.65</v>
      </c>
      <c r="H1702" s="1" t="s">
        <v>30</v>
      </c>
      <c r="I1702" t="s">
        <v>53</v>
      </c>
      <c r="J1702" t="s">
        <v>14</v>
      </c>
    </row>
    <row r="1703" spans="1:10" x14ac:dyDescent="0.35">
      <c r="A1703">
        <v>1702</v>
      </c>
      <c r="B1703" s="1" t="s">
        <v>20</v>
      </c>
      <c r="C1703">
        <v>2000</v>
      </c>
      <c r="D1703" s="4">
        <v>2.7</v>
      </c>
      <c r="E1703" s="5">
        <v>284331</v>
      </c>
      <c r="F1703" s="1" t="s">
        <v>16</v>
      </c>
      <c r="G1703" s="10">
        <v>34378.61</v>
      </c>
      <c r="H1703" s="1" t="s">
        <v>21</v>
      </c>
      <c r="I1703" t="s">
        <v>13</v>
      </c>
      <c r="J1703" t="s">
        <v>22</v>
      </c>
    </row>
    <row r="1704" spans="1:10" x14ac:dyDescent="0.35">
      <c r="A1704">
        <v>1703</v>
      </c>
      <c r="B1704" s="1" t="s">
        <v>10</v>
      </c>
      <c r="C1704">
        <v>2003</v>
      </c>
      <c r="D1704" s="4">
        <v>1</v>
      </c>
      <c r="E1704" s="5">
        <v>128721</v>
      </c>
      <c r="F1704" s="1" t="s">
        <v>16</v>
      </c>
      <c r="G1704" s="10">
        <v>89146.02</v>
      </c>
      <c r="H1704" s="1" t="s">
        <v>19</v>
      </c>
      <c r="I1704" t="s">
        <v>13</v>
      </c>
      <c r="J1704" t="s">
        <v>14</v>
      </c>
    </row>
    <row r="1705" spans="1:10" x14ac:dyDescent="0.35">
      <c r="A1705">
        <v>1704</v>
      </c>
      <c r="B1705" s="1" t="s">
        <v>10</v>
      </c>
      <c r="C1705">
        <v>2002</v>
      </c>
      <c r="D1705" s="4">
        <v>3</v>
      </c>
      <c r="E1705" s="5">
        <v>106683</v>
      </c>
      <c r="F1705" s="1" t="s">
        <v>16</v>
      </c>
      <c r="G1705" s="10">
        <v>33334.43</v>
      </c>
      <c r="H1705" s="1" t="s">
        <v>12</v>
      </c>
      <c r="I1705" t="s">
        <v>13</v>
      </c>
      <c r="J1705" t="s">
        <v>14</v>
      </c>
    </row>
    <row r="1706" spans="1:10" x14ac:dyDescent="0.35">
      <c r="A1706">
        <v>1705</v>
      </c>
      <c r="B1706" s="1" t="s">
        <v>29</v>
      </c>
      <c r="C1706">
        <v>2001</v>
      </c>
      <c r="D1706" s="4">
        <v>2.2000000000000002</v>
      </c>
      <c r="E1706" s="5">
        <v>263358</v>
      </c>
      <c r="F1706" s="1" t="s">
        <v>16</v>
      </c>
      <c r="G1706" s="10">
        <v>75888.100000000006</v>
      </c>
      <c r="H1706" s="1" t="s">
        <v>43</v>
      </c>
      <c r="I1706" t="s">
        <v>53</v>
      </c>
      <c r="J1706" t="s">
        <v>22</v>
      </c>
    </row>
    <row r="1707" spans="1:10" x14ac:dyDescent="0.35">
      <c r="A1707">
        <v>1706</v>
      </c>
      <c r="B1707" s="1" t="s">
        <v>29</v>
      </c>
      <c r="C1707">
        <v>2007</v>
      </c>
      <c r="D1707" s="4">
        <v>5.0999999999999996</v>
      </c>
      <c r="E1707" s="5">
        <v>286084</v>
      </c>
      <c r="F1707" s="1" t="s">
        <v>16</v>
      </c>
      <c r="G1707" s="10">
        <v>99065.7</v>
      </c>
      <c r="H1707" s="1" t="s">
        <v>38</v>
      </c>
      <c r="I1707" t="s">
        <v>52</v>
      </c>
      <c r="J1707" t="s">
        <v>14</v>
      </c>
    </row>
    <row r="1708" spans="1:10" x14ac:dyDescent="0.35">
      <c r="A1708">
        <v>1707</v>
      </c>
      <c r="B1708" s="1" t="s">
        <v>25</v>
      </c>
      <c r="C1708">
        <v>2022</v>
      </c>
      <c r="D1708" s="4">
        <v>2.7</v>
      </c>
      <c r="E1708" s="5">
        <v>44406</v>
      </c>
      <c r="F1708" s="1" t="s">
        <v>11</v>
      </c>
      <c r="G1708" s="10">
        <v>99982.59</v>
      </c>
      <c r="H1708" s="1" t="s">
        <v>49</v>
      </c>
      <c r="I1708" t="s">
        <v>13</v>
      </c>
      <c r="J1708" t="s">
        <v>22</v>
      </c>
    </row>
    <row r="1709" spans="1:10" x14ac:dyDescent="0.35">
      <c r="A1709">
        <v>1708</v>
      </c>
      <c r="B1709" s="1" t="s">
        <v>35</v>
      </c>
      <c r="C1709">
        <v>2008</v>
      </c>
      <c r="D1709" s="4">
        <v>5.0999999999999996</v>
      </c>
      <c r="E1709" s="5">
        <v>147049</v>
      </c>
      <c r="F1709" s="1" t="s">
        <v>16</v>
      </c>
      <c r="G1709" s="10">
        <v>55680.58</v>
      </c>
      <c r="H1709" s="1" t="s">
        <v>45</v>
      </c>
      <c r="I1709" t="s">
        <v>52</v>
      </c>
      <c r="J1709" t="s">
        <v>22</v>
      </c>
    </row>
    <row r="1710" spans="1:10" x14ac:dyDescent="0.35">
      <c r="A1710">
        <v>1709</v>
      </c>
      <c r="B1710" s="1" t="s">
        <v>20</v>
      </c>
      <c r="C1710">
        <v>2001</v>
      </c>
      <c r="D1710" s="4">
        <v>1</v>
      </c>
      <c r="E1710" s="5">
        <v>235994</v>
      </c>
      <c r="F1710" s="1" t="s">
        <v>11</v>
      </c>
      <c r="G1710" s="10">
        <v>83522.8</v>
      </c>
      <c r="H1710" s="1" t="s">
        <v>46</v>
      </c>
      <c r="I1710" t="s">
        <v>13</v>
      </c>
      <c r="J1710" t="s">
        <v>14</v>
      </c>
    </row>
    <row r="1711" spans="1:10" x14ac:dyDescent="0.35">
      <c r="A1711">
        <v>1710</v>
      </c>
      <c r="B1711" s="1" t="s">
        <v>27</v>
      </c>
      <c r="C1711">
        <v>2013</v>
      </c>
      <c r="D1711" s="4">
        <v>2.5</v>
      </c>
      <c r="E1711" s="5">
        <v>187313</v>
      </c>
      <c r="F1711" s="1" t="s">
        <v>16</v>
      </c>
      <c r="G1711" s="10">
        <v>99073.74</v>
      </c>
      <c r="H1711" s="1" t="s">
        <v>28</v>
      </c>
      <c r="I1711" t="s">
        <v>53</v>
      </c>
      <c r="J1711" t="s">
        <v>14</v>
      </c>
    </row>
    <row r="1712" spans="1:10" x14ac:dyDescent="0.35">
      <c r="A1712">
        <v>1711</v>
      </c>
      <c r="B1712" s="1" t="s">
        <v>10</v>
      </c>
      <c r="C1712">
        <v>2013</v>
      </c>
      <c r="D1712" s="4">
        <v>2.2000000000000002</v>
      </c>
      <c r="E1712" s="5">
        <v>204573</v>
      </c>
      <c r="F1712" s="1" t="s">
        <v>16</v>
      </c>
      <c r="G1712" s="10">
        <v>40593.919999999998</v>
      </c>
      <c r="H1712" s="1" t="s">
        <v>18</v>
      </c>
      <c r="I1712" t="s">
        <v>13</v>
      </c>
      <c r="J1712" t="s">
        <v>14</v>
      </c>
    </row>
    <row r="1713" spans="1:10" x14ac:dyDescent="0.35">
      <c r="A1713">
        <v>1712</v>
      </c>
      <c r="B1713" s="1" t="s">
        <v>27</v>
      </c>
      <c r="C1713">
        <v>2003</v>
      </c>
      <c r="D1713" s="4">
        <v>2.2000000000000002</v>
      </c>
      <c r="E1713" s="5">
        <v>206205</v>
      </c>
      <c r="F1713" s="1" t="s">
        <v>15</v>
      </c>
      <c r="G1713" s="10">
        <v>28978.91</v>
      </c>
      <c r="H1713" s="1" t="s">
        <v>40</v>
      </c>
      <c r="I1713" t="s">
        <v>52</v>
      </c>
      <c r="J1713" t="s">
        <v>14</v>
      </c>
    </row>
    <row r="1714" spans="1:10" x14ac:dyDescent="0.35">
      <c r="A1714">
        <v>1713</v>
      </c>
      <c r="B1714" s="1" t="s">
        <v>23</v>
      </c>
      <c r="C1714">
        <v>2005</v>
      </c>
      <c r="D1714" s="4">
        <v>1.3</v>
      </c>
      <c r="E1714" s="5">
        <v>60481</v>
      </c>
      <c r="F1714" s="1" t="s">
        <v>11</v>
      </c>
      <c r="G1714" s="10">
        <v>15852.17</v>
      </c>
      <c r="H1714" s="1" t="s">
        <v>24</v>
      </c>
      <c r="I1714" t="s">
        <v>53</v>
      </c>
      <c r="J1714" t="s">
        <v>14</v>
      </c>
    </row>
    <row r="1715" spans="1:10" x14ac:dyDescent="0.35">
      <c r="A1715">
        <v>1714</v>
      </c>
      <c r="B1715" s="1" t="s">
        <v>23</v>
      </c>
      <c r="C1715">
        <v>2010</v>
      </c>
      <c r="D1715" s="4">
        <v>1.9</v>
      </c>
      <c r="E1715" s="5">
        <v>238084</v>
      </c>
      <c r="F1715" s="1" t="s">
        <v>16</v>
      </c>
      <c r="G1715" s="10">
        <v>18385.47</v>
      </c>
      <c r="H1715" s="1" t="s">
        <v>32</v>
      </c>
      <c r="I1715" t="s">
        <v>51</v>
      </c>
      <c r="J1715" t="s">
        <v>14</v>
      </c>
    </row>
    <row r="1716" spans="1:10" x14ac:dyDescent="0.35">
      <c r="A1716">
        <v>1715</v>
      </c>
      <c r="B1716" s="1" t="s">
        <v>27</v>
      </c>
      <c r="C1716">
        <v>2002</v>
      </c>
      <c r="D1716" s="4">
        <v>3.8</v>
      </c>
      <c r="E1716" s="5">
        <v>289884</v>
      </c>
      <c r="F1716" s="1" t="s">
        <v>16</v>
      </c>
      <c r="G1716" s="10">
        <v>86087.85</v>
      </c>
      <c r="H1716" s="1" t="s">
        <v>48</v>
      </c>
      <c r="I1716" t="s">
        <v>53</v>
      </c>
      <c r="J1716" t="s">
        <v>14</v>
      </c>
    </row>
    <row r="1717" spans="1:10" x14ac:dyDescent="0.35">
      <c r="A1717">
        <v>1716</v>
      </c>
      <c r="B1717" s="1" t="s">
        <v>23</v>
      </c>
      <c r="C1717">
        <v>2007</v>
      </c>
      <c r="D1717" s="4">
        <v>2.5</v>
      </c>
      <c r="E1717" s="5">
        <v>274025</v>
      </c>
      <c r="F1717" s="1" t="s">
        <v>16</v>
      </c>
      <c r="G1717" s="10">
        <v>60928.69</v>
      </c>
      <c r="H1717" s="1" t="s">
        <v>24</v>
      </c>
      <c r="I1717" t="s">
        <v>51</v>
      </c>
      <c r="J1717" t="s">
        <v>14</v>
      </c>
    </row>
    <row r="1718" spans="1:10" x14ac:dyDescent="0.35">
      <c r="A1718">
        <v>1717</v>
      </c>
      <c r="B1718" s="1" t="s">
        <v>35</v>
      </c>
      <c r="C1718">
        <v>2002</v>
      </c>
      <c r="D1718" s="4">
        <v>3.1</v>
      </c>
      <c r="E1718" s="5">
        <v>299140</v>
      </c>
      <c r="F1718" s="1" t="s">
        <v>15</v>
      </c>
      <c r="G1718" s="10">
        <v>88002.37</v>
      </c>
      <c r="H1718" s="1" t="s">
        <v>47</v>
      </c>
      <c r="I1718" t="s">
        <v>53</v>
      </c>
      <c r="J1718" t="s">
        <v>22</v>
      </c>
    </row>
    <row r="1719" spans="1:10" x14ac:dyDescent="0.35">
      <c r="A1719">
        <v>1718</v>
      </c>
      <c r="B1719" s="1" t="s">
        <v>29</v>
      </c>
      <c r="C1719">
        <v>2013</v>
      </c>
      <c r="D1719" s="4">
        <v>2.9</v>
      </c>
      <c r="E1719" s="5">
        <v>163249</v>
      </c>
      <c r="F1719" s="1" t="s">
        <v>11</v>
      </c>
      <c r="G1719" s="10">
        <v>79998.23</v>
      </c>
      <c r="H1719" s="1" t="s">
        <v>30</v>
      </c>
      <c r="I1719" t="s">
        <v>52</v>
      </c>
      <c r="J1719" t="s">
        <v>22</v>
      </c>
    </row>
    <row r="1720" spans="1:10" x14ac:dyDescent="0.35">
      <c r="A1720">
        <v>1719</v>
      </c>
      <c r="B1720" s="1" t="s">
        <v>23</v>
      </c>
      <c r="C1720">
        <v>2012</v>
      </c>
      <c r="D1720" s="4">
        <v>5.4</v>
      </c>
      <c r="E1720" s="5">
        <v>122196</v>
      </c>
      <c r="F1720" s="1" t="s">
        <v>16</v>
      </c>
      <c r="G1720" s="10">
        <v>69005.740000000005</v>
      </c>
      <c r="H1720" s="1" t="s">
        <v>34</v>
      </c>
      <c r="I1720" t="s">
        <v>52</v>
      </c>
      <c r="J1720" t="s">
        <v>22</v>
      </c>
    </row>
    <row r="1721" spans="1:10" x14ac:dyDescent="0.35">
      <c r="A1721">
        <v>1720</v>
      </c>
      <c r="B1721" s="1" t="s">
        <v>25</v>
      </c>
      <c r="C1721">
        <v>2012</v>
      </c>
      <c r="D1721" s="4">
        <v>5.5</v>
      </c>
      <c r="E1721" s="5">
        <v>37177</v>
      </c>
      <c r="F1721" s="1" t="s">
        <v>16</v>
      </c>
      <c r="G1721" s="10">
        <v>62884.66</v>
      </c>
      <c r="H1721" s="1" t="s">
        <v>41</v>
      </c>
      <c r="I1721" t="s">
        <v>51</v>
      </c>
      <c r="J1721" t="s">
        <v>22</v>
      </c>
    </row>
    <row r="1722" spans="1:10" x14ac:dyDescent="0.35">
      <c r="A1722">
        <v>1721</v>
      </c>
      <c r="B1722" s="1" t="s">
        <v>23</v>
      </c>
      <c r="C1722">
        <v>2001</v>
      </c>
      <c r="D1722" s="4">
        <v>3.5</v>
      </c>
      <c r="E1722" s="5">
        <v>66126</v>
      </c>
      <c r="F1722" s="1" t="s">
        <v>16</v>
      </c>
      <c r="G1722" s="10">
        <v>9592.2000000000007</v>
      </c>
      <c r="H1722" s="1" t="s">
        <v>32</v>
      </c>
      <c r="I1722" t="s">
        <v>52</v>
      </c>
      <c r="J1722" t="s">
        <v>22</v>
      </c>
    </row>
    <row r="1723" spans="1:10" x14ac:dyDescent="0.35">
      <c r="A1723">
        <v>1722</v>
      </c>
      <c r="B1723" s="1" t="s">
        <v>20</v>
      </c>
      <c r="C1723">
        <v>2012</v>
      </c>
      <c r="D1723" s="4">
        <v>2.7</v>
      </c>
      <c r="E1723" s="5">
        <v>26119</v>
      </c>
      <c r="F1723" s="1" t="s">
        <v>15</v>
      </c>
      <c r="G1723" s="10">
        <v>87866.14</v>
      </c>
      <c r="H1723" s="1" t="s">
        <v>46</v>
      </c>
      <c r="I1723" t="s">
        <v>53</v>
      </c>
      <c r="J1723" t="s">
        <v>22</v>
      </c>
    </row>
    <row r="1724" spans="1:10" x14ac:dyDescent="0.35">
      <c r="A1724">
        <v>1723</v>
      </c>
      <c r="B1724" s="1" t="s">
        <v>35</v>
      </c>
      <c r="C1724">
        <v>2018</v>
      </c>
      <c r="D1724" s="4">
        <v>1.5</v>
      </c>
      <c r="E1724" s="5">
        <v>117744</v>
      </c>
      <c r="F1724" s="1" t="s">
        <v>16</v>
      </c>
      <c r="G1724" s="10">
        <v>44695</v>
      </c>
      <c r="H1724" s="1" t="s">
        <v>45</v>
      </c>
      <c r="I1724" t="s">
        <v>53</v>
      </c>
      <c r="J1724" t="s">
        <v>22</v>
      </c>
    </row>
    <row r="1725" spans="1:10" x14ac:dyDescent="0.35">
      <c r="A1725">
        <v>1724</v>
      </c>
      <c r="B1725" s="1" t="s">
        <v>20</v>
      </c>
      <c r="C1725">
        <v>2005</v>
      </c>
      <c r="D1725" s="4">
        <v>5.8</v>
      </c>
      <c r="E1725" s="5">
        <v>116894</v>
      </c>
      <c r="F1725" s="1" t="s">
        <v>11</v>
      </c>
      <c r="G1725" s="10">
        <v>58179.75</v>
      </c>
      <c r="H1725" s="1" t="s">
        <v>33</v>
      </c>
      <c r="I1725" t="s">
        <v>52</v>
      </c>
      <c r="J1725" t="s">
        <v>14</v>
      </c>
    </row>
    <row r="1726" spans="1:10" x14ac:dyDescent="0.35">
      <c r="A1726">
        <v>1725</v>
      </c>
      <c r="B1726" s="1" t="s">
        <v>20</v>
      </c>
      <c r="C1726">
        <v>2015</v>
      </c>
      <c r="D1726" s="4">
        <v>1.3</v>
      </c>
      <c r="E1726" s="5">
        <v>158987</v>
      </c>
      <c r="F1726" s="1" t="s">
        <v>11</v>
      </c>
      <c r="G1726" s="10">
        <v>7085.58</v>
      </c>
      <c r="H1726" s="1" t="s">
        <v>39</v>
      </c>
      <c r="I1726" t="s">
        <v>53</v>
      </c>
      <c r="J1726" t="s">
        <v>22</v>
      </c>
    </row>
    <row r="1727" spans="1:10" x14ac:dyDescent="0.35">
      <c r="A1727">
        <v>1726</v>
      </c>
      <c r="B1727" s="1" t="s">
        <v>25</v>
      </c>
      <c r="C1727">
        <v>2001</v>
      </c>
      <c r="D1727" s="4">
        <v>2.5</v>
      </c>
      <c r="E1727" s="5">
        <v>44989</v>
      </c>
      <c r="F1727" s="1" t="s">
        <v>11</v>
      </c>
      <c r="G1727" s="10">
        <v>93926.98</v>
      </c>
      <c r="H1727" s="1" t="s">
        <v>41</v>
      </c>
      <c r="I1727" t="s">
        <v>13</v>
      </c>
      <c r="J1727" t="s">
        <v>22</v>
      </c>
    </row>
    <row r="1728" spans="1:10" x14ac:dyDescent="0.35">
      <c r="A1728">
        <v>1727</v>
      </c>
      <c r="B1728" s="1" t="s">
        <v>35</v>
      </c>
      <c r="C1728">
        <v>2007</v>
      </c>
      <c r="D1728" s="4">
        <v>2.5</v>
      </c>
      <c r="E1728" s="5">
        <v>284250</v>
      </c>
      <c r="F1728" s="1" t="s">
        <v>11</v>
      </c>
      <c r="G1728" s="10">
        <v>90760.34</v>
      </c>
      <c r="H1728" s="1" t="s">
        <v>50</v>
      </c>
      <c r="I1728" t="s">
        <v>13</v>
      </c>
      <c r="J1728" t="s">
        <v>22</v>
      </c>
    </row>
    <row r="1729" spans="1:10" x14ac:dyDescent="0.35">
      <c r="A1729">
        <v>1728</v>
      </c>
      <c r="B1729" s="1" t="s">
        <v>35</v>
      </c>
      <c r="C1729">
        <v>2016</v>
      </c>
      <c r="D1729" s="4">
        <v>2.6</v>
      </c>
      <c r="E1729" s="5">
        <v>279275</v>
      </c>
      <c r="F1729" s="1" t="s">
        <v>16</v>
      </c>
      <c r="G1729" s="10">
        <v>56611.41</v>
      </c>
      <c r="H1729" s="1" t="s">
        <v>36</v>
      </c>
      <c r="I1729" t="s">
        <v>53</v>
      </c>
      <c r="J1729" t="s">
        <v>14</v>
      </c>
    </row>
    <row r="1730" spans="1:10" x14ac:dyDescent="0.35">
      <c r="A1730">
        <v>1729</v>
      </c>
      <c r="B1730" s="1" t="s">
        <v>35</v>
      </c>
      <c r="C1730">
        <v>2022</v>
      </c>
      <c r="D1730" s="4">
        <v>1.8</v>
      </c>
      <c r="E1730" s="5">
        <v>6553</v>
      </c>
      <c r="F1730" s="1" t="s">
        <v>15</v>
      </c>
      <c r="G1730" s="10">
        <v>59844.61</v>
      </c>
      <c r="H1730" s="1" t="s">
        <v>45</v>
      </c>
      <c r="I1730" t="s">
        <v>52</v>
      </c>
      <c r="J1730" t="s">
        <v>22</v>
      </c>
    </row>
    <row r="1731" spans="1:10" x14ac:dyDescent="0.35">
      <c r="A1731">
        <v>1730</v>
      </c>
      <c r="B1731" s="1" t="s">
        <v>35</v>
      </c>
      <c r="C1731">
        <v>2001</v>
      </c>
      <c r="D1731" s="4">
        <v>4.9000000000000004</v>
      </c>
      <c r="E1731" s="5">
        <v>17881</v>
      </c>
      <c r="F1731" s="1" t="s">
        <v>15</v>
      </c>
      <c r="G1731" s="10">
        <v>71976.639999999999</v>
      </c>
      <c r="H1731" s="1" t="s">
        <v>36</v>
      </c>
      <c r="I1731" t="s">
        <v>51</v>
      </c>
      <c r="J1731" t="s">
        <v>22</v>
      </c>
    </row>
    <row r="1732" spans="1:10" x14ac:dyDescent="0.35">
      <c r="A1732">
        <v>1731</v>
      </c>
      <c r="B1732" s="1" t="s">
        <v>35</v>
      </c>
      <c r="C1732">
        <v>2009</v>
      </c>
      <c r="D1732" s="4">
        <v>1.6</v>
      </c>
      <c r="E1732" s="5">
        <v>1379</v>
      </c>
      <c r="F1732" s="1" t="s">
        <v>15</v>
      </c>
      <c r="G1732" s="10">
        <v>30146.02</v>
      </c>
      <c r="H1732" s="1" t="s">
        <v>36</v>
      </c>
      <c r="I1732" t="s">
        <v>52</v>
      </c>
      <c r="J1732" t="s">
        <v>14</v>
      </c>
    </row>
    <row r="1733" spans="1:10" x14ac:dyDescent="0.35">
      <c r="A1733">
        <v>1732</v>
      </c>
      <c r="B1733" s="1" t="s">
        <v>25</v>
      </c>
      <c r="C1733">
        <v>2015</v>
      </c>
      <c r="D1733" s="4">
        <v>4.2</v>
      </c>
      <c r="E1733" s="5">
        <v>69306</v>
      </c>
      <c r="F1733" s="1" t="s">
        <v>16</v>
      </c>
      <c r="G1733" s="10">
        <v>26081.98</v>
      </c>
      <c r="H1733" s="1" t="s">
        <v>41</v>
      </c>
      <c r="I1733" t="s">
        <v>51</v>
      </c>
      <c r="J1733" t="s">
        <v>22</v>
      </c>
    </row>
    <row r="1734" spans="1:10" x14ac:dyDescent="0.35">
      <c r="A1734">
        <v>1733</v>
      </c>
      <c r="B1734" s="1" t="s">
        <v>23</v>
      </c>
      <c r="C1734">
        <v>2005</v>
      </c>
      <c r="D1734" s="4">
        <v>1.6</v>
      </c>
      <c r="E1734" s="5">
        <v>243825</v>
      </c>
      <c r="F1734" s="1" t="s">
        <v>15</v>
      </c>
      <c r="G1734" s="10">
        <v>69032.179999999993</v>
      </c>
      <c r="H1734" s="1" t="s">
        <v>34</v>
      </c>
      <c r="I1734" t="s">
        <v>52</v>
      </c>
      <c r="J1734" t="s">
        <v>22</v>
      </c>
    </row>
    <row r="1735" spans="1:10" x14ac:dyDescent="0.35">
      <c r="A1735">
        <v>1734</v>
      </c>
      <c r="B1735" s="1" t="s">
        <v>20</v>
      </c>
      <c r="C1735">
        <v>2001</v>
      </c>
      <c r="D1735" s="4">
        <v>1.4</v>
      </c>
      <c r="E1735" s="5">
        <v>104512</v>
      </c>
      <c r="F1735" s="1" t="s">
        <v>11</v>
      </c>
      <c r="G1735" s="10">
        <v>14920.13</v>
      </c>
      <c r="H1735" s="1" t="s">
        <v>21</v>
      </c>
      <c r="I1735" t="s">
        <v>53</v>
      </c>
      <c r="J1735" t="s">
        <v>14</v>
      </c>
    </row>
    <row r="1736" spans="1:10" x14ac:dyDescent="0.35">
      <c r="A1736">
        <v>1735</v>
      </c>
      <c r="B1736" s="1" t="s">
        <v>35</v>
      </c>
      <c r="C1736">
        <v>2001</v>
      </c>
      <c r="D1736" s="4">
        <v>5.5</v>
      </c>
      <c r="E1736" s="5">
        <v>278494</v>
      </c>
      <c r="F1736" s="1" t="s">
        <v>16</v>
      </c>
      <c r="G1736" s="10">
        <v>48135.89</v>
      </c>
      <c r="H1736" s="1" t="s">
        <v>50</v>
      </c>
      <c r="I1736" t="s">
        <v>13</v>
      </c>
      <c r="J1736" t="s">
        <v>22</v>
      </c>
    </row>
    <row r="1737" spans="1:10" x14ac:dyDescent="0.35">
      <c r="A1737">
        <v>1736</v>
      </c>
      <c r="B1737" s="1" t="s">
        <v>10</v>
      </c>
      <c r="C1737">
        <v>2012</v>
      </c>
      <c r="D1737" s="4">
        <v>2</v>
      </c>
      <c r="E1737" s="5">
        <v>99599</v>
      </c>
      <c r="F1737" s="1" t="s">
        <v>15</v>
      </c>
      <c r="G1737" s="10">
        <v>51812.24</v>
      </c>
      <c r="H1737" s="1" t="s">
        <v>19</v>
      </c>
      <c r="I1737" t="s">
        <v>13</v>
      </c>
      <c r="J1737" t="s">
        <v>14</v>
      </c>
    </row>
    <row r="1738" spans="1:10" x14ac:dyDescent="0.35">
      <c r="A1738">
        <v>1737</v>
      </c>
      <c r="B1738" s="1" t="s">
        <v>23</v>
      </c>
      <c r="C1738">
        <v>2023</v>
      </c>
      <c r="D1738" s="4">
        <v>5.0999999999999996</v>
      </c>
      <c r="E1738" s="5">
        <v>81397</v>
      </c>
      <c r="F1738" s="1" t="s">
        <v>11</v>
      </c>
      <c r="G1738" s="10">
        <v>41227.01</v>
      </c>
      <c r="H1738" s="1" t="s">
        <v>42</v>
      </c>
      <c r="I1738" t="s">
        <v>51</v>
      </c>
      <c r="J1738" t="s">
        <v>22</v>
      </c>
    </row>
    <row r="1739" spans="1:10" x14ac:dyDescent="0.35">
      <c r="A1739">
        <v>1738</v>
      </c>
      <c r="B1739" s="1" t="s">
        <v>23</v>
      </c>
      <c r="C1739">
        <v>2014</v>
      </c>
      <c r="D1739" s="4">
        <v>3.7</v>
      </c>
      <c r="E1739" s="5">
        <v>17769</v>
      </c>
      <c r="F1739" s="1" t="s">
        <v>11</v>
      </c>
      <c r="G1739" s="10">
        <v>22600.48</v>
      </c>
      <c r="H1739" s="1" t="s">
        <v>24</v>
      </c>
      <c r="I1739" t="s">
        <v>13</v>
      </c>
      <c r="J1739" t="s">
        <v>22</v>
      </c>
    </row>
    <row r="1740" spans="1:10" x14ac:dyDescent="0.35">
      <c r="A1740">
        <v>1739</v>
      </c>
      <c r="B1740" s="1" t="s">
        <v>20</v>
      </c>
      <c r="C1740">
        <v>2001</v>
      </c>
      <c r="D1740" s="4">
        <v>1.4</v>
      </c>
      <c r="E1740" s="5">
        <v>178321</v>
      </c>
      <c r="F1740" s="1" t="s">
        <v>16</v>
      </c>
      <c r="G1740" s="10">
        <v>38755.050000000003</v>
      </c>
      <c r="H1740" s="1" t="s">
        <v>39</v>
      </c>
      <c r="I1740" t="s">
        <v>51</v>
      </c>
      <c r="J1740" t="s">
        <v>22</v>
      </c>
    </row>
    <row r="1741" spans="1:10" x14ac:dyDescent="0.35">
      <c r="A1741">
        <v>1740</v>
      </c>
      <c r="B1741" s="1" t="s">
        <v>25</v>
      </c>
      <c r="C1741">
        <v>2006</v>
      </c>
      <c r="D1741" s="4">
        <v>5.8</v>
      </c>
      <c r="E1741" s="5">
        <v>101584</v>
      </c>
      <c r="F1741" s="1" t="s">
        <v>16</v>
      </c>
      <c r="G1741" s="10">
        <v>37067.94</v>
      </c>
      <c r="H1741" s="1" t="s">
        <v>44</v>
      </c>
      <c r="I1741" t="s">
        <v>53</v>
      </c>
      <c r="J1741" t="s">
        <v>14</v>
      </c>
    </row>
    <row r="1742" spans="1:10" x14ac:dyDescent="0.35">
      <c r="A1742">
        <v>1741</v>
      </c>
      <c r="B1742" s="1" t="s">
        <v>27</v>
      </c>
      <c r="C1742">
        <v>2002</v>
      </c>
      <c r="D1742" s="4">
        <v>2.2000000000000002</v>
      </c>
      <c r="E1742" s="5">
        <v>133858</v>
      </c>
      <c r="F1742" s="1" t="s">
        <v>15</v>
      </c>
      <c r="G1742" s="10">
        <v>52430.239999999998</v>
      </c>
      <c r="H1742" s="1" t="s">
        <v>28</v>
      </c>
      <c r="I1742" t="s">
        <v>13</v>
      </c>
      <c r="J1742" t="s">
        <v>14</v>
      </c>
    </row>
    <row r="1743" spans="1:10" x14ac:dyDescent="0.35">
      <c r="A1743">
        <v>1742</v>
      </c>
      <c r="B1743" s="1" t="s">
        <v>27</v>
      </c>
      <c r="C1743">
        <v>2007</v>
      </c>
      <c r="D1743" s="4">
        <v>5.3</v>
      </c>
      <c r="E1743" s="5">
        <v>231609</v>
      </c>
      <c r="F1743" s="1" t="s">
        <v>15</v>
      </c>
      <c r="G1743" s="10">
        <v>69094.679999999993</v>
      </c>
      <c r="H1743" s="1" t="s">
        <v>37</v>
      </c>
      <c r="I1743" t="s">
        <v>51</v>
      </c>
      <c r="J1743" t="s">
        <v>14</v>
      </c>
    </row>
    <row r="1744" spans="1:10" x14ac:dyDescent="0.35">
      <c r="A1744">
        <v>1743</v>
      </c>
      <c r="B1744" s="1" t="s">
        <v>23</v>
      </c>
      <c r="C1744">
        <v>2022</v>
      </c>
      <c r="D1744" s="4">
        <v>1.8</v>
      </c>
      <c r="E1744" s="5">
        <v>126525</v>
      </c>
      <c r="F1744" s="1" t="s">
        <v>15</v>
      </c>
      <c r="G1744" s="10">
        <v>96982.34</v>
      </c>
      <c r="H1744" s="1" t="s">
        <v>42</v>
      </c>
      <c r="I1744" t="s">
        <v>52</v>
      </c>
      <c r="J1744" t="s">
        <v>22</v>
      </c>
    </row>
    <row r="1745" spans="1:10" x14ac:dyDescent="0.35">
      <c r="A1745">
        <v>1744</v>
      </c>
      <c r="B1745" s="1" t="s">
        <v>29</v>
      </c>
      <c r="C1745">
        <v>2013</v>
      </c>
      <c r="D1745" s="4">
        <v>5.3</v>
      </c>
      <c r="E1745" s="5">
        <v>36303</v>
      </c>
      <c r="F1745" s="1" t="s">
        <v>16</v>
      </c>
      <c r="G1745" s="10">
        <v>18695.509999999998</v>
      </c>
      <c r="H1745" s="1" t="s">
        <v>30</v>
      </c>
      <c r="I1745" t="s">
        <v>53</v>
      </c>
      <c r="J1745" t="s">
        <v>22</v>
      </c>
    </row>
    <row r="1746" spans="1:10" x14ac:dyDescent="0.35">
      <c r="A1746">
        <v>1745</v>
      </c>
      <c r="B1746" s="1" t="s">
        <v>29</v>
      </c>
      <c r="C1746">
        <v>2023</v>
      </c>
      <c r="D1746" s="4">
        <v>1.1000000000000001</v>
      </c>
      <c r="E1746" s="5">
        <v>19589</v>
      </c>
      <c r="F1746" s="1" t="s">
        <v>15</v>
      </c>
      <c r="G1746" s="10">
        <v>87936.63</v>
      </c>
      <c r="H1746" s="1" t="s">
        <v>31</v>
      </c>
      <c r="I1746" t="s">
        <v>53</v>
      </c>
      <c r="J1746" t="s">
        <v>14</v>
      </c>
    </row>
    <row r="1747" spans="1:10" x14ac:dyDescent="0.35">
      <c r="A1747">
        <v>1746</v>
      </c>
      <c r="B1747" s="1" t="s">
        <v>20</v>
      </c>
      <c r="C1747">
        <v>2022</v>
      </c>
      <c r="D1747" s="4">
        <v>3.6</v>
      </c>
      <c r="E1747" s="5">
        <v>265026</v>
      </c>
      <c r="F1747" s="1" t="s">
        <v>15</v>
      </c>
      <c r="G1747" s="10">
        <v>31996.91</v>
      </c>
      <c r="H1747" s="1" t="s">
        <v>39</v>
      </c>
      <c r="I1747" t="s">
        <v>53</v>
      </c>
      <c r="J1747" t="s">
        <v>14</v>
      </c>
    </row>
    <row r="1748" spans="1:10" x14ac:dyDescent="0.35">
      <c r="A1748">
        <v>1747</v>
      </c>
      <c r="B1748" s="1" t="s">
        <v>27</v>
      </c>
      <c r="C1748">
        <v>2021</v>
      </c>
      <c r="D1748" s="4">
        <v>4.8</v>
      </c>
      <c r="E1748" s="5">
        <v>180394</v>
      </c>
      <c r="F1748" s="1" t="s">
        <v>11</v>
      </c>
      <c r="G1748" s="10">
        <v>61180.41</v>
      </c>
      <c r="H1748" s="1" t="s">
        <v>40</v>
      </c>
      <c r="I1748" t="s">
        <v>52</v>
      </c>
      <c r="J1748" t="s">
        <v>22</v>
      </c>
    </row>
    <row r="1749" spans="1:10" x14ac:dyDescent="0.35">
      <c r="A1749">
        <v>1748</v>
      </c>
      <c r="B1749" s="1" t="s">
        <v>23</v>
      </c>
      <c r="C1749">
        <v>2006</v>
      </c>
      <c r="D1749" s="4">
        <v>5.7</v>
      </c>
      <c r="E1749" s="5">
        <v>129236</v>
      </c>
      <c r="F1749" s="1" t="s">
        <v>11</v>
      </c>
      <c r="G1749" s="10">
        <v>56940.01</v>
      </c>
      <c r="H1749" s="1" t="s">
        <v>32</v>
      </c>
      <c r="I1749" t="s">
        <v>52</v>
      </c>
      <c r="J1749" t="s">
        <v>22</v>
      </c>
    </row>
    <row r="1750" spans="1:10" x14ac:dyDescent="0.35">
      <c r="A1750">
        <v>1749</v>
      </c>
      <c r="B1750" s="1" t="s">
        <v>25</v>
      </c>
      <c r="C1750">
        <v>2020</v>
      </c>
      <c r="D1750" s="4">
        <v>5.5</v>
      </c>
      <c r="E1750" s="5">
        <v>271889</v>
      </c>
      <c r="F1750" s="1" t="s">
        <v>11</v>
      </c>
      <c r="G1750" s="10">
        <v>57910.1</v>
      </c>
      <c r="H1750" s="1" t="s">
        <v>49</v>
      </c>
      <c r="I1750" t="s">
        <v>13</v>
      </c>
      <c r="J1750" t="s">
        <v>22</v>
      </c>
    </row>
    <row r="1751" spans="1:10" x14ac:dyDescent="0.35">
      <c r="A1751">
        <v>1750</v>
      </c>
      <c r="B1751" s="1" t="s">
        <v>27</v>
      </c>
      <c r="C1751">
        <v>2006</v>
      </c>
      <c r="D1751" s="4">
        <v>5.0999999999999996</v>
      </c>
      <c r="E1751" s="5">
        <v>15861</v>
      </c>
      <c r="F1751" s="1" t="s">
        <v>15</v>
      </c>
      <c r="G1751" s="10">
        <v>73719.070000000007</v>
      </c>
      <c r="H1751" s="1" t="s">
        <v>37</v>
      </c>
      <c r="I1751" t="s">
        <v>52</v>
      </c>
      <c r="J1751" t="s">
        <v>22</v>
      </c>
    </row>
    <row r="1752" spans="1:10" x14ac:dyDescent="0.35">
      <c r="A1752">
        <v>1751</v>
      </c>
      <c r="B1752" s="1" t="s">
        <v>23</v>
      </c>
      <c r="C1752">
        <v>2000</v>
      </c>
      <c r="D1752" s="4">
        <v>5.4</v>
      </c>
      <c r="E1752" s="5">
        <v>91707</v>
      </c>
      <c r="F1752" s="1" t="s">
        <v>16</v>
      </c>
      <c r="G1752" s="10">
        <v>41260.39</v>
      </c>
      <c r="H1752" s="1" t="s">
        <v>32</v>
      </c>
      <c r="I1752" t="s">
        <v>13</v>
      </c>
      <c r="J1752" t="s">
        <v>14</v>
      </c>
    </row>
    <row r="1753" spans="1:10" x14ac:dyDescent="0.35">
      <c r="A1753">
        <v>1752</v>
      </c>
      <c r="B1753" s="1" t="s">
        <v>23</v>
      </c>
      <c r="C1753">
        <v>2016</v>
      </c>
      <c r="D1753" s="4">
        <v>2</v>
      </c>
      <c r="E1753" s="5">
        <v>255043</v>
      </c>
      <c r="F1753" s="1" t="s">
        <v>11</v>
      </c>
      <c r="G1753" s="10">
        <v>35314.5</v>
      </c>
      <c r="H1753" s="1" t="s">
        <v>32</v>
      </c>
      <c r="I1753" t="s">
        <v>53</v>
      </c>
      <c r="J1753" t="s">
        <v>22</v>
      </c>
    </row>
    <row r="1754" spans="1:10" x14ac:dyDescent="0.35">
      <c r="A1754">
        <v>1753</v>
      </c>
      <c r="B1754" s="1" t="s">
        <v>35</v>
      </c>
      <c r="C1754">
        <v>2008</v>
      </c>
      <c r="D1754" s="4">
        <v>2.4</v>
      </c>
      <c r="E1754" s="5">
        <v>133909</v>
      </c>
      <c r="F1754" s="1" t="s">
        <v>16</v>
      </c>
      <c r="G1754" s="10">
        <v>86019.28</v>
      </c>
      <c r="H1754" s="1" t="s">
        <v>47</v>
      </c>
      <c r="I1754" t="s">
        <v>13</v>
      </c>
      <c r="J1754" t="s">
        <v>22</v>
      </c>
    </row>
    <row r="1755" spans="1:10" x14ac:dyDescent="0.35">
      <c r="A1755">
        <v>1754</v>
      </c>
      <c r="B1755" s="1" t="s">
        <v>25</v>
      </c>
      <c r="C1755">
        <v>2020</v>
      </c>
      <c r="D1755" s="4">
        <v>2.4</v>
      </c>
      <c r="E1755" s="5">
        <v>54380</v>
      </c>
      <c r="F1755" s="1" t="s">
        <v>15</v>
      </c>
      <c r="G1755" s="10">
        <v>25909.03</v>
      </c>
      <c r="H1755" s="1" t="s">
        <v>41</v>
      </c>
      <c r="I1755" t="s">
        <v>51</v>
      </c>
      <c r="J1755" t="s">
        <v>22</v>
      </c>
    </row>
    <row r="1756" spans="1:10" x14ac:dyDescent="0.35">
      <c r="A1756">
        <v>1755</v>
      </c>
      <c r="B1756" s="1" t="s">
        <v>35</v>
      </c>
      <c r="C1756">
        <v>2012</v>
      </c>
      <c r="D1756" s="4">
        <v>2.9</v>
      </c>
      <c r="E1756" s="5">
        <v>105025</v>
      </c>
      <c r="F1756" s="1" t="s">
        <v>15</v>
      </c>
      <c r="G1756" s="10">
        <v>22123.37</v>
      </c>
      <c r="H1756" s="1" t="s">
        <v>45</v>
      </c>
      <c r="I1756" t="s">
        <v>53</v>
      </c>
      <c r="J1756" t="s">
        <v>22</v>
      </c>
    </row>
    <row r="1757" spans="1:10" x14ac:dyDescent="0.35">
      <c r="A1757">
        <v>1756</v>
      </c>
      <c r="B1757" s="1" t="s">
        <v>20</v>
      </c>
      <c r="C1757">
        <v>2020</v>
      </c>
      <c r="D1757" s="4">
        <v>3</v>
      </c>
      <c r="E1757" s="5">
        <v>180903</v>
      </c>
      <c r="F1757" s="1" t="s">
        <v>11</v>
      </c>
      <c r="G1757" s="10">
        <v>6482.71</v>
      </c>
      <c r="H1757" s="1" t="s">
        <v>21</v>
      </c>
      <c r="I1757" t="s">
        <v>53</v>
      </c>
      <c r="J1757" t="s">
        <v>22</v>
      </c>
    </row>
    <row r="1758" spans="1:10" x14ac:dyDescent="0.35">
      <c r="A1758">
        <v>1757</v>
      </c>
      <c r="B1758" s="1" t="s">
        <v>35</v>
      </c>
      <c r="C1758">
        <v>2018</v>
      </c>
      <c r="D1758" s="4">
        <v>3.7</v>
      </c>
      <c r="E1758" s="5">
        <v>220421</v>
      </c>
      <c r="F1758" s="1" t="s">
        <v>16</v>
      </c>
      <c r="G1758" s="10">
        <v>25004.89</v>
      </c>
      <c r="H1758" s="1" t="s">
        <v>45</v>
      </c>
      <c r="I1758" t="s">
        <v>13</v>
      </c>
      <c r="J1758" t="s">
        <v>22</v>
      </c>
    </row>
    <row r="1759" spans="1:10" x14ac:dyDescent="0.35">
      <c r="A1759">
        <v>1758</v>
      </c>
      <c r="B1759" s="1" t="s">
        <v>10</v>
      </c>
      <c r="C1759">
        <v>2020</v>
      </c>
      <c r="D1759" s="4">
        <v>1.8</v>
      </c>
      <c r="E1759" s="5">
        <v>244497</v>
      </c>
      <c r="F1759" s="1" t="s">
        <v>11</v>
      </c>
      <c r="G1759" s="10">
        <v>54260.49</v>
      </c>
      <c r="H1759" s="1" t="s">
        <v>18</v>
      </c>
      <c r="I1759" t="s">
        <v>13</v>
      </c>
      <c r="J1759" t="s">
        <v>14</v>
      </c>
    </row>
    <row r="1760" spans="1:10" x14ac:dyDescent="0.35">
      <c r="A1760">
        <v>1759</v>
      </c>
      <c r="B1760" s="1" t="s">
        <v>35</v>
      </c>
      <c r="C1760">
        <v>2018</v>
      </c>
      <c r="D1760" s="4">
        <v>4.5</v>
      </c>
      <c r="E1760" s="5">
        <v>160592</v>
      </c>
      <c r="F1760" s="1" t="s">
        <v>15</v>
      </c>
      <c r="G1760" s="10">
        <v>56158.34</v>
      </c>
      <c r="H1760" s="1" t="s">
        <v>47</v>
      </c>
      <c r="I1760" t="s">
        <v>52</v>
      </c>
      <c r="J1760" t="s">
        <v>14</v>
      </c>
    </row>
    <row r="1761" spans="1:10" x14ac:dyDescent="0.35">
      <c r="A1761">
        <v>1760</v>
      </c>
      <c r="B1761" s="1" t="s">
        <v>10</v>
      </c>
      <c r="C1761">
        <v>2021</v>
      </c>
      <c r="D1761" s="4">
        <v>1.8</v>
      </c>
      <c r="E1761" s="5">
        <v>44397</v>
      </c>
      <c r="F1761" s="1" t="s">
        <v>16</v>
      </c>
      <c r="G1761" s="10">
        <v>29169.95</v>
      </c>
      <c r="H1761" s="1" t="s">
        <v>19</v>
      </c>
      <c r="I1761" t="s">
        <v>13</v>
      </c>
      <c r="J1761" t="s">
        <v>14</v>
      </c>
    </row>
    <row r="1762" spans="1:10" x14ac:dyDescent="0.35">
      <c r="A1762">
        <v>1761</v>
      </c>
      <c r="B1762" s="1" t="s">
        <v>27</v>
      </c>
      <c r="C1762">
        <v>2016</v>
      </c>
      <c r="D1762" s="4">
        <v>2.6</v>
      </c>
      <c r="E1762" s="5">
        <v>277132</v>
      </c>
      <c r="F1762" s="1" t="s">
        <v>11</v>
      </c>
      <c r="G1762" s="10">
        <v>11866.05</v>
      </c>
      <c r="H1762" s="1" t="s">
        <v>28</v>
      </c>
      <c r="I1762" t="s">
        <v>13</v>
      </c>
      <c r="J1762" t="s">
        <v>14</v>
      </c>
    </row>
    <row r="1763" spans="1:10" x14ac:dyDescent="0.35">
      <c r="A1763">
        <v>1762</v>
      </c>
      <c r="B1763" s="1" t="s">
        <v>29</v>
      </c>
      <c r="C1763">
        <v>2022</v>
      </c>
      <c r="D1763" s="4">
        <v>3.5</v>
      </c>
      <c r="E1763" s="5">
        <v>158795</v>
      </c>
      <c r="F1763" s="1" t="s">
        <v>15</v>
      </c>
      <c r="G1763" s="10">
        <v>75740.88</v>
      </c>
      <c r="H1763" s="1" t="s">
        <v>38</v>
      </c>
      <c r="I1763" t="s">
        <v>13</v>
      </c>
      <c r="J1763" t="s">
        <v>22</v>
      </c>
    </row>
    <row r="1764" spans="1:10" x14ac:dyDescent="0.35">
      <c r="A1764">
        <v>1763</v>
      </c>
      <c r="B1764" s="1" t="s">
        <v>23</v>
      </c>
      <c r="C1764">
        <v>2022</v>
      </c>
      <c r="D1764" s="4">
        <v>5</v>
      </c>
      <c r="E1764" s="5">
        <v>33800</v>
      </c>
      <c r="F1764" s="1" t="s">
        <v>11</v>
      </c>
      <c r="G1764" s="10">
        <v>77007.66</v>
      </c>
      <c r="H1764" s="1" t="s">
        <v>42</v>
      </c>
      <c r="I1764" t="s">
        <v>53</v>
      </c>
      <c r="J1764" t="s">
        <v>14</v>
      </c>
    </row>
    <row r="1765" spans="1:10" x14ac:dyDescent="0.35">
      <c r="A1765">
        <v>1764</v>
      </c>
      <c r="B1765" s="1" t="s">
        <v>10</v>
      </c>
      <c r="C1765">
        <v>2009</v>
      </c>
      <c r="D1765" s="4">
        <v>4.7</v>
      </c>
      <c r="E1765" s="5">
        <v>158502</v>
      </c>
      <c r="F1765" s="1" t="s">
        <v>16</v>
      </c>
      <c r="G1765" s="10">
        <v>99794.46</v>
      </c>
      <c r="H1765" s="1" t="s">
        <v>18</v>
      </c>
      <c r="I1765" t="s">
        <v>13</v>
      </c>
      <c r="J1765" t="s">
        <v>14</v>
      </c>
    </row>
    <row r="1766" spans="1:10" x14ac:dyDescent="0.35">
      <c r="A1766">
        <v>1765</v>
      </c>
      <c r="B1766" s="1" t="s">
        <v>25</v>
      </c>
      <c r="C1766">
        <v>2009</v>
      </c>
      <c r="D1766" s="4">
        <v>4.2</v>
      </c>
      <c r="E1766" s="5">
        <v>199548</v>
      </c>
      <c r="F1766" s="1" t="s">
        <v>16</v>
      </c>
      <c r="G1766" s="10">
        <v>90502.81</v>
      </c>
      <c r="H1766" s="1" t="s">
        <v>26</v>
      </c>
      <c r="I1766" t="s">
        <v>53</v>
      </c>
      <c r="J1766" t="s">
        <v>22</v>
      </c>
    </row>
    <row r="1767" spans="1:10" x14ac:dyDescent="0.35">
      <c r="A1767">
        <v>1766</v>
      </c>
      <c r="B1767" s="1" t="s">
        <v>35</v>
      </c>
      <c r="C1767">
        <v>2003</v>
      </c>
      <c r="D1767" s="4">
        <v>1.8</v>
      </c>
      <c r="E1767" s="5">
        <v>257653</v>
      </c>
      <c r="F1767" s="1" t="s">
        <v>16</v>
      </c>
      <c r="G1767" s="10">
        <v>92975.9</v>
      </c>
      <c r="H1767" s="1" t="s">
        <v>47</v>
      </c>
      <c r="I1767" t="s">
        <v>53</v>
      </c>
      <c r="J1767" t="s">
        <v>22</v>
      </c>
    </row>
    <row r="1768" spans="1:10" x14ac:dyDescent="0.35">
      <c r="A1768">
        <v>1767</v>
      </c>
      <c r="B1768" s="1" t="s">
        <v>10</v>
      </c>
      <c r="C1768">
        <v>2007</v>
      </c>
      <c r="D1768" s="4">
        <v>3.7</v>
      </c>
      <c r="E1768" s="5">
        <v>52284</v>
      </c>
      <c r="F1768" s="1" t="s">
        <v>16</v>
      </c>
      <c r="G1768" s="10">
        <v>80829.36</v>
      </c>
      <c r="H1768" s="1" t="s">
        <v>18</v>
      </c>
      <c r="I1768" t="s">
        <v>13</v>
      </c>
      <c r="J1768" t="s">
        <v>14</v>
      </c>
    </row>
    <row r="1769" spans="1:10" x14ac:dyDescent="0.35">
      <c r="A1769">
        <v>1768</v>
      </c>
      <c r="B1769" s="1" t="s">
        <v>25</v>
      </c>
      <c r="C1769">
        <v>2021</v>
      </c>
      <c r="D1769" s="4">
        <v>1.4</v>
      </c>
      <c r="E1769" s="5">
        <v>56232</v>
      </c>
      <c r="F1769" s="1" t="s">
        <v>16</v>
      </c>
      <c r="G1769" s="10">
        <v>63472.77</v>
      </c>
      <c r="H1769" s="1" t="s">
        <v>41</v>
      </c>
      <c r="I1769" t="s">
        <v>53</v>
      </c>
      <c r="J1769" t="s">
        <v>14</v>
      </c>
    </row>
    <row r="1770" spans="1:10" x14ac:dyDescent="0.35">
      <c r="A1770">
        <v>1769</v>
      </c>
      <c r="B1770" s="1" t="s">
        <v>29</v>
      </c>
      <c r="C1770">
        <v>2019</v>
      </c>
      <c r="D1770" s="4">
        <v>2.9</v>
      </c>
      <c r="E1770" s="5">
        <v>44420</v>
      </c>
      <c r="F1770" s="1" t="s">
        <v>11</v>
      </c>
      <c r="G1770" s="10">
        <v>17211.87</v>
      </c>
      <c r="H1770" s="1" t="s">
        <v>30</v>
      </c>
      <c r="I1770" t="s">
        <v>51</v>
      </c>
      <c r="J1770" t="s">
        <v>22</v>
      </c>
    </row>
    <row r="1771" spans="1:10" x14ac:dyDescent="0.35">
      <c r="A1771">
        <v>1770</v>
      </c>
      <c r="B1771" s="1" t="s">
        <v>29</v>
      </c>
      <c r="C1771">
        <v>2019</v>
      </c>
      <c r="D1771" s="4">
        <v>3.1</v>
      </c>
      <c r="E1771" s="5">
        <v>299854</v>
      </c>
      <c r="F1771" s="1" t="s">
        <v>11</v>
      </c>
      <c r="G1771" s="10">
        <v>64119.76</v>
      </c>
      <c r="H1771" s="1" t="s">
        <v>43</v>
      </c>
      <c r="I1771" t="s">
        <v>53</v>
      </c>
      <c r="J1771" t="s">
        <v>22</v>
      </c>
    </row>
    <row r="1772" spans="1:10" x14ac:dyDescent="0.35">
      <c r="A1772">
        <v>1771</v>
      </c>
      <c r="B1772" s="1" t="s">
        <v>35</v>
      </c>
      <c r="C1772">
        <v>2017</v>
      </c>
      <c r="D1772" s="4">
        <v>1.2</v>
      </c>
      <c r="E1772" s="5">
        <v>92035</v>
      </c>
      <c r="F1772" s="1" t="s">
        <v>11</v>
      </c>
      <c r="G1772" s="10">
        <v>10315.81</v>
      </c>
      <c r="H1772" s="1" t="s">
        <v>47</v>
      </c>
      <c r="I1772" t="s">
        <v>53</v>
      </c>
      <c r="J1772" t="s">
        <v>14</v>
      </c>
    </row>
    <row r="1773" spans="1:10" x14ac:dyDescent="0.35">
      <c r="A1773">
        <v>1772</v>
      </c>
      <c r="B1773" s="1" t="s">
        <v>20</v>
      </c>
      <c r="C1773">
        <v>2013</v>
      </c>
      <c r="D1773" s="4">
        <v>2.4</v>
      </c>
      <c r="E1773" s="5">
        <v>293427</v>
      </c>
      <c r="F1773" s="1" t="s">
        <v>11</v>
      </c>
      <c r="G1773" s="10">
        <v>89103.42</v>
      </c>
      <c r="H1773" s="1" t="s">
        <v>33</v>
      </c>
      <c r="I1773" t="s">
        <v>13</v>
      </c>
      <c r="J1773" t="s">
        <v>14</v>
      </c>
    </row>
    <row r="1774" spans="1:10" x14ac:dyDescent="0.35">
      <c r="A1774">
        <v>1773</v>
      </c>
      <c r="B1774" s="1" t="s">
        <v>35</v>
      </c>
      <c r="C1774">
        <v>2017</v>
      </c>
      <c r="D1774" s="4">
        <v>5.8</v>
      </c>
      <c r="E1774" s="5">
        <v>197241</v>
      </c>
      <c r="F1774" s="1" t="s">
        <v>15</v>
      </c>
      <c r="G1774" s="10">
        <v>50773.03</v>
      </c>
      <c r="H1774" s="1" t="s">
        <v>45</v>
      </c>
      <c r="I1774" t="s">
        <v>53</v>
      </c>
      <c r="J1774" t="s">
        <v>14</v>
      </c>
    </row>
    <row r="1775" spans="1:10" x14ac:dyDescent="0.35">
      <c r="A1775">
        <v>1774</v>
      </c>
      <c r="B1775" s="1" t="s">
        <v>27</v>
      </c>
      <c r="C1775">
        <v>2013</v>
      </c>
      <c r="D1775" s="4">
        <v>5.8</v>
      </c>
      <c r="E1775" s="5">
        <v>193529</v>
      </c>
      <c r="F1775" s="1" t="s">
        <v>15</v>
      </c>
      <c r="G1775" s="10">
        <v>71259.92</v>
      </c>
      <c r="H1775" s="1" t="s">
        <v>37</v>
      </c>
      <c r="I1775" t="s">
        <v>52</v>
      </c>
      <c r="J1775" t="s">
        <v>22</v>
      </c>
    </row>
    <row r="1776" spans="1:10" x14ac:dyDescent="0.35">
      <c r="A1776">
        <v>1775</v>
      </c>
      <c r="B1776" s="1" t="s">
        <v>10</v>
      </c>
      <c r="C1776">
        <v>2019</v>
      </c>
      <c r="D1776" s="4">
        <v>2.8</v>
      </c>
      <c r="E1776" s="5">
        <v>249863</v>
      </c>
      <c r="F1776" s="1" t="s">
        <v>11</v>
      </c>
      <c r="G1776" s="10">
        <v>9963.15</v>
      </c>
      <c r="H1776" s="1" t="s">
        <v>12</v>
      </c>
      <c r="I1776" t="s">
        <v>13</v>
      </c>
      <c r="J1776" t="s">
        <v>14</v>
      </c>
    </row>
    <row r="1777" spans="1:10" x14ac:dyDescent="0.35">
      <c r="A1777">
        <v>1776</v>
      </c>
      <c r="B1777" s="1" t="s">
        <v>23</v>
      </c>
      <c r="C1777">
        <v>2020</v>
      </c>
      <c r="D1777" s="4">
        <v>1.2</v>
      </c>
      <c r="E1777" s="5">
        <v>25968</v>
      </c>
      <c r="F1777" s="1" t="s">
        <v>15</v>
      </c>
      <c r="G1777" s="10">
        <v>55753.599999999999</v>
      </c>
      <c r="H1777" s="1" t="s">
        <v>24</v>
      </c>
      <c r="I1777" t="s">
        <v>53</v>
      </c>
      <c r="J1777" t="s">
        <v>22</v>
      </c>
    </row>
    <row r="1778" spans="1:10" x14ac:dyDescent="0.35">
      <c r="A1778">
        <v>1777</v>
      </c>
      <c r="B1778" s="1" t="s">
        <v>20</v>
      </c>
      <c r="C1778">
        <v>2023</v>
      </c>
      <c r="D1778" s="4">
        <v>1.9</v>
      </c>
      <c r="E1778" s="5">
        <v>62508</v>
      </c>
      <c r="F1778" s="1" t="s">
        <v>15</v>
      </c>
      <c r="G1778" s="10">
        <v>33620.019999999997</v>
      </c>
      <c r="H1778" s="1" t="s">
        <v>46</v>
      </c>
      <c r="I1778" t="s">
        <v>51</v>
      </c>
      <c r="J1778" t="s">
        <v>22</v>
      </c>
    </row>
    <row r="1779" spans="1:10" x14ac:dyDescent="0.35">
      <c r="A1779">
        <v>1778</v>
      </c>
      <c r="B1779" s="1" t="s">
        <v>35</v>
      </c>
      <c r="C1779">
        <v>2014</v>
      </c>
      <c r="D1779" s="4">
        <v>3</v>
      </c>
      <c r="E1779" s="5">
        <v>235863</v>
      </c>
      <c r="F1779" s="1" t="s">
        <v>16</v>
      </c>
      <c r="G1779" s="10">
        <v>32071.99</v>
      </c>
      <c r="H1779" s="1" t="s">
        <v>47</v>
      </c>
      <c r="I1779" t="s">
        <v>51</v>
      </c>
      <c r="J1779" t="s">
        <v>14</v>
      </c>
    </row>
    <row r="1780" spans="1:10" x14ac:dyDescent="0.35">
      <c r="A1780">
        <v>1779</v>
      </c>
      <c r="B1780" s="1" t="s">
        <v>25</v>
      </c>
      <c r="C1780">
        <v>2021</v>
      </c>
      <c r="D1780" s="4">
        <v>5.7</v>
      </c>
      <c r="E1780" s="5">
        <v>194292</v>
      </c>
      <c r="F1780" s="1" t="s">
        <v>11</v>
      </c>
      <c r="G1780" s="10">
        <v>42017.31</v>
      </c>
      <c r="H1780" s="1" t="s">
        <v>26</v>
      </c>
      <c r="I1780" t="s">
        <v>13</v>
      </c>
      <c r="J1780" t="s">
        <v>14</v>
      </c>
    </row>
    <row r="1781" spans="1:10" x14ac:dyDescent="0.35">
      <c r="A1781">
        <v>1780</v>
      </c>
      <c r="B1781" s="1" t="s">
        <v>20</v>
      </c>
      <c r="C1781">
        <v>2003</v>
      </c>
      <c r="D1781" s="4">
        <v>1.7</v>
      </c>
      <c r="E1781" s="5">
        <v>85366</v>
      </c>
      <c r="F1781" s="1" t="s">
        <v>15</v>
      </c>
      <c r="G1781" s="10">
        <v>5060.75</v>
      </c>
      <c r="H1781" s="1" t="s">
        <v>39</v>
      </c>
      <c r="I1781" t="s">
        <v>13</v>
      </c>
      <c r="J1781" t="s">
        <v>14</v>
      </c>
    </row>
    <row r="1782" spans="1:10" x14ac:dyDescent="0.35">
      <c r="A1782">
        <v>1781</v>
      </c>
      <c r="B1782" s="1" t="s">
        <v>10</v>
      </c>
      <c r="C1782">
        <v>2012</v>
      </c>
      <c r="D1782" s="4">
        <v>4.8</v>
      </c>
      <c r="E1782" s="5">
        <v>5738</v>
      </c>
      <c r="F1782" s="1" t="s">
        <v>15</v>
      </c>
      <c r="G1782" s="10">
        <v>49332.78</v>
      </c>
      <c r="H1782" s="1" t="s">
        <v>18</v>
      </c>
      <c r="I1782" t="s">
        <v>13</v>
      </c>
      <c r="J1782" t="s">
        <v>14</v>
      </c>
    </row>
    <row r="1783" spans="1:10" x14ac:dyDescent="0.35">
      <c r="A1783">
        <v>1782</v>
      </c>
      <c r="B1783" s="1" t="s">
        <v>20</v>
      </c>
      <c r="C1783">
        <v>2022</v>
      </c>
      <c r="D1783" s="4">
        <v>1.5</v>
      </c>
      <c r="E1783" s="5">
        <v>3098</v>
      </c>
      <c r="F1783" s="1" t="s">
        <v>11</v>
      </c>
      <c r="G1783" s="10">
        <v>51223.83</v>
      </c>
      <c r="H1783" s="1" t="s">
        <v>21</v>
      </c>
      <c r="I1783" t="s">
        <v>52</v>
      </c>
      <c r="J1783" t="s">
        <v>22</v>
      </c>
    </row>
    <row r="1784" spans="1:10" x14ac:dyDescent="0.35">
      <c r="A1784">
        <v>1783</v>
      </c>
      <c r="B1784" s="1" t="s">
        <v>10</v>
      </c>
      <c r="C1784">
        <v>2007</v>
      </c>
      <c r="D1784" s="4">
        <v>5.9</v>
      </c>
      <c r="E1784" s="5">
        <v>95424</v>
      </c>
      <c r="F1784" s="1" t="s">
        <v>16</v>
      </c>
      <c r="G1784" s="10">
        <v>86997.440000000002</v>
      </c>
      <c r="H1784" s="1" t="s">
        <v>12</v>
      </c>
      <c r="I1784" t="s">
        <v>13</v>
      </c>
      <c r="J1784" t="s">
        <v>14</v>
      </c>
    </row>
    <row r="1785" spans="1:10" x14ac:dyDescent="0.35">
      <c r="A1785">
        <v>1784</v>
      </c>
      <c r="B1785" s="1" t="s">
        <v>35</v>
      </c>
      <c r="C1785">
        <v>2017</v>
      </c>
      <c r="D1785" s="4">
        <v>2.9</v>
      </c>
      <c r="E1785" s="5">
        <v>204705</v>
      </c>
      <c r="F1785" s="1" t="s">
        <v>11</v>
      </c>
      <c r="G1785" s="10">
        <v>47609.93</v>
      </c>
      <c r="H1785" s="1" t="s">
        <v>36</v>
      </c>
      <c r="I1785" t="s">
        <v>51</v>
      </c>
      <c r="J1785" t="s">
        <v>22</v>
      </c>
    </row>
    <row r="1786" spans="1:10" x14ac:dyDescent="0.35">
      <c r="A1786">
        <v>1785</v>
      </c>
      <c r="B1786" s="1" t="s">
        <v>10</v>
      </c>
      <c r="C1786">
        <v>2011</v>
      </c>
      <c r="D1786" s="4">
        <v>4.9000000000000004</v>
      </c>
      <c r="E1786" s="5">
        <v>78672</v>
      </c>
      <c r="F1786" s="1" t="s">
        <v>16</v>
      </c>
      <c r="G1786" s="10">
        <v>39537.85</v>
      </c>
      <c r="H1786" s="1" t="s">
        <v>12</v>
      </c>
      <c r="I1786" t="s">
        <v>13</v>
      </c>
      <c r="J1786" t="s">
        <v>14</v>
      </c>
    </row>
    <row r="1787" spans="1:10" x14ac:dyDescent="0.35">
      <c r="A1787">
        <v>1786</v>
      </c>
      <c r="B1787" s="1" t="s">
        <v>20</v>
      </c>
      <c r="C1787">
        <v>2022</v>
      </c>
      <c r="D1787" s="4">
        <v>2.7</v>
      </c>
      <c r="E1787" s="5">
        <v>139325</v>
      </c>
      <c r="F1787" s="1" t="s">
        <v>15</v>
      </c>
      <c r="G1787" s="10">
        <v>99500.97</v>
      </c>
      <c r="H1787" s="1" t="s">
        <v>21</v>
      </c>
      <c r="I1787" t="s">
        <v>52</v>
      </c>
      <c r="J1787" t="s">
        <v>22</v>
      </c>
    </row>
    <row r="1788" spans="1:10" x14ac:dyDescent="0.35">
      <c r="A1788">
        <v>1787</v>
      </c>
      <c r="B1788" s="1" t="s">
        <v>25</v>
      </c>
      <c r="C1788">
        <v>2013</v>
      </c>
      <c r="D1788" s="4">
        <v>4.0999999999999996</v>
      </c>
      <c r="E1788" s="5">
        <v>125349</v>
      </c>
      <c r="F1788" s="1" t="s">
        <v>16</v>
      </c>
      <c r="G1788" s="10">
        <v>59265.27</v>
      </c>
      <c r="H1788" s="1" t="s">
        <v>26</v>
      </c>
      <c r="I1788" t="s">
        <v>52</v>
      </c>
      <c r="J1788" t="s">
        <v>14</v>
      </c>
    </row>
    <row r="1789" spans="1:10" x14ac:dyDescent="0.35">
      <c r="A1789">
        <v>1788</v>
      </c>
      <c r="B1789" s="1" t="s">
        <v>29</v>
      </c>
      <c r="C1789">
        <v>2001</v>
      </c>
      <c r="D1789" s="4">
        <v>2</v>
      </c>
      <c r="E1789" s="5">
        <v>50969</v>
      </c>
      <c r="F1789" s="1" t="s">
        <v>16</v>
      </c>
      <c r="G1789" s="10">
        <v>49898.25</v>
      </c>
      <c r="H1789" s="1" t="s">
        <v>43</v>
      </c>
      <c r="I1789" t="s">
        <v>53</v>
      </c>
      <c r="J1789" t="s">
        <v>22</v>
      </c>
    </row>
    <row r="1790" spans="1:10" x14ac:dyDescent="0.35">
      <c r="A1790">
        <v>1789</v>
      </c>
      <c r="B1790" s="1" t="s">
        <v>20</v>
      </c>
      <c r="C1790">
        <v>2017</v>
      </c>
      <c r="D1790" s="4">
        <v>1.7</v>
      </c>
      <c r="E1790" s="5">
        <v>90744</v>
      </c>
      <c r="F1790" s="1" t="s">
        <v>11</v>
      </c>
      <c r="G1790" s="10">
        <v>52113.9</v>
      </c>
      <c r="H1790" s="1" t="s">
        <v>46</v>
      </c>
      <c r="I1790" t="s">
        <v>51</v>
      </c>
      <c r="J1790" t="s">
        <v>14</v>
      </c>
    </row>
    <row r="1791" spans="1:10" x14ac:dyDescent="0.35">
      <c r="A1791">
        <v>1790</v>
      </c>
      <c r="B1791" s="1" t="s">
        <v>10</v>
      </c>
      <c r="C1791">
        <v>2023</v>
      </c>
      <c r="D1791" s="4">
        <v>5.7</v>
      </c>
      <c r="E1791" s="5">
        <v>201495</v>
      </c>
      <c r="F1791" s="1" t="s">
        <v>15</v>
      </c>
      <c r="G1791" s="10">
        <v>81872.22</v>
      </c>
      <c r="H1791" s="1" t="s">
        <v>18</v>
      </c>
      <c r="I1791" t="s">
        <v>13</v>
      </c>
      <c r="J1791" t="s">
        <v>14</v>
      </c>
    </row>
    <row r="1792" spans="1:10" x14ac:dyDescent="0.35">
      <c r="A1792">
        <v>1791</v>
      </c>
      <c r="B1792" s="1" t="s">
        <v>29</v>
      </c>
      <c r="C1792">
        <v>2001</v>
      </c>
      <c r="D1792" s="4">
        <v>5.6</v>
      </c>
      <c r="E1792" s="5">
        <v>117286</v>
      </c>
      <c r="F1792" s="1" t="s">
        <v>11</v>
      </c>
      <c r="G1792" s="10">
        <v>37364.26</v>
      </c>
      <c r="H1792" s="1" t="s">
        <v>31</v>
      </c>
      <c r="I1792" t="s">
        <v>53</v>
      </c>
      <c r="J1792" t="s">
        <v>14</v>
      </c>
    </row>
    <row r="1793" spans="1:10" x14ac:dyDescent="0.35">
      <c r="A1793">
        <v>1792</v>
      </c>
      <c r="B1793" s="1" t="s">
        <v>10</v>
      </c>
      <c r="C1793">
        <v>2010</v>
      </c>
      <c r="D1793" s="4">
        <v>5.4</v>
      </c>
      <c r="E1793" s="5">
        <v>75028</v>
      </c>
      <c r="F1793" s="1" t="s">
        <v>11</v>
      </c>
      <c r="G1793" s="10">
        <v>41970.239999999998</v>
      </c>
      <c r="H1793" s="1" t="s">
        <v>18</v>
      </c>
      <c r="I1793" t="s">
        <v>13</v>
      </c>
      <c r="J1793" t="s">
        <v>14</v>
      </c>
    </row>
    <row r="1794" spans="1:10" x14ac:dyDescent="0.35">
      <c r="A1794">
        <v>1793</v>
      </c>
      <c r="B1794" s="1" t="s">
        <v>25</v>
      </c>
      <c r="C1794">
        <v>2008</v>
      </c>
      <c r="D1794" s="4">
        <v>4.0999999999999996</v>
      </c>
      <c r="E1794" s="5">
        <v>297565</v>
      </c>
      <c r="F1794" s="1" t="s">
        <v>15</v>
      </c>
      <c r="G1794" s="10">
        <v>76807.97</v>
      </c>
      <c r="H1794" s="1" t="s">
        <v>49</v>
      </c>
      <c r="I1794" t="s">
        <v>52</v>
      </c>
      <c r="J1794" t="s">
        <v>14</v>
      </c>
    </row>
    <row r="1795" spans="1:10" x14ac:dyDescent="0.35">
      <c r="A1795">
        <v>1794</v>
      </c>
      <c r="B1795" s="1" t="s">
        <v>10</v>
      </c>
      <c r="C1795">
        <v>2011</v>
      </c>
      <c r="D1795" s="4">
        <v>5</v>
      </c>
      <c r="E1795" s="5">
        <v>38575</v>
      </c>
      <c r="F1795" s="1" t="s">
        <v>11</v>
      </c>
      <c r="G1795" s="10">
        <v>11933.46</v>
      </c>
      <c r="H1795" s="1" t="s">
        <v>18</v>
      </c>
      <c r="I1795" t="s">
        <v>13</v>
      </c>
      <c r="J1795" t="s">
        <v>14</v>
      </c>
    </row>
    <row r="1796" spans="1:10" x14ac:dyDescent="0.35">
      <c r="A1796">
        <v>1795</v>
      </c>
      <c r="B1796" s="1" t="s">
        <v>35</v>
      </c>
      <c r="C1796">
        <v>2016</v>
      </c>
      <c r="D1796" s="4">
        <v>1.3</v>
      </c>
      <c r="E1796" s="5">
        <v>3192</v>
      </c>
      <c r="F1796" s="1" t="s">
        <v>11</v>
      </c>
      <c r="G1796" s="10">
        <v>87191.07</v>
      </c>
      <c r="H1796" s="1" t="s">
        <v>50</v>
      </c>
      <c r="I1796" t="s">
        <v>53</v>
      </c>
      <c r="J1796" t="s">
        <v>22</v>
      </c>
    </row>
    <row r="1797" spans="1:10" x14ac:dyDescent="0.35">
      <c r="A1797">
        <v>1796</v>
      </c>
      <c r="B1797" s="1" t="s">
        <v>23</v>
      </c>
      <c r="C1797">
        <v>2014</v>
      </c>
      <c r="D1797" s="4">
        <v>2.7</v>
      </c>
      <c r="E1797" s="5">
        <v>111116</v>
      </c>
      <c r="F1797" s="1" t="s">
        <v>16</v>
      </c>
      <c r="G1797" s="10">
        <v>45869.26</v>
      </c>
      <c r="H1797" s="1" t="s">
        <v>42</v>
      </c>
      <c r="I1797" t="s">
        <v>51</v>
      </c>
      <c r="J1797" t="s">
        <v>22</v>
      </c>
    </row>
    <row r="1798" spans="1:10" x14ac:dyDescent="0.35">
      <c r="A1798">
        <v>1797</v>
      </c>
      <c r="B1798" s="1" t="s">
        <v>20</v>
      </c>
      <c r="C1798">
        <v>2016</v>
      </c>
      <c r="D1798" s="4">
        <v>2.6</v>
      </c>
      <c r="E1798" s="5">
        <v>81311</v>
      </c>
      <c r="F1798" s="1" t="s">
        <v>11</v>
      </c>
      <c r="G1798" s="10">
        <v>60222.83</v>
      </c>
      <c r="H1798" s="1" t="s">
        <v>46</v>
      </c>
      <c r="I1798" t="s">
        <v>52</v>
      </c>
      <c r="J1798" t="s">
        <v>22</v>
      </c>
    </row>
    <row r="1799" spans="1:10" x14ac:dyDescent="0.35">
      <c r="A1799">
        <v>1798</v>
      </c>
      <c r="B1799" s="1" t="s">
        <v>23</v>
      </c>
      <c r="C1799">
        <v>2017</v>
      </c>
      <c r="D1799" s="4">
        <v>4.2</v>
      </c>
      <c r="E1799" s="5">
        <v>80781</v>
      </c>
      <c r="F1799" s="1" t="s">
        <v>15</v>
      </c>
      <c r="G1799" s="10">
        <v>76960.240000000005</v>
      </c>
      <c r="H1799" s="1" t="s">
        <v>42</v>
      </c>
      <c r="I1799" t="s">
        <v>13</v>
      </c>
      <c r="J1799" t="s">
        <v>14</v>
      </c>
    </row>
    <row r="1800" spans="1:10" x14ac:dyDescent="0.35">
      <c r="A1800">
        <v>1799</v>
      </c>
      <c r="B1800" s="1" t="s">
        <v>10</v>
      </c>
      <c r="C1800">
        <v>2021</v>
      </c>
      <c r="D1800" s="4">
        <v>2.8</v>
      </c>
      <c r="E1800" s="5">
        <v>36527</v>
      </c>
      <c r="F1800" s="1" t="s">
        <v>11</v>
      </c>
      <c r="G1800" s="10">
        <v>30274.93</v>
      </c>
      <c r="H1800" s="1" t="s">
        <v>17</v>
      </c>
      <c r="I1800" t="s">
        <v>13</v>
      </c>
      <c r="J1800" t="s">
        <v>14</v>
      </c>
    </row>
    <row r="1801" spans="1:10" x14ac:dyDescent="0.35">
      <c r="A1801">
        <v>1800</v>
      </c>
      <c r="B1801" s="1" t="s">
        <v>25</v>
      </c>
      <c r="C1801">
        <v>2005</v>
      </c>
      <c r="D1801" s="4">
        <v>1.7</v>
      </c>
      <c r="E1801" s="5">
        <v>52181</v>
      </c>
      <c r="F1801" s="1" t="s">
        <v>16</v>
      </c>
      <c r="G1801" s="10">
        <v>89579.85</v>
      </c>
      <c r="H1801" s="1" t="s">
        <v>41</v>
      </c>
      <c r="I1801" t="s">
        <v>53</v>
      </c>
      <c r="J1801" t="s">
        <v>14</v>
      </c>
    </row>
    <row r="1802" spans="1:10" x14ac:dyDescent="0.35">
      <c r="A1802">
        <v>1801</v>
      </c>
      <c r="B1802" s="1" t="s">
        <v>20</v>
      </c>
      <c r="C1802">
        <v>2016</v>
      </c>
      <c r="D1802" s="4">
        <v>4</v>
      </c>
      <c r="E1802" s="5">
        <v>91472</v>
      </c>
      <c r="F1802" s="1" t="s">
        <v>11</v>
      </c>
      <c r="G1802" s="10">
        <v>98026.37</v>
      </c>
      <c r="H1802" s="1" t="s">
        <v>39</v>
      </c>
      <c r="I1802" t="s">
        <v>13</v>
      </c>
      <c r="J1802" t="s">
        <v>22</v>
      </c>
    </row>
    <row r="1803" spans="1:10" x14ac:dyDescent="0.35">
      <c r="A1803">
        <v>1802</v>
      </c>
      <c r="B1803" s="1" t="s">
        <v>10</v>
      </c>
      <c r="C1803">
        <v>2022</v>
      </c>
      <c r="D1803" s="4">
        <v>5.0999999999999996</v>
      </c>
      <c r="E1803" s="5">
        <v>81219</v>
      </c>
      <c r="F1803" s="1" t="s">
        <v>11</v>
      </c>
      <c r="G1803" s="10">
        <v>51956.06</v>
      </c>
      <c r="H1803" s="1" t="s">
        <v>17</v>
      </c>
      <c r="I1803" t="s">
        <v>13</v>
      </c>
      <c r="J1803" t="s">
        <v>14</v>
      </c>
    </row>
    <row r="1804" spans="1:10" x14ac:dyDescent="0.35">
      <c r="A1804">
        <v>1803</v>
      </c>
      <c r="B1804" s="1" t="s">
        <v>29</v>
      </c>
      <c r="C1804">
        <v>2023</v>
      </c>
      <c r="D1804" s="4">
        <v>2.9</v>
      </c>
      <c r="E1804" s="5">
        <v>119783</v>
      </c>
      <c r="F1804" s="1" t="s">
        <v>11</v>
      </c>
      <c r="G1804" s="10">
        <v>94009.05</v>
      </c>
      <c r="H1804" s="1" t="s">
        <v>30</v>
      </c>
      <c r="I1804" t="s">
        <v>52</v>
      </c>
      <c r="J1804" t="s">
        <v>22</v>
      </c>
    </row>
    <row r="1805" spans="1:10" x14ac:dyDescent="0.35">
      <c r="A1805">
        <v>1804</v>
      </c>
      <c r="B1805" s="1" t="s">
        <v>27</v>
      </c>
      <c r="C1805">
        <v>2017</v>
      </c>
      <c r="D1805" s="4">
        <v>1.7</v>
      </c>
      <c r="E1805" s="5">
        <v>161554</v>
      </c>
      <c r="F1805" s="1" t="s">
        <v>16</v>
      </c>
      <c r="G1805" s="10">
        <v>5107.22</v>
      </c>
      <c r="H1805" s="1" t="s">
        <v>40</v>
      </c>
      <c r="I1805" t="s">
        <v>13</v>
      </c>
      <c r="J1805" t="s">
        <v>22</v>
      </c>
    </row>
    <row r="1806" spans="1:10" x14ac:dyDescent="0.35">
      <c r="A1806">
        <v>1805</v>
      </c>
      <c r="B1806" s="1" t="s">
        <v>10</v>
      </c>
      <c r="C1806">
        <v>2007</v>
      </c>
      <c r="D1806" s="4">
        <v>2</v>
      </c>
      <c r="E1806" s="5">
        <v>179300</v>
      </c>
      <c r="F1806" s="1" t="s">
        <v>15</v>
      </c>
      <c r="G1806" s="10">
        <v>89952.59</v>
      </c>
      <c r="H1806" s="1" t="s">
        <v>17</v>
      </c>
      <c r="I1806" t="s">
        <v>13</v>
      </c>
      <c r="J1806" t="s">
        <v>14</v>
      </c>
    </row>
    <row r="1807" spans="1:10" x14ac:dyDescent="0.35">
      <c r="A1807">
        <v>1806</v>
      </c>
      <c r="B1807" s="1" t="s">
        <v>23</v>
      </c>
      <c r="C1807">
        <v>2008</v>
      </c>
      <c r="D1807" s="4">
        <v>2.2000000000000002</v>
      </c>
      <c r="E1807" s="5">
        <v>83265</v>
      </c>
      <c r="F1807" s="1" t="s">
        <v>15</v>
      </c>
      <c r="G1807" s="10">
        <v>34549.31</v>
      </c>
      <c r="H1807" s="1" t="s">
        <v>42</v>
      </c>
      <c r="I1807" t="s">
        <v>52</v>
      </c>
      <c r="J1807" t="s">
        <v>14</v>
      </c>
    </row>
    <row r="1808" spans="1:10" x14ac:dyDescent="0.35">
      <c r="A1808">
        <v>1807</v>
      </c>
      <c r="B1808" s="1" t="s">
        <v>20</v>
      </c>
      <c r="C1808">
        <v>2005</v>
      </c>
      <c r="D1808" s="4">
        <v>2.5</v>
      </c>
      <c r="E1808" s="5">
        <v>50126</v>
      </c>
      <c r="F1808" s="1" t="s">
        <v>16</v>
      </c>
      <c r="G1808" s="10">
        <v>34592.07</v>
      </c>
      <c r="H1808" s="1" t="s">
        <v>21</v>
      </c>
      <c r="I1808" t="s">
        <v>53</v>
      </c>
      <c r="J1808" t="s">
        <v>22</v>
      </c>
    </row>
    <row r="1809" spans="1:10" x14ac:dyDescent="0.35">
      <c r="A1809">
        <v>1808</v>
      </c>
      <c r="B1809" s="1" t="s">
        <v>23</v>
      </c>
      <c r="C1809">
        <v>2004</v>
      </c>
      <c r="D1809" s="4">
        <v>4.2</v>
      </c>
      <c r="E1809" s="5">
        <v>282689</v>
      </c>
      <c r="F1809" s="1" t="s">
        <v>16</v>
      </c>
      <c r="G1809" s="10">
        <v>26668.44</v>
      </c>
      <c r="H1809" s="1" t="s">
        <v>24</v>
      </c>
      <c r="I1809" t="s">
        <v>13</v>
      </c>
      <c r="J1809" t="s">
        <v>22</v>
      </c>
    </row>
    <row r="1810" spans="1:10" x14ac:dyDescent="0.35">
      <c r="A1810">
        <v>1809</v>
      </c>
      <c r="B1810" s="1" t="s">
        <v>20</v>
      </c>
      <c r="C1810">
        <v>2011</v>
      </c>
      <c r="D1810" s="4">
        <v>4</v>
      </c>
      <c r="E1810" s="5">
        <v>55114</v>
      </c>
      <c r="F1810" s="1" t="s">
        <v>11</v>
      </c>
      <c r="G1810" s="10">
        <v>35116.32</v>
      </c>
      <c r="H1810" s="1" t="s">
        <v>33</v>
      </c>
      <c r="I1810" t="s">
        <v>53</v>
      </c>
      <c r="J1810" t="s">
        <v>14</v>
      </c>
    </row>
    <row r="1811" spans="1:10" x14ac:dyDescent="0.35">
      <c r="A1811">
        <v>1810</v>
      </c>
      <c r="B1811" s="1" t="s">
        <v>10</v>
      </c>
      <c r="C1811">
        <v>2010</v>
      </c>
      <c r="D1811" s="4">
        <v>4.5</v>
      </c>
      <c r="E1811" s="5">
        <v>206422</v>
      </c>
      <c r="F1811" s="1" t="s">
        <v>15</v>
      </c>
      <c r="G1811" s="10">
        <v>25281.040000000001</v>
      </c>
      <c r="H1811" s="1" t="s">
        <v>12</v>
      </c>
      <c r="I1811" t="s">
        <v>13</v>
      </c>
      <c r="J1811" t="s">
        <v>14</v>
      </c>
    </row>
    <row r="1812" spans="1:10" x14ac:dyDescent="0.35">
      <c r="A1812">
        <v>1811</v>
      </c>
      <c r="B1812" s="1" t="s">
        <v>35</v>
      </c>
      <c r="C1812">
        <v>2000</v>
      </c>
      <c r="D1812" s="4">
        <v>2.8</v>
      </c>
      <c r="E1812" s="5">
        <v>188873</v>
      </c>
      <c r="F1812" s="1" t="s">
        <v>16</v>
      </c>
      <c r="G1812" s="10">
        <v>91057.57</v>
      </c>
      <c r="H1812" s="1" t="s">
        <v>45</v>
      </c>
      <c r="I1812" t="s">
        <v>13</v>
      </c>
      <c r="J1812" t="s">
        <v>14</v>
      </c>
    </row>
    <row r="1813" spans="1:10" x14ac:dyDescent="0.35">
      <c r="A1813">
        <v>1812</v>
      </c>
      <c r="B1813" s="1" t="s">
        <v>29</v>
      </c>
      <c r="C1813">
        <v>2010</v>
      </c>
      <c r="D1813" s="4">
        <v>5.0999999999999996</v>
      </c>
      <c r="E1813" s="5">
        <v>276034</v>
      </c>
      <c r="F1813" s="1" t="s">
        <v>15</v>
      </c>
      <c r="G1813" s="10">
        <v>90407.25</v>
      </c>
      <c r="H1813" s="1" t="s">
        <v>38</v>
      </c>
      <c r="I1813" t="s">
        <v>51</v>
      </c>
      <c r="J1813" t="s">
        <v>14</v>
      </c>
    </row>
    <row r="1814" spans="1:10" x14ac:dyDescent="0.35">
      <c r="A1814">
        <v>1813</v>
      </c>
      <c r="B1814" s="1" t="s">
        <v>10</v>
      </c>
      <c r="C1814">
        <v>2018</v>
      </c>
      <c r="D1814" s="4">
        <v>2</v>
      </c>
      <c r="E1814" s="5">
        <v>121284</v>
      </c>
      <c r="F1814" s="1" t="s">
        <v>11</v>
      </c>
      <c r="G1814" s="10">
        <v>14710.07</v>
      </c>
      <c r="H1814" s="1" t="s">
        <v>19</v>
      </c>
      <c r="I1814" t="s">
        <v>13</v>
      </c>
      <c r="J1814" t="s">
        <v>14</v>
      </c>
    </row>
    <row r="1815" spans="1:10" x14ac:dyDescent="0.35">
      <c r="A1815">
        <v>1814</v>
      </c>
      <c r="B1815" s="1" t="s">
        <v>23</v>
      </c>
      <c r="C1815">
        <v>2008</v>
      </c>
      <c r="D1815" s="4">
        <v>3.3</v>
      </c>
      <c r="E1815" s="5">
        <v>194469</v>
      </c>
      <c r="F1815" s="1" t="s">
        <v>16</v>
      </c>
      <c r="G1815" s="10">
        <v>18571.55</v>
      </c>
      <c r="H1815" s="1" t="s">
        <v>42</v>
      </c>
      <c r="I1815" t="s">
        <v>13</v>
      </c>
      <c r="J1815" t="s">
        <v>14</v>
      </c>
    </row>
    <row r="1816" spans="1:10" x14ac:dyDescent="0.35">
      <c r="A1816">
        <v>1815</v>
      </c>
      <c r="B1816" s="1" t="s">
        <v>27</v>
      </c>
      <c r="C1816">
        <v>2001</v>
      </c>
      <c r="D1816" s="4">
        <v>5</v>
      </c>
      <c r="E1816" s="5">
        <v>142290</v>
      </c>
      <c r="F1816" s="1" t="s">
        <v>15</v>
      </c>
      <c r="G1816" s="10">
        <v>86891.77</v>
      </c>
      <c r="H1816" s="1" t="s">
        <v>28</v>
      </c>
      <c r="I1816" t="s">
        <v>53</v>
      </c>
      <c r="J1816" t="s">
        <v>14</v>
      </c>
    </row>
    <row r="1817" spans="1:10" x14ac:dyDescent="0.35">
      <c r="A1817">
        <v>1816</v>
      </c>
      <c r="B1817" s="1" t="s">
        <v>27</v>
      </c>
      <c r="C1817">
        <v>2011</v>
      </c>
      <c r="D1817" s="4">
        <v>1.9</v>
      </c>
      <c r="E1817" s="5">
        <v>88241</v>
      </c>
      <c r="F1817" s="1" t="s">
        <v>15</v>
      </c>
      <c r="G1817" s="10">
        <v>42899.09</v>
      </c>
      <c r="H1817" s="1" t="s">
        <v>48</v>
      </c>
      <c r="I1817" t="s">
        <v>52</v>
      </c>
      <c r="J1817" t="s">
        <v>14</v>
      </c>
    </row>
    <row r="1818" spans="1:10" x14ac:dyDescent="0.35">
      <c r="A1818">
        <v>1817</v>
      </c>
      <c r="B1818" s="1" t="s">
        <v>25</v>
      </c>
      <c r="C1818">
        <v>2003</v>
      </c>
      <c r="D1818" s="4">
        <v>1.5</v>
      </c>
      <c r="E1818" s="5">
        <v>296866</v>
      </c>
      <c r="F1818" s="1" t="s">
        <v>11</v>
      </c>
      <c r="G1818" s="10">
        <v>21080.81</v>
      </c>
      <c r="H1818" s="1" t="s">
        <v>26</v>
      </c>
      <c r="I1818" t="s">
        <v>51</v>
      </c>
      <c r="J1818" t="s">
        <v>14</v>
      </c>
    </row>
    <row r="1819" spans="1:10" x14ac:dyDescent="0.35">
      <c r="A1819">
        <v>1818</v>
      </c>
      <c r="B1819" s="1" t="s">
        <v>20</v>
      </c>
      <c r="C1819">
        <v>2003</v>
      </c>
      <c r="D1819" s="4">
        <v>5.4</v>
      </c>
      <c r="E1819" s="5">
        <v>182615</v>
      </c>
      <c r="F1819" s="1" t="s">
        <v>16</v>
      </c>
      <c r="G1819" s="10">
        <v>53513.59</v>
      </c>
      <c r="H1819" s="1" t="s">
        <v>33</v>
      </c>
      <c r="I1819" t="s">
        <v>51</v>
      </c>
      <c r="J1819" t="s">
        <v>22</v>
      </c>
    </row>
    <row r="1820" spans="1:10" x14ac:dyDescent="0.35">
      <c r="A1820">
        <v>1819</v>
      </c>
      <c r="B1820" s="1" t="s">
        <v>23</v>
      </c>
      <c r="C1820">
        <v>2017</v>
      </c>
      <c r="D1820" s="4">
        <v>2.7</v>
      </c>
      <c r="E1820" s="5">
        <v>30921</v>
      </c>
      <c r="F1820" s="1" t="s">
        <v>15</v>
      </c>
      <c r="G1820" s="10">
        <v>44583.46</v>
      </c>
      <c r="H1820" s="1" t="s">
        <v>42</v>
      </c>
      <c r="I1820" t="s">
        <v>52</v>
      </c>
      <c r="J1820" t="s">
        <v>22</v>
      </c>
    </row>
    <row r="1821" spans="1:10" x14ac:dyDescent="0.35">
      <c r="A1821">
        <v>1820</v>
      </c>
      <c r="B1821" s="1" t="s">
        <v>25</v>
      </c>
      <c r="C1821">
        <v>2014</v>
      </c>
      <c r="D1821" s="4">
        <v>4.4000000000000004</v>
      </c>
      <c r="E1821" s="5">
        <v>161686</v>
      </c>
      <c r="F1821" s="1" t="s">
        <v>11</v>
      </c>
      <c r="G1821" s="10">
        <v>25820.35</v>
      </c>
      <c r="H1821" s="1" t="s">
        <v>49</v>
      </c>
      <c r="I1821" t="s">
        <v>52</v>
      </c>
      <c r="J1821" t="s">
        <v>22</v>
      </c>
    </row>
    <row r="1822" spans="1:10" x14ac:dyDescent="0.35">
      <c r="A1822">
        <v>1821</v>
      </c>
      <c r="B1822" s="1" t="s">
        <v>23</v>
      </c>
      <c r="C1822">
        <v>2018</v>
      </c>
      <c r="D1822" s="4">
        <v>1.1000000000000001</v>
      </c>
      <c r="E1822" s="5">
        <v>192261</v>
      </c>
      <c r="F1822" s="1" t="s">
        <v>15</v>
      </c>
      <c r="G1822" s="10">
        <v>73471.460000000006</v>
      </c>
      <c r="H1822" s="1" t="s">
        <v>34</v>
      </c>
      <c r="I1822" t="s">
        <v>53</v>
      </c>
      <c r="J1822" t="s">
        <v>22</v>
      </c>
    </row>
    <row r="1823" spans="1:10" x14ac:dyDescent="0.35">
      <c r="A1823">
        <v>1822</v>
      </c>
      <c r="B1823" s="1" t="s">
        <v>20</v>
      </c>
      <c r="C1823">
        <v>2012</v>
      </c>
      <c r="D1823" s="4">
        <v>4.5</v>
      </c>
      <c r="E1823" s="5">
        <v>17601</v>
      </c>
      <c r="F1823" s="1" t="s">
        <v>11</v>
      </c>
      <c r="G1823" s="10">
        <v>64972.480000000003</v>
      </c>
      <c r="H1823" s="1" t="s">
        <v>46</v>
      </c>
      <c r="I1823" t="s">
        <v>52</v>
      </c>
      <c r="J1823" t="s">
        <v>22</v>
      </c>
    </row>
    <row r="1824" spans="1:10" x14ac:dyDescent="0.35">
      <c r="A1824">
        <v>1823</v>
      </c>
      <c r="B1824" s="1" t="s">
        <v>10</v>
      </c>
      <c r="C1824">
        <v>2018</v>
      </c>
      <c r="D1824" s="4">
        <v>2.6</v>
      </c>
      <c r="E1824" s="5">
        <v>93332</v>
      </c>
      <c r="F1824" s="1" t="s">
        <v>15</v>
      </c>
      <c r="G1824" s="10">
        <v>14467.85</v>
      </c>
      <c r="H1824" s="1" t="s">
        <v>12</v>
      </c>
      <c r="I1824" t="s">
        <v>13</v>
      </c>
      <c r="J1824" t="s">
        <v>14</v>
      </c>
    </row>
    <row r="1825" spans="1:10" x14ac:dyDescent="0.35">
      <c r="A1825">
        <v>1824</v>
      </c>
      <c r="B1825" s="1" t="s">
        <v>10</v>
      </c>
      <c r="C1825">
        <v>2016</v>
      </c>
      <c r="D1825" s="4">
        <v>1.3</v>
      </c>
      <c r="E1825" s="5">
        <v>202615</v>
      </c>
      <c r="F1825" s="1" t="s">
        <v>15</v>
      </c>
      <c r="G1825" s="10">
        <v>92911.74</v>
      </c>
      <c r="H1825" s="1" t="s">
        <v>18</v>
      </c>
      <c r="I1825" t="s">
        <v>13</v>
      </c>
      <c r="J1825" t="s">
        <v>14</v>
      </c>
    </row>
    <row r="1826" spans="1:10" x14ac:dyDescent="0.35">
      <c r="A1826">
        <v>1825</v>
      </c>
      <c r="B1826" s="1" t="s">
        <v>27</v>
      </c>
      <c r="C1826">
        <v>2005</v>
      </c>
      <c r="D1826" s="4">
        <v>4</v>
      </c>
      <c r="E1826" s="5">
        <v>235572</v>
      </c>
      <c r="F1826" s="1" t="s">
        <v>11</v>
      </c>
      <c r="G1826" s="10">
        <v>58054.65</v>
      </c>
      <c r="H1826" s="1" t="s">
        <v>28</v>
      </c>
      <c r="I1826" t="s">
        <v>13</v>
      </c>
      <c r="J1826" t="s">
        <v>14</v>
      </c>
    </row>
    <row r="1827" spans="1:10" x14ac:dyDescent="0.35">
      <c r="A1827">
        <v>1826</v>
      </c>
      <c r="B1827" s="1" t="s">
        <v>10</v>
      </c>
      <c r="C1827">
        <v>2015</v>
      </c>
      <c r="D1827" s="4">
        <v>2.2000000000000002</v>
      </c>
      <c r="E1827" s="5">
        <v>290144</v>
      </c>
      <c r="F1827" s="1" t="s">
        <v>16</v>
      </c>
      <c r="G1827" s="10">
        <v>28769.43</v>
      </c>
      <c r="H1827" s="1" t="s">
        <v>12</v>
      </c>
      <c r="I1827" t="s">
        <v>13</v>
      </c>
      <c r="J1827" t="s">
        <v>14</v>
      </c>
    </row>
    <row r="1828" spans="1:10" x14ac:dyDescent="0.35">
      <c r="A1828">
        <v>1827</v>
      </c>
      <c r="B1828" s="1" t="s">
        <v>10</v>
      </c>
      <c r="C1828">
        <v>2023</v>
      </c>
      <c r="D1828" s="4">
        <v>2.9</v>
      </c>
      <c r="E1828" s="5">
        <v>130439</v>
      </c>
      <c r="F1828" s="1" t="s">
        <v>11</v>
      </c>
      <c r="G1828" s="10">
        <v>24597.72</v>
      </c>
      <c r="H1828" s="1" t="s">
        <v>18</v>
      </c>
      <c r="I1828" t="s">
        <v>13</v>
      </c>
      <c r="J1828" t="s">
        <v>14</v>
      </c>
    </row>
    <row r="1829" spans="1:10" x14ac:dyDescent="0.35">
      <c r="A1829">
        <v>1828</v>
      </c>
      <c r="B1829" s="1" t="s">
        <v>35</v>
      </c>
      <c r="C1829">
        <v>2011</v>
      </c>
      <c r="D1829" s="4">
        <v>1.4</v>
      </c>
      <c r="E1829" s="5">
        <v>239691</v>
      </c>
      <c r="F1829" s="1" t="s">
        <v>16</v>
      </c>
      <c r="G1829" s="10">
        <v>17915.060000000001</v>
      </c>
      <c r="H1829" s="1" t="s">
        <v>50</v>
      </c>
      <c r="I1829" t="s">
        <v>51</v>
      </c>
      <c r="J1829" t="s">
        <v>22</v>
      </c>
    </row>
    <row r="1830" spans="1:10" x14ac:dyDescent="0.35">
      <c r="A1830">
        <v>1829</v>
      </c>
      <c r="B1830" s="1" t="s">
        <v>27</v>
      </c>
      <c r="C1830">
        <v>2018</v>
      </c>
      <c r="D1830" s="4">
        <v>1.7</v>
      </c>
      <c r="E1830" s="5">
        <v>119277</v>
      </c>
      <c r="F1830" s="1" t="s">
        <v>15</v>
      </c>
      <c r="G1830" s="10">
        <v>45340.55</v>
      </c>
      <c r="H1830" s="1" t="s">
        <v>40</v>
      </c>
      <c r="I1830" t="s">
        <v>13</v>
      </c>
      <c r="J1830" t="s">
        <v>14</v>
      </c>
    </row>
    <row r="1831" spans="1:10" x14ac:dyDescent="0.35">
      <c r="A1831">
        <v>1830</v>
      </c>
      <c r="B1831" s="1" t="s">
        <v>25</v>
      </c>
      <c r="C1831">
        <v>2004</v>
      </c>
      <c r="D1831" s="4">
        <v>2.5</v>
      </c>
      <c r="E1831" s="5">
        <v>292527</v>
      </c>
      <c r="F1831" s="1" t="s">
        <v>15</v>
      </c>
      <c r="G1831" s="10">
        <v>17876.400000000001</v>
      </c>
      <c r="H1831" s="1" t="s">
        <v>49</v>
      </c>
      <c r="I1831" t="s">
        <v>52</v>
      </c>
      <c r="J1831" t="s">
        <v>22</v>
      </c>
    </row>
    <row r="1832" spans="1:10" x14ac:dyDescent="0.35">
      <c r="A1832">
        <v>1831</v>
      </c>
      <c r="B1832" s="1" t="s">
        <v>29</v>
      </c>
      <c r="C1832">
        <v>2016</v>
      </c>
      <c r="D1832" s="4">
        <v>1.4</v>
      </c>
      <c r="E1832" s="5">
        <v>142857</v>
      </c>
      <c r="F1832" s="1" t="s">
        <v>11</v>
      </c>
      <c r="G1832" s="10">
        <v>44502.559999999998</v>
      </c>
      <c r="H1832" s="1" t="s">
        <v>43</v>
      </c>
      <c r="I1832" t="s">
        <v>13</v>
      </c>
      <c r="J1832" t="s">
        <v>14</v>
      </c>
    </row>
    <row r="1833" spans="1:10" x14ac:dyDescent="0.35">
      <c r="A1833">
        <v>1832</v>
      </c>
      <c r="B1833" s="1" t="s">
        <v>35</v>
      </c>
      <c r="C1833">
        <v>2022</v>
      </c>
      <c r="D1833" s="4">
        <v>5.6</v>
      </c>
      <c r="E1833" s="5">
        <v>40910</v>
      </c>
      <c r="F1833" s="1" t="s">
        <v>11</v>
      </c>
      <c r="G1833" s="10">
        <v>19133.189999999999</v>
      </c>
      <c r="H1833" s="1" t="s">
        <v>36</v>
      </c>
      <c r="I1833" t="s">
        <v>13</v>
      </c>
      <c r="J1833" t="s">
        <v>14</v>
      </c>
    </row>
    <row r="1834" spans="1:10" x14ac:dyDescent="0.35">
      <c r="A1834">
        <v>1833</v>
      </c>
      <c r="B1834" s="1" t="s">
        <v>25</v>
      </c>
      <c r="C1834">
        <v>2000</v>
      </c>
      <c r="D1834" s="4">
        <v>1</v>
      </c>
      <c r="E1834" s="5">
        <v>170100</v>
      </c>
      <c r="F1834" s="1" t="s">
        <v>16</v>
      </c>
      <c r="G1834" s="10">
        <v>67396.710000000006</v>
      </c>
      <c r="H1834" s="1" t="s">
        <v>44</v>
      </c>
      <c r="I1834" t="s">
        <v>53</v>
      </c>
      <c r="J1834" t="s">
        <v>14</v>
      </c>
    </row>
    <row r="1835" spans="1:10" x14ac:dyDescent="0.35">
      <c r="A1835">
        <v>1834</v>
      </c>
      <c r="B1835" s="1" t="s">
        <v>20</v>
      </c>
      <c r="C1835">
        <v>2023</v>
      </c>
      <c r="D1835" s="4">
        <v>3.4</v>
      </c>
      <c r="E1835" s="5">
        <v>155927</v>
      </c>
      <c r="F1835" s="1" t="s">
        <v>16</v>
      </c>
      <c r="G1835" s="10">
        <v>79597.990000000005</v>
      </c>
      <c r="H1835" s="1" t="s">
        <v>39</v>
      </c>
      <c r="I1835" t="s">
        <v>52</v>
      </c>
      <c r="J1835" t="s">
        <v>22</v>
      </c>
    </row>
    <row r="1836" spans="1:10" x14ac:dyDescent="0.35">
      <c r="A1836">
        <v>1835</v>
      </c>
      <c r="B1836" s="1" t="s">
        <v>35</v>
      </c>
      <c r="C1836">
        <v>2022</v>
      </c>
      <c r="D1836" s="4">
        <v>1.6</v>
      </c>
      <c r="E1836" s="5">
        <v>286425</v>
      </c>
      <c r="F1836" s="1" t="s">
        <v>16</v>
      </c>
      <c r="G1836" s="10">
        <v>57204.66</v>
      </c>
      <c r="H1836" s="1" t="s">
        <v>47</v>
      </c>
      <c r="I1836" t="s">
        <v>52</v>
      </c>
      <c r="J1836" t="s">
        <v>14</v>
      </c>
    </row>
    <row r="1837" spans="1:10" x14ac:dyDescent="0.35">
      <c r="A1837">
        <v>1836</v>
      </c>
      <c r="B1837" s="1" t="s">
        <v>25</v>
      </c>
      <c r="C1837">
        <v>2009</v>
      </c>
      <c r="D1837" s="4">
        <v>2.5</v>
      </c>
      <c r="E1837" s="5">
        <v>4841</v>
      </c>
      <c r="F1837" s="1" t="s">
        <v>11</v>
      </c>
      <c r="G1837" s="10">
        <v>69605.399999999994</v>
      </c>
      <c r="H1837" s="1" t="s">
        <v>41</v>
      </c>
      <c r="I1837" t="s">
        <v>52</v>
      </c>
      <c r="J1837" t="s">
        <v>22</v>
      </c>
    </row>
    <row r="1838" spans="1:10" x14ac:dyDescent="0.35">
      <c r="A1838">
        <v>1837</v>
      </c>
      <c r="B1838" s="1" t="s">
        <v>20</v>
      </c>
      <c r="C1838">
        <v>2014</v>
      </c>
      <c r="D1838" s="4">
        <v>5.6</v>
      </c>
      <c r="E1838" s="5">
        <v>97204</v>
      </c>
      <c r="F1838" s="1" t="s">
        <v>15</v>
      </c>
      <c r="G1838" s="10">
        <v>94145.98</v>
      </c>
      <c r="H1838" s="1" t="s">
        <v>46</v>
      </c>
      <c r="I1838" t="s">
        <v>53</v>
      </c>
      <c r="J1838" t="s">
        <v>22</v>
      </c>
    </row>
    <row r="1839" spans="1:10" x14ac:dyDescent="0.35">
      <c r="A1839">
        <v>1838</v>
      </c>
      <c r="B1839" s="1" t="s">
        <v>27</v>
      </c>
      <c r="C1839">
        <v>2022</v>
      </c>
      <c r="D1839" s="4">
        <v>1.8</v>
      </c>
      <c r="E1839" s="5">
        <v>60155</v>
      </c>
      <c r="F1839" s="1" t="s">
        <v>11</v>
      </c>
      <c r="G1839" s="10">
        <v>65645.3</v>
      </c>
      <c r="H1839" s="1" t="s">
        <v>37</v>
      </c>
      <c r="I1839" t="s">
        <v>52</v>
      </c>
      <c r="J1839" t="s">
        <v>14</v>
      </c>
    </row>
    <row r="1840" spans="1:10" x14ac:dyDescent="0.35">
      <c r="A1840">
        <v>1839</v>
      </c>
      <c r="B1840" s="1" t="s">
        <v>29</v>
      </c>
      <c r="C1840">
        <v>2020</v>
      </c>
      <c r="D1840" s="4">
        <v>5.8</v>
      </c>
      <c r="E1840" s="5">
        <v>259589</v>
      </c>
      <c r="F1840" s="1" t="s">
        <v>15</v>
      </c>
      <c r="G1840" s="10">
        <v>39595.03</v>
      </c>
      <c r="H1840" s="1" t="s">
        <v>30</v>
      </c>
      <c r="I1840" t="s">
        <v>52</v>
      </c>
      <c r="J1840" t="s">
        <v>22</v>
      </c>
    </row>
    <row r="1841" spans="1:10" x14ac:dyDescent="0.35">
      <c r="A1841">
        <v>1840</v>
      </c>
      <c r="B1841" s="1" t="s">
        <v>20</v>
      </c>
      <c r="C1841">
        <v>2020</v>
      </c>
      <c r="D1841" s="4">
        <v>2</v>
      </c>
      <c r="E1841" s="5">
        <v>261140</v>
      </c>
      <c r="F1841" s="1" t="s">
        <v>11</v>
      </c>
      <c r="G1841" s="10">
        <v>47700.62</v>
      </c>
      <c r="H1841" s="1" t="s">
        <v>21</v>
      </c>
      <c r="I1841" t="s">
        <v>13</v>
      </c>
      <c r="J1841" t="s">
        <v>22</v>
      </c>
    </row>
    <row r="1842" spans="1:10" x14ac:dyDescent="0.35">
      <c r="A1842">
        <v>1841</v>
      </c>
      <c r="B1842" s="1" t="s">
        <v>10</v>
      </c>
      <c r="C1842">
        <v>2010</v>
      </c>
      <c r="D1842" s="4">
        <v>4.7</v>
      </c>
      <c r="E1842" s="5">
        <v>148515</v>
      </c>
      <c r="F1842" s="1" t="s">
        <v>11</v>
      </c>
      <c r="G1842" s="10">
        <v>86749.9</v>
      </c>
      <c r="H1842" s="1" t="s">
        <v>17</v>
      </c>
      <c r="I1842" t="s">
        <v>13</v>
      </c>
      <c r="J1842" t="s">
        <v>14</v>
      </c>
    </row>
    <row r="1843" spans="1:10" x14ac:dyDescent="0.35">
      <c r="A1843">
        <v>1842</v>
      </c>
      <c r="B1843" s="1" t="s">
        <v>23</v>
      </c>
      <c r="C1843">
        <v>2012</v>
      </c>
      <c r="D1843" s="4">
        <v>3.7</v>
      </c>
      <c r="E1843" s="5">
        <v>132994</v>
      </c>
      <c r="F1843" s="1" t="s">
        <v>16</v>
      </c>
      <c r="G1843" s="10">
        <v>17418.43</v>
      </c>
      <c r="H1843" s="1" t="s">
        <v>42</v>
      </c>
      <c r="I1843" t="s">
        <v>52</v>
      </c>
      <c r="J1843" t="s">
        <v>14</v>
      </c>
    </row>
    <row r="1844" spans="1:10" x14ac:dyDescent="0.35">
      <c r="A1844">
        <v>1843</v>
      </c>
      <c r="B1844" s="1" t="s">
        <v>20</v>
      </c>
      <c r="C1844">
        <v>2004</v>
      </c>
      <c r="D1844" s="4">
        <v>5.4</v>
      </c>
      <c r="E1844" s="5">
        <v>294120</v>
      </c>
      <c r="F1844" s="1" t="s">
        <v>15</v>
      </c>
      <c r="G1844" s="10">
        <v>35945.019999999997</v>
      </c>
      <c r="H1844" s="1" t="s">
        <v>39</v>
      </c>
      <c r="I1844" t="s">
        <v>51</v>
      </c>
      <c r="J1844" t="s">
        <v>14</v>
      </c>
    </row>
    <row r="1845" spans="1:10" x14ac:dyDescent="0.35">
      <c r="A1845">
        <v>1844</v>
      </c>
      <c r="B1845" s="1" t="s">
        <v>20</v>
      </c>
      <c r="C1845">
        <v>2000</v>
      </c>
      <c r="D1845" s="4">
        <v>3.8</v>
      </c>
      <c r="E1845" s="5">
        <v>143063</v>
      </c>
      <c r="F1845" s="1" t="s">
        <v>11</v>
      </c>
      <c r="G1845" s="10">
        <v>59841.61</v>
      </c>
      <c r="H1845" s="1" t="s">
        <v>33</v>
      </c>
      <c r="I1845" t="s">
        <v>51</v>
      </c>
      <c r="J1845" t="s">
        <v>14</v>
      </c>
    </row>
    <row r="1846" spans="1:10" x14ac:dyDescent="0.35">
      <c r="A1846">
        <v>1845</v>
      </c>
      <c r="B1846" s="1" t="s">
        <v>29</v>
      </c>
      <c r="C1846">
        <v>2023</v>
      </c>
      <c r="D1846" s="4">
        <v>3.7</v>
      </c>
      <c r="E1846" s="5">
        <v>104405</v>
      </c>
      <c r="F1846" s="1" t="s">
        <v>11</v>
      </c>
      <c r="G1846" s="10">
        <v>69257.009999999995</v>
      </c>
      <c r="H1846" s="1" t="s">
        <v>38</v>
      </c>
      <c r="I1846" t="s">
        <v>52</v>
      </c>
      <c r="J1846" t="s">
        <v>14</v>
      </c>
    </row>
    <row r="1847" spans="1:10" x14ac:dyDescent="0.35">
      <c r="A1847">
        <v>1846</v>
      </c>
      <c r="B1847" s="1" t="s">
        <v>23</v>
      </c>
      <c r="C1847">
        <v>2011</v>
      </c>
      <c r="D1847" s="4">
        <v>2</v>
      </c>
      <c r="E1847" s="5">
        <v>53744</v>
      </c>
      <c r="F1847" s="1" t="s">
        <v>15</v>
      </c>
      <c r="G1847" s="10">
        <v>77532.41</v>
      </c>
      <c r="H1847" s="1" t="s">
        <v>34</v>
      </c>
      <c r="I1847" t="s">
        <v>51</v>
      </c>
      <c r="J1847" t="s">
        <v>14</v>
      </c>
    </row>
    <row r="1848" spans="1:10" x14ac:dyDescent="0.35">
      <c r="A1848">
        <v>1847</v>
      </c>
      <c r="B1848" s="1" t="s">
        <v>10</v>
      </c>
      <c r="C1848">
        <v>2010</v>
      </c>
      <c r="D1848" s="4">
        <v>1.8</v>
      </c>
      <c r="E1848" s="5">
        <v>2473</v>
      </c>
      <c r="F1848" s="1" t="s">
        <v>11</v>
      </c>
      <c r="G1848" s="10">
        <v>35229.65</v>
      </c>
      <c r="H1848" s="1" t="s">
        <v>18</v>
      </c>
      <c r="I1848" t="s">
        <v>13</v>
      </c>
      <c r="J1848" t="s">
        <v>14</v>
      </c>
    </row>
    <row r="1849" spans="1:10" x14ac:dyDescent="0.35">
      <c r="A1849">
        <v>1848</v>
      </c>
      <c r="B1849" s="1" t="s">
        <v>25</v>
      </c>
      <c r="C1849">
        <v>2016</v>
      </c>
      <c r="D1849" s="4">
        <v>5.6</v>
      </c>
      <c r="E1849" s="5">
        <v>139180</v>
      </c>
      <c r="F1849" s="1" t="s">
        <v>15</v>
      </c>
      <c r="G1849" s="10">
        <v>18856.62</v>
      </c>
      <c r="H1849" s="1" t="s">
        <v>49</v>
      </c>
      <c r="I1849" t="s">
        <v>13</v>
      </c>
      <c r="J1849" t="s">
        <v>14</v>
      </c>
    </row>
    <row r="1850" spans="1:10" x14ac:dyDescent="0.35">
      <c r="A1850">
        <v>1849</v>
      </c>
      <c r="B1850" s="1" t="s">
        <v>25</v>
      </c>
      <c r="C1850">
        <v>2003</v>
      </c>
      <c r="D1850" s="4">
        <v>2.6</v>
      </c>
      <c r="E1850" s="5">
        <v>28715</v>
      </c>
      <c r="F1850" s="1" t="s">
        <v>16</v>
      </c>
      <c r="G1850" s="10">
        <v>95709.72</v>
      </c>
      <c r="H1850" s="1" t="s">
        <v>49</v>
      </c>
      <c r="I1850" t="s">
        <v>53</v>
      </c>
      <c r="J1850" t="s">
        <v>14</v>
      </c>
    </row>
    <row r="1851" spans="1:10" x14ac:dyDescent="0.35">
      <c r="A1851">
        <v>1850</v>
      </c>
      <c r="B1851" s="1" t="s">
        <v>20</v>
      </c>
      <c r="C1851">
        <v>2014</v>
      </c>
      <c r="D1851" s="4">
        <v>2.9</v>
      </c>
      <c r="E1851" s="5">
        <v>244826</v>
      </c>
      <c r="F1851" s="1" t="s">
        <v>16</v>
      </c>
      <c r="G1851" s="10">
        <v>12257.26</v>
      </c>
      <c r="H1851" s="1" t="s">
        <v>21</v>
      </c>
      <c r="I1851" t="s">
        <v>13</v>
      </c>
      <c r="J1851" t="s">
        <v>22</v>
      </c>
    </row>
    <row r="1852" spans="1:10" x14ac:dyDescent="0.35">
      <c r="A1852">
        <v>1851</v>
      </c>
      <c r="B1852" s="1" t="s">
        <v>23</v>
      </c>
      <c r="C1852">
        <v>2008</v>
      </c>
      <c r="D1852" s="4">
        <v>4.8</v>
      </c>
      <c r="E1852" s="5">
        <v>253856</v>
      </c>
      <c r="F1852" s="1" t="s">
        <v>15</v>
      </c>
      <c r="G1852" s="10">
        <v>14101.51</v>
      </c>
      <c r="H1852" s="1" t="s">
        <v>32</v>
      </c>
      <c r="I1852" t="s">
        <v>51</v>
      </c>
      <c r="J1852" t="s">
        <v>14</v>
      </c>
    </row>
    <row r="1853" spans="1:10" x14ac:dyDescent="0.35">
      <c r="A1853">
        <v>1852</v>
      </c>
      <c r="B1853" s="1" t="s">
        <v>23</v>
      </c>
      <c r="C1853">
        <v>2020</v>
      </c>
      <c r="D1853" s="4">
        <v>2.7</v>
      </c>
      <c r="E1853" s="5">
        <v>239419</v>
      </c>
      <c r="F1853" s="1" t="s">
        <v>16</v>
      </c>
      <c r="G1853" s="10">
        <v>52019.54</v>
      </c>
      <c r="H1853" s="1" t="s">
        <v>42</v>
      </c>
      <c r="I1853" t="s">
        <v>51</v>
      </c>
      <c r="J1853" t="s">
        <v>22</v>
      </c>
    </row>
    <row r="1854" spans="1:10" x14ac:dyDescent="0.35">
      <c r="A1854">
        <v>1853</v>
      </c>
      <c r="B1854" s="1" t="s">
        <v>10</v>
      </c>
      <c r="C1854">
        <v>2019</v>
      </c>
      <c r="D1854" s="4">
        <v>5.8</v>
      </c>
      <c r="E1854" s="5">
        <v>252508</v>
      </c>
      <c r="F1854" s="1" t="s">
        <v>15</v>
      </c>
      <c r="G1854" s="10">
        <v>82830.75</v>
      </c>
      <c r="H1854" s="1" t="s">
        <v>19</v>
      </c>
      <c r="I1854" t="s">
        <v>13</v>
      </c>
      <c r="J1854" t="s">
        <v>14</v>
      </c>
    </row>
    <row r="1855" spans="1:10" x14ac:dyDescent="0.35">
      <c r="A1855">
        <v>1854</v>
      </c>
      <c r="B1855" s="1" t="s">
        <v>29</v>
      </c>
      <c r="C1855">
        <v>2018</v>
      </c>
      <c r="D1855" s="4">
        <v>4.7</v>
      </c>
      <c r="E1855" s="5">
        <v>299461</v>
      </c>
      <c r="F1855" s="1" t="s">
        <v>11</v>
      </c>
      <c r="G1855" s="10">
        <v>78577.89</v>
      </c>
      <c r="H1855" s="1" t="s">
        <v>30</v>
      </c>
      <c r="I1855" t="s">
        <v>51</v>
      </c>
      <c r="J1855" t="s">
        <v>14</v>
      </c>
    </row>
    <row r="1856" spans="1:10" x14ac:dyDescent="0.35">
      <c r="A1856">
        <v>1855</v>
      </c>
      <c r="B1856" s="1" t="s">
        <v>27</v>
      </c>
      <c r="C1856">
        <v>2018</v>
      </c>
      <c r="D1856" s="4">
        <v>4</v>
      </c>
      <c r="E1856" s="5">
        <v>164434</v>
      </c>
      <c r="F1856" s="1" t="s">
        <v>11</v>
      </c>
      <c r="G1856" s="10">
        <v>94081.43</v>
      </c>
      <c r="H1856" s="1" t="s">
        <v>40</v>
      </c>
      <c r="I1856" t="s">
        <v>51</v>
      </c>
      <c r="J1856" t="s">
        <v>22</v>
      </c>
    </row>
    <row r="1857" spans="1:10" x14ac:dyDescent="0.35">
      <c r="A1857">
        <v>1856</v>
      </c>
      <c r="B1857" s="1" t="s">
        <v>25</v>
      </c>
      <c r="C1857">
        <v>2011</v>
      </c>
      <c r="D1857" s="4">
        <v>5.4</v>
      </c>
      <c r="E1857" s="5">
        <v>54604</v>
      </c>
      <c r="F1857" s="1" t="s">
        <v>15</v>
      </c>
      <c r="G1857" s="10">
        <v>18452.240000000002</v>
      </c>
      <c r="H1857" s="1" t="s">
        <v>41</v>
      </c>
      <c r="I1857" t="s">
        <v>52</v>
      </c>
      <c r="J1857" t="s">
        <v>14</v>
      </c>
    </row>
    <row r="1858" spans="1:10" x14ac:dyDescent="0.35">
      <c r="A1858">
        <v>1857</v>
      </c>
      <c r="B1858" s="1" t="s">
        <v>29</v>
      </c>
      <c r="C1858">
        <v>2004</v>
      </c>
      <c r="D1858" s="4">
        <v>1.2</v>
      </c>
      <c r="E1858" s="5">
        <v>4889</v>
      </c>
      <c r="F1858" s="1" t="s">
        <v>11</v>
      </c>
      <c r="G1858" s="10">
        <v>40694.089999999997</v>
      </c>
      <c r="H1858" s="1" t="s">
        <v>31</v>
      </c>
      <c r="I1858" t="s">
        <v>52</v>
      </c>
      <c r="J1858" t="s">
        <v>22</v>
      </c>
    </row>
    <row r="1859" spans="1:10" x14ac:dyDescent="0.35">
      <c r="A1859">
        <v>1858</v>
      </c>
      <c r="B1859" s="1" t="s">
        <v>35</v>
      </c>
      <c r="C1859">
        <v>2009</v>
      </c>
      <c r="D1859" s="4">
        <v>2.2999999999999998</v>
      </c>
      <c r="E1859" s="5">
        <v>220629</v>
      </c>
      <c r="F1859" s="1" t="s">
        <v>16</v>
      </c>
      <c r="G1859" s="10">
        <v>31803.5</v>
      </c>
      <c r="H1859" s="1" t="s">
        <v>36</v>
      </c>
      <c r="I1859" t="s">
        <v>13</v>
      </c>
      <c r="J1859" t="s">
        <v>14</v>
      </c>
    </row>
    <row r="1860" spans="1:10" x14ac:dyDescent="0.35">
      <c r="A1860">
        <v>1859</v>
      </c>
      <c r="B1860" s="1" t="s">
        <v>25</v>
      </c>
      <c r="C1860">
        <v>2016</v>
      </c>
      <c r="D1860" s="4">
        <v>3.3</v>
      </c>
      <c r="E1860" s="5">
        <v>294115</v>
      </c>
      <c r="F1860" s="1" t="s">
        <v>11</v>
      </c>
      <c r="G1860" s="10">
        <v>86782.66</v>
      </c>
      <c r="H1860" s="1" t="s">
        <v>26</v>
      </c>
      <c r="I1860" t="s">
        <v>51</v>
      </c>
      <c r="J1860" t="s">
        <v>14</v>
      </c>
    </row>
    <row r="1861" spans="1:10" x14ac:dyDescent="0.35">
      <c r="A1861">
        <v>1860</v>
      </c>
      <c r="B1861" s="1" t="s">
        <v>29</v>
      </c>
      <c r="C1861">
        <v>2004</v>
      </c>
      <c r="D1861" s="4">
        <v>2.1</v>
      </c>
      <c r="E1861" s="5">
        <v>50551</v>
      </c>
      <c r="F1861" s="1" t="s">
        <v>11</v>
      </c>
      <c r="G1861" s="10">
        <v>51393.69</v>
      </c>
      <c r="H1861" s="1" t="s">
        <v>31</v>
      </c>
      <c r="I1861" t="s">
        <v>13</v>
      </c>
      <c r="J1861" t="s">
        <v>22</v>
      </c>
    </row>
    <row r="1862" spans="1:10" x14ac:dyDescent="0.35">
      <c r="A1862">
        <v>1861</v>
      </c>
      <c r="B1862" s="1" t="s">
        <v>25</v>
      </c>
      <c r="C1862">
        <v>2021</v>
      </c>
      <c r="D1862" s="4">
        <v>4.7</v>
      </c>
      <c r="E1862" s="5">
        <v>134273</v>
      </c>
      <c r="F1862" s="1" t="s">
        <v>15</v>
      </c>
      <c r="G1862" s="10">
        <v>7550.55</v>
      </c>
      <c r="H1862" s="1" t="s">
        <v>26</v>
      </c>
      <c r="I1862" t="s">
        <v>13</v>
      </c>
      <c r="J1862" t="s">
        <v>14</v>
      </c>
    </row>
    <row r="1863" spans="1:10" x14ac:dyDescent="0.35">
      <c r="A1863">
        <v>1862</v>
      </c>
      <c r="B1863" s="1" t="s">
        <v>27</v>
      </c>
      <c r="C1863">
        <v>2015</v>
      </c>
      <c r="D1863" s="4">
        <v>5.6</v>
      </c>
      <c r="E1863" s="5">
        <v>237230</v>
      </c>
      <c r="F1863" s="1" t="s">
        <v>16</v>
      </c>
      <c r="G1863" s="10">
        <v>72256.62</v>
      </c>
      <c r="H1863" s="1" t="s">
        <v>37</v>
      </c>
      <c r="I1863" t="s">
        <v>53</v>
      </c>
      <c r="J1863" t="s">
        <v>14</v>
      </c>
    </row>
    <row r="1864" spans="1:10" x14ac:dyDescent="0.35">
      <c r="A1864">
        <v>1863</v>
      </c>
      <c r="B1864" s="1" t="s">
        <v>35</v>
      </c>
      <c r="C1864">
        <v>2006</v>
      </c>
      <c r="D1864" s="4">
        <v>3.1</v>
      </c>
      <c r="E1864" s="5">
        <v>236139</v>
      </c>
      <c r="F1864" s="1" t="s">
        <v>11</v>
      </c>
      <c r="G1864" s="10">
        <v>41926.32</v>
      </c>
      <c r="H1864" s="1" t="s">
        <v>47</v>
      </c>
      <c r="I1864" t="s">
        <v>51</v>
      </c>
      <c r="J1864" t="s">
        <v>22</v>
      </c>
    </row>
    <row r="1865" spans="1:10" x14ac:dyDescent="0.35">
      <c r="A1865">
        <v>1864</v>
      </c>
      <c r="B1865" s="1" t="s">
        <v>27</v>
      </c>
      <c r="C1865">
        <v>2008</v>
      </c>
      <c r="D1865" s="4">
        <v>2.7</v>
      </c>
      <c r="E1865" s="5">
        <v>108957</v>
      </c>
      <c r="F1865" s="1" t="s">
        <v>11</v>
      </c>
      <c r="G1865" s="10">
        <v>55458.94</v>
      </c>
      <c r="H1865" s="1" t="s">
        <v>28</v>
      </c>
      <c r="I1865" t="s">
        <v>51</v>
      </c>
      <c r="J1865" t="s">
        <v>14</v>
      </c>
    </row>
    <row r="1866" spans="1:10" x14ac:dyDescent="0.35">
      <c r="A1866">
        <v>1865</v>
      </c>
      <c r="B1866" s="1" t="s">
        <v>10</v>
      </c>
      <c r="C1866">
        <v>2002</v>
      </c>
      <c r="D1866" s="4">
        <v>5.8</v>
      </c>
      <c r="E1866" s="5">
        <v>89882</v>
      </c>
      <c r="F1866" s="1" t="s">
        <v>15</v>
      </c>
      <c r="G1866" s="10">
        <v>89909.81</v>
      </c>
      <c r="H1866" s="1" t="s">
        <v>12</v>
      </c>
      <c r="I1866" t="s">
        <v>13</v>
      </c>
      <c r="J1866" t="s">
        <v>14</v>
      </c>
    </row>
    <row r="1867" spans="1:10" x14ac:dyDescent="0.35">
      <c r="A1867">
        <v>1866</v>
      </c>
      <c r="B1867" s="1" t="s">
        <v>35</v>
      </c>
      <c r="C1867">
        <v>2014</v>
      </c>
      <c r="D1867" s="4">
        <v>3.2</v>
      </c>
      <c r="E1867" s="5">
        <v>210323</v>
      </c>
      <c r="F1867" s="1" t="s">
        <v>15</v>
      </c>
      <c r="G1867" s="10">
        <v>29390.09</v>
      </c>
      <c r="H1867" s="1" t="s">
        <v>50</v>
      </c>
      <c r="I1867" t="s">
        <v>13</v>
      </c>
      <c r="J1867" t="s">
        <v>14</v>
      </c>
    </row>
    <row r="1868" spans="1:10" x14ac:dyDescent="0.35">
      <c r="A1868">
        <v>1867</v>
      </c>
      <c r="B1868" s="1" t="s">
        <v>20</v>
      </c>
      <c r="C1868">
        <v>2015</v>
      </c>
      <c r="D1868" s="4">
        <v>3.4</v>
      </c>
      <c r="E1868" s="5">
        <v>267825</v>
      </c>
      <c r="F1868" s="1" t="s">
        <v>16</v>
      </c>
      <c r="G1868" s="10">
        <v>27825.14</v>
      </c>
      <c r="H1868" s="1" t="s">
        <v>39</v>
      </c>
      <c r="I1868" t="s">
        <v>51</v>
      </c>
      <c r="J1868" t="s">
        <v>22</v>
      </c>
    </row>
    <row r="1869" spans="1:10" x14ac:dyDescent="0.35">
      <c r="A1869">
        <v>1868</v>
      </c>
      <c r="B1869" s="1" t="s">
        <v>29</v>
      </c>
      <c r="C1869">
        <v>2017</v>
      </c>
      <c r="D1869" s="4">
        <v>2.8</v>
      </c>
      <c r="E1869" s="5">
        <v>101982</v>
      </c>
      <c r="F1869" s="1" t="s">
        <v>11</v>
      </c>
      <c r="G1869" s="10">
        <v>30003.29</v>
      </c>
      <c r="H1869" s="1" t="s">
        <v>30</v>
      </c>
      <c r="I1869" t="s">
        <v>13</v>
      </c>
      <c r="J1869" t="s">
        <v>14</v>
      </c>
    </row>
    <row r="1870" spans="1:10" x14ac:dyDescent="0.35">
      <c r="A1870">
        <v>1869</v>
      </c>
      <c r="B1870" s="1" t="s">
        <v>35</v>
      </c>
      <c r="C1870">
        <v>2013</v>
      </c>
      <c r="D1870" s="4">
        <v>5.5</v>
      </c>
      <c r="E1870" s="5">
        <v>46870</v>
      </c>
      <c r="F1870" s="1" t="s">
        <v>15</v>
      </c>
      <c r="G1870" s="10">
        <v>37120.26</v>
      </c>
      <c r="H1870" s="1" t="s">
        <v>36</v>
      </c>
      <c r="I1870" t="s">
        <v>53</v>
      </c>
      <c r="J1870" t="s">
        <v>22</v>
      </c>
    </row>
    <row r="1871" spans="1:10" x14ac:dyDescent="0.35">
      <c r="A1871">
        <v>1870</v>
      </c>
      <c r="B1871" s="1" t="s">
        <v>10</v>
      </c>
      <c r="C1871">
        <v>2002</v>
      </c>
      <c r="D1871" s="4">
        <v>3.8</v>
      </c>
      <c r="E1871" s="5">
        <v>213328</v>
      </c>
      <c r="F1871" s="1" t="s">
        <v>15</v>
      </c>
      <c r="G1871" s="10">
        <v>15198.63</v>
      </c>
      <c r="H1871" s="1" t="s">
        <v>12</v>
      </c>
      <c r="I1871" t="s">
        <v>13</v>
      </c>
      <c r="J1871" t="s">
        <v>14</v>
      </c>
    </row>
    <row r="1872" spans="1:10" x14ac:dyDescent="0.35">
      <c r="A1872">
        <v>1871</v>
      </c>
      <c r="B1872" s="1" t="s">
        <v>10</v>
      </c>
      <c r="C1872">
        <v>2011</v>
      </c>
      <c r="D1872" s="4">
        <v>4.8</v>
      </c>
      <c r="E1872" s="5">
        <v>159224</v>
      </c>
      <c r="F1872" s="1" t="s">
        <v>15</v>
      </c>
      <c r="G1872" s="10">
        <v>71235.87</v>
      </c>
      <c r="H1872" s="1" t="s">
        <v>17</v>
      </c>
      <c r="I1872" t="s">
        <v>13</v>
      </c>
      <c r="J1872" t="s">
        <v>14</v>
      </c>
    </row>
    <row r="1873" spans="1:10" x14ac:dyDescent="0.35">
      <c r="A1873">
        <v>1872</v>
      </c>
      <c r="B1873" s="1" t="s">
        <v>27</v>
      </c>
      <c r="C1873">
        <v>2008</v>
      </c>
      <c r="D1873" s="4">
        <v>5.0999999999999996</v>
      </c>
      <c r="E1873" s="5">
        <v>50061</v>
      </c>
      <c r="F1873" s="1" t="s">
        <v>16</v>
      </c>
      <c r="G1873" s="10">
        <v>24702.880000000001</v>
      </c>
      <c r="H1873" s="1" t="s">
        <v>37</v>
      </c>
      <c r="I1873" t="s">
        <v>51</v>
      </c>
      <c r="J1873" t="s">
        <v>14</v>
      </c>
    </row>
    <row r="1874" spans="1:10" x14ac:dyDescent="0.35">
      <c r="A1874">
        <v>1873</v>
      </c>
      <c r="B1874" s="1" t="s">
        <v>25</v>
      </c>
      <c r="C1874">
        <v>2006</v>
      </c>
      <c r="D1874" s="4">
        <v>2.7</v>
      </c>
      <c r="E1874" s="5">
        <v>188691</v>
      </c>
      <c r="F1874" s="1" t="s">
        <v>15</v>
      </c>
      <c r="G1874" s="10">
        <v>92983.85</v>
      </c>
      <c r="H1874" s="1" t="s">
        <v>41</v>
      </c>
      <c r="I1874" t="s">
        <v>52</v>
      </c>
      <c r="J1874" t="s">
        <v>22</v>
      </c>
    </row>
    <row r="1875" spans="1:10" x14ac:dyDescent="0.35">
      <c r="A1875">
        <v>1874</v>
      </c>
      <c r="B1875" s="1" t="s">
        <v>35</v>
      </c>
      <c r="C1875">
        <v>2008</v>
      </c>
      <c r="D1875" s="4">
        <v>3.2</v>
      </c>
      <c r="E1875" s="5">
        <v>58235</v>
      </c>
      <c r="F1875" s="1" t="s">
        <v>16</v>
      </c>
      <c r="G1875" s="10">
        <v>25490.2</v>
      </c>
      <c r="H1875" s="1" t="s">
        <v>45</v>
      </c>
      <c r="I1875" t="s">
        <v>13</v>
      </c>
      <c r="J1875" t="s">
        <v>14</v>
      </c>
    </row>
    <row r="1876" spans="1:10" x14ac:dyDescent="0.35">
      <c r="A1876">
        <v>1875</v>
      </c>
      <c r="B1876" s="1" t="s">
        <v>29</v>
      </c>
      <c r="C1876">
        <v>2012</v>
      </c>
      <c r="D1876" s="4">
        <v>5.2</v>
      </c>
      <c r="E1876" s="5">
        <v>90073</v>
      </c>
      <c r="F1876" s="1" t="s">
        <v>16</v>
      </c>
      <c r="G1876" s="10">
        <v>29285.99</v>
      </c>
      <c r="H1876" s="1" t="s">
        <v>31</v>
      </c>
      <c r="I1876" t="s">
        <v>13</v>
      </c>
      <c r="J1876" t="s">
        <v>22</v>
      </c>
    </row>
    <row r="1877" spans="1:10" x14ac:dyDescent="0.35">
      <c r="A1877">
        <v>1876</v>
      </c>
      <c r="B1877" s="1" t="s">
        <v>35</v>
      </c>
      <c r="C1877">
        <v>2017</v>
      </c>
      <c r="D1877" s="4">
        <v>2.8</v>
      </c>
      <c r="E1877" s="5">
        <v>11217</v>
      </c>
      <c r="F1877" s="1" t="s">
        <v>11</v>
      </c>
      <c r="G1877" s="10">
        <v>33216.92</v>
      </c>
      <c r="H1877" s="1" t="s">
        <v>50</v>
      </c>
      <c r="I1877" t="s">
        <v>52</v>
      </c>
      <c r="J1877" t="s">
        <v>14</v>
      </c>
    </row>
    <row r="1878" spans="1:10" x14ac:dyDescent="0.35">
      <c r="A1878">
        <v>1877</v>
      </c>
      <c r="B1878" s="1" t="s">
        <v>23</v>
      </c>
      <c r="C1878">
        <v>2004</v>
      </c>
      <c r="D1878" s="4">
        <v>5</v>
      </c>
      <c r="E1878" s="5">
        <v>295885</v>
      </c>
      <c r="F1878" s="1" t="s">
        <v>11</v>
      </c>
      <c r="G1878" s="10">
        <v>78011.12</v>
      </c>
      <c r="H1878" s="1" t="s">
        <v>32</v>
      </c>
      <c r="I1878" t="s">
        <v>52</v>
      </c>
      <c r="J1878" t="s">
        <v>14</v>
      </c>
    </row>
    <row r="1879" spans="1:10" x14ac:dyDescent="0.35">
      <c r="A1879">
        <v>1878</v>
      </c>
      <c r="B1879" s="1" t="s">
        <v>25</v>
      </c>
      <c r="C1879">
        <v>2012</v>
      </c>
      <c r="D1879" s="4">
        <v>5.7</v>
      </c>
      <c r="E1879" s="5">
        <v>192386</v>
      </c>
      <c r="F1879" s="1" t="s">
        <v>16</v>
      </c>
      <c r="G1879" s="10">
        <v>45622.62</v>
      </c>
      <c r="H1879" s="1" t="s">
        <v>44</v>
      </c>
      <c r="I1879" t="s">
        <v>52</v>
      </c>
      <c r="J1879" t="s">
        <v>22</v>
      </c>
    </row>
    <row r="1880" spans="1:10" x14ac:dyDescent="0.35">
      <c r="A1880">
        <v>1879</v>
      </c>
      <c r="B1880" s="1" t="s">
        <v>29</v>
      </c>
      <c r="C1880">
        <v>2003</v>
      </c>
      <c r="D1880" s="4">
        <v>4.0999999999999996</v>
      </c>
      <c r="E1880" s="5">
        <v>263552</v>
      </c>
      <c r="F1880" s="1" t="s">
        <v>11</v>
      </c>
      <c r="G1880" s="10">
        <v>82836.789999999994</v>
      </c>
      <c r="H1880" s="1" t="s">
        <v>38</v>
      </c>
      <c r="I1880" t="s">
        <v>51</v>
      </c>
      <c r="J1880" t="s">
        <v>22</v>
      </c>
    </row>
    <row r="1881" spans="1:10" x14ac:dyDescent="0.35">
      <c r="A1881">
        <v>1880</v>
      </c>
      <c r="B1881" s="1" t="s">
        <v>29</v>
      </c>
      <c r="C1881">
        <v>2001</v>
      </c>
      <c r="D1881" s="4">
        <v>4.7</v>
      </c>
      <c r="E1881" s="5">
        <v>42903</v>
      </c>
      <c r="F1881" s="1" t="s">
        <v>11</v>
      </c>
      <c r="G1881" s="10">
        <v>79561.100000000006</v>
      </c>
      <c r="H1881" s="1" t="s">
        <v>43</v>
      </c>
      <c r="I1881" t="s">
        <v>51</v>
      </c>
      <c r="J1881" t="s">
        <v>14</v>
      </c>
    </row>
    <row r="1882" spans="1:10" x14ac:dyDescent="0.35">
      <c r="A1882">
        <v>1881</v>
      </c>
      <c r="B1882" s="1" t="s">
        <v>20</v>
      </c>
      <c r="C1882">
        <v>2015</v>
      </c>
      <c r="D1882" s="4">
        <v>5</v>
      </c>
      <c r="E1882" s="5">
        <v>215280</v>
      </c>
      <c r="F1882" s="1" t="s">
        <v>15</v>
      </c>
      <c r="G1882" s="10">
        <v>93301.59</v>
      </c>
      <c r="H1882" s="1" t="s">
        <v>39</v>
      </c>
      <c r="I1882" t="s">
        <v>13</v>
      </c>
      <c r="J1882" t="s">
        <v>14</v>
      </c>
    </row>
    <row r="1883" spans="1:10" x14ac:dyDescent="0.35">
      <c r="A1883">
        <v>1882</v>
      </c>
      <c r="B1883" s="1" t="s">
        <v>27</v>
      </c>
      <c r="C1883">
        <v>2008</v>
      </c>
      <c r="D1883" s="4">
        <v>5.2</v>
      </c>
      <c r="E1883" s="5">
        <v>107042</v>
      </c>
      <c r="F1883" s="1" t="s">
        <v>11</v>
      </c>
      <c r="G1883" s="10">
        <v>76877.39</v>
      </c>
      <c r="H1883" s="1" t="s">
        <v>37</v>
      </c>
      <c r="I1883" t="s">
        <v>13</v>
      </c>
      <c r="J1883" t="s">
        <v>14</v>
      </c>
    </row>
    <row r="1884" spans="1:10" x14ac:dyDescent="0.35">
      <c r="A1884">
        <v>1883</v>
      </c>
      <c r="B1884" s="1" t="s">
        <v>20</v>
      </c>
      <c r="C1884">
        <v>2008</v>
      </c>
      <c r="D1884" s="4">
        <v>3</v>
      </c>
      <c r="E1884" s="5">
        <v>243725</v>
      </c>
      <c r="F1884" s="1" t="s">
        <v>16</v>
      </c>
      <c r="G1884" s="10">
        <v>9931.56</v>
      </c>
      <c r="H1884" s="1" t="s">
        <v>33</v>
      </c>
      <c r="I1884" t="s">
        <v>53</v>
      </c>
      <c r="J1884" t="s">
        <v>14</v>
      </c>
    </row>
    <row r="1885" spans="1:10" x14ac:dyDescent="0.35">
      <c r="A1885">
        <v>1884</v>
      </c>
      <c r="B1885" s="1" t="s">
        <v>29</v>
      </c>
      <c r="C1885">
        <v>2005</v>
      </c>
      <c r="D1885" s="4">
        <v>1.3</v>
      </c>
      <c r="E1885" s="5">
        <v>132290</v>
      </c>
      <c r="F1885" s="1" t="s">
        <v>11</v>
      </c>
      <c r="G1885" s="10">
        <v>84541.72</v>
      </c>
      <c r="H1885" s="1" t="s">
        <v>30</v>
      </c>
      <c r="I1885" t="s">
        <v>51</v>
      </c>
      <c r="J1885" t="s">
        <v>14</v>
      </c>
    </row>
    <row r="1886" spans="1:10" x14ac:dyDescent="0.35">
      <c r="A1886">
        <v>1885</v>
      </c>
      <c r="B1886" s="1" t="s">
        <v>25</v>
      </c>
      <c r="C1886">
        <v>2010</v>
      </c>
      <c r="D1886" s="4">
        <v>3</v>
      </c>
      <c r="E1886" s="5">
        <v>181644</v>
      </c>
      <c r="F1886" s="1" t="s">
        <v>15</v>
      </c>
      <c r="G1886" s="10">
        <v>94116.9</v>
      </c>
      <c r="H1886" s="1" t="s">
        <v>44</v>
      </c>
      <c r="I1886" t="s">
        <v>13</v>
      </c>
      <c r="J1886" t="s">
        <v>22</v>
      </c>
    </row>
    <row r="1887" spans="1:10" x14ac:dyDescent="0.35">
      <c r="A1887">
        <v>1886</v>
      </c>
      <c r="B1887" s="1" t="s">
        <v>35</v>
      </c>
      <c r="C1887">
        <v>2021</v>
      </c>
      <c r="D1887" s="4">
        <v>4.4000000000000004</v>
      </c>
      <c r="E1887" s="5">
        <v>109268</v>
      </c>
      <c r="F1887" s="1" t="s">
        <v>16</v>
      </c>
      <c r="G1887" s="10">
        <v>99400.47</v>
      </c>
      <c r="H1887" s="1" t="s">
        <v>47</v>
      </c>
      <c r="I1887" t="s">
        <v>52</v>
      </c>
      <c r="J1887" t="s">
        <v>14</v>
      </c>
    </row>
    <row r="1888" spans="1:10" x14ac:dyDescent="0.35">
      <c r="A1888">
        <v>1887</v>
      </c>
      <c r="B1888" s="1" t="s">
        <v>35</v>
      </c>
      <c r="C1888">
        <v>2023</v>
      </c>
      <c r="D1888" s="4">
        <v>3.3</v>
      </c>
      <c r="E1888" s="5">
        <v>30105</v>
      </c>
      <c r="F1888" s="1" t="s">
        <v>11</v>
      </c>
      <c r="G1888" s="10">
        <v>16900.419999999998</v>
      </c>
      <c r="H1888" s="1" t="s">
        <v>45</v>
      </c>
      <c r="I1888" t="s">
        <v>52</v>
      </c>
      <c r="J1888" t="s">
        <v>14</v>
      </c>
    </row>
    <row r="1889" spans="1:10" x14ac:dyDescent="0.35">
      <c r="A1889">
        <v>1888</v>
      </c>
      <c r="B1889" s="1" t="s">
        <v>25</v>
      </c>
      <c r="C1889">
        <v>2021</v>
      </c>
      <c r="D1889" s="4">
        <v>4.7</v>
      </c>
      <c r="E1889" s="5">
        <v>69634</v>
      </c>
      <c r="F1889" s="1" t="s">
        <v>16</v>
      </c>
      <c r="G1889" s="10">
        <v>63260.959999999999</v>
      </c>
      <c r="H1889" s="1" t="s">
        <v>41</v>
      </c>
      <c r="I1889" t="s">
        <v>51</v>
      </c>
      <c r="J1889" t="s">
        <v>22</v>
      </c>
    </row>
    <row r="1890" spans="1:10" x14ac:dyDescent="0.35">
      <c r="A1890">
        <v>1889</v>
      </c>
      <c r="B1890" s="1" t="s">
        <v>29</v>
      </c>
      <c r="C1890">
        <v>2000</v>
      </c>
      <c r="D1890" s="4">
        <v>2.8</v>
      </c>
      <c r="E1890" s="5">
        <v>138691</v>
      </c>
      <c r="F1890" s="1" t="s">
        <v>11</v>
      </c>
      <c r="G1890" s="10">
        <v>23948.57</v>
      </c>
      <c r="H1890" s="1" t="s">
        <v>30</v>
      </c>
      <c r="I1890" t="s">
        <v>52</v>
      </c>
      <c r="J1890" t="s">
        <v>22</v>
      </c>
    </row>
    <row r="1891" spans="1:10" x14ac:dyDescent="0.35">
      <c r="A1891">
        <v>1890</v>
      </c>
      <c r="B1891" s="1" t="s">
        <v>10</v>
      </c>
      <c r="C1891">
        <v>2003</v>
      </c>
      <c r="D1891" s="4">
        <v>4.2</v>
      </c>
      <c r="E1891" s="5">
        <v>18226</v>
      </c>
      <c r="F1891" s="1" t="s">
        <v>15</v>
      </c>
      <c r="G1891" s="10">
        <v>29938.42</v>
      </c>
      <c r="H1891" s="1" t="s">
        <v>18</v>
      </c>
      <c r="I1891" t="s">
        <v>13</v>
      </c>
      <c r="J1891" t="s">
        <v>14</v>
      </c>
    </row>
    <row r="1892" spans="1:10" x14ac:dyDescent="0.35">
      <c r="A1892">
        <v>1891</v>
      </c>
      <c r="B1892" s="1" t="s">
        <v>35</v>
      </c>
      <c r="C1892">
        <v>2012</v>
      </c>
      <c r="D1892" s="4">
        <v>1.9</v>
      </c>
      <c r="E1892" s="5">
        <v>25322</v>
      </c>
      <c r="F1892" s="1" t="s">
        <v>11</v>
      </c>
      <c r="G1892" s="10">
        <v>75830.509999999995</v>
      </c>
      <c r="H1892" s="1" t="s">
        <v>45</v>
      </c>
      <c r="I1892" t="s">
        <v>13</v>
      </c>
      <c r="J1892" t="s">
        <v>14</v>
      </c>
    </row>
    <row r="1893" spans="1:10" x14ac:dyDescent="0.35">
      <c r="A1893">
        <v>1892</v>
      </c>
      <c r="B1893" s="1" t="s">
        <v>10</v>
      </c>
      <c r="C1893">
        <v>2022</v>
      </c>
      <c r="D1893" s="4">
        <v>4.7</v>
      </c>
      <c r="E1893" s="5">
        <v>167284</v>
      </c>
      <c r="F1893" s="1" t="s">
        <v>16</v>
      </c>
      <c r="G1893" s="10">
        <v>97878.43</v>
      </c>
      <c r="H1893" s="1" t="s">
        <v>17</v>
      </c>
      <c r="I1893" t="s">
        <v>13</v>
      </c>
      <c r="J1893" t="s">
        <v>14</v>
      </c>
    </row>
    <row r="1894" spans="1:10" x14ac:dyDescent="0.35">
      <c r="A1894">
        <v>1893</v>
      </c>
      <c r="B1894" s="1" t="s">
        <v>35</v>
      </c>
      <c r="C1894">
        <v>2012</v>
      </c>
      <c r="D1894" s="4">
        <v>3.7</v>
      </c>
      <c r="E1894" s="5">
        <v>94835</v>
      </c>
      <c r="F1894" s="1" t="s">
        <v>16</v>
      </c>
      <c r="G1894" s="10">
        <v>61511.27</v>
      </c>
      <c r="H1894" s="1" t="s">
        <v>50</v>
      </c>
      <c r="I1894" t="s">
        <v>13</v>
      </c>
      <c r="J1894" t="s">
        <v>22</v>
      </c>
    </row>
    <row r="1895" spans="1:10" x14ac:dyDescent="0.35">
      <c r="A1895">
        <v>1894</v>
      </c>
      <c r="B1895" s="1" t="s">
        <v>35</v>
      </c>
      <c r="C1895">
        <v>2012</v>
      </c>
      <c r="D1895" s="4">
        <v>2</v>
      </c>
      <c r="E1895" s="5">
        <v>255027</v>
      </c>
      <c r="F1895" s="1" t="s">
        <v>16</v>
      </c>
      <c r="G1895" s="10">
        <v>85805.52</v>
      </c>
      <c r="H1895" s="1" t="s">
        <v>50</v>
      </c>
      <c r="I1895" t="s">
        <v>51</v>
      </c>
      <c r="J1895" t="s">
        <v>22</v>
      </c>
    </row>
    <row r="1896" spans="1:10" x14ac:dyDescent="0.35">
      <c r="A1896">
        <v>1895</v>
      </c>
      <c r="B1896" s="1" t="s">
        <v>27</v>
      </c>
      <c r="C1896">
        <v>2001</v>
      </c>
      <c r="D1896" s="4">
        <v>2.5</v>
      </c>
      <c r="E1896" s="5">
        <v>73079</v>
      </c>
      <c r="F1896" s="1" t="s">
        <v>11</v>
      </c>
      <c r="G1896" s="10">
        <v>5843.96</v>
      </c>
      <c r="H1896" s="1" t="s">
        <v>40</v>
      </c>
      <c r="I1896" t="s">
        <v>52</v>
      </c>
      <c r="J1896" t="s">
        <v>22</v>
      </c>
    </row>
    <row r="1897" spans="1:10" x14ac:dyDescent="0.35">
      <c r="A1897">
        <v>1896</v>
      </c>
      <c r="B1897" s="1" t="s">
        <v>27</v>
      </c>
      <c r="C1897">
        <v>2008</v>
      </c>
      <c r="D1897" s="4">
        <v>4.7</v>
      </c>
      <c r="E1897" s="5">
        <v>23946</v>
      </c>
      <c r="F1897" s="1" t="s">
        <v>11</v>
      </c>
      <c r="G1897" s="10">
        <v>8480.01</v>
      </c>
      <c r="H1897" s="1" t="s">
        <v>40</v>
      </c>
      <c r="I1897" t="s">
        <v>53</v>
      </c>
      <c r="J1897" t="s">
        <v>14</v>
      </c>
    </row>
    <row r="1898" spans="1:10" x14ac:dyDescent="0.35">
      <c r="A1898">
        <v>1897</v>
      </c>
      <c r="B1898" s="1" t="s">
        <v>23</v>
      </c>
      <c r="C1898">
        <v>2023</v>
      </c>
      <c r="D1898" s="4">
        <v>3.4</v>
      </c>
      <c r="E1898" s="5">
        <v>162812</v>
      </c>
      <c r="F1898" s="1" t="s">
        <v>11</v>
      </c>
      <c r="G1898" s="10">
        <v>61688.81</v>
      </c>
      <c r="H1898" s="1" t="s">
        <v>34</v>
      </c>
      <c r="I1898" t="s">
        <v>51</v>
      </c>
      <c r="J1898" t="s">
        <v>14</v>
      </c>
    </row>
    <row r="1899" spans="1:10" x14ac:dyDescent="0.35">
      <c r="A1899">
        <v>1898</v>
      </c>
      <c r="B1899" s="1" t="s">
        <v>20</v>
      </c>
      <c r="C1899">
        <v>2007</v>
      </c>
      <c r="D1899" s="4">
        <v>2.1</v>
      </c>
      <c r="E1899" s="5">
        <v>7253</v>
      </c>
      <c r="F1899" s="1" t="s">
        <v>15</v>
      </c>
      <c r="G1899" s="10">
        <v>41953.39</v>
      </c>
      <c r="H1899" s="1" t="s">
        <v>21</v>
      </c>
      <c r="I1899" t="s">
        <v>13</v>
      </c>
      <c r="J1899" t="s">
        <v>14</v>
      </c>
    </row>
    <row r="1900" spans="1:10" x14ac:dyDescent="0.35">
      <c r="A1900">
        <v>1899</v>
      </c>
      <c r="B1900" s="1" t="s">
        <v>25</v>
      </c>
      <c r="C1900">
        <v>2006</v>
      </c>
      <c r="D1900" s="4">
        <v>5.8</v>
      </c>
      <c r="E1900" s="5">
        <v>79311</v>
      </c>
      <c r="F1900" s="1" t="s">
        <v>15</v>
      </c>
      <c r="G1900" s="10">
        <v>89526.99</v>
      </c>
      <c r="H1900" s="1" t="s">
        <v>26</v>
      </c>
      <c r="I1900" t="s">
        <v>53</v>
      </c>
      <c r="J1900" t="s">
        <v>22</v>
      </c>
    </row>
    <row r="1901" spans="1:10" x14ac:dyDescent="0.35">
      <c r="A1901">
        <v>1900</v>
      </c>
      <c r="B1901" s="1" t="s">
        <v>25</v>
      </c>
      <c r="C1901">
        <v>2003</v>
      </c>
      <c r="D1901" s="4">
        <v>4.5999999999999996</v>
      </c>
      <c r="E1901" s="5">
        <v>294957</v>
      </c>
      <c r="F1901" s="1" t="s">
        <v>15</v>
      </c>
      <c r="G1901" s="10">
        <v>33688.28</v>
      </c>
      <c r="H1901" s="1" t="s">
        <v>44</v>
      </c>
      <c r="I1901" t="s">
        <v>13</v>
      </c>
      <c r="J1901" t="s">
        <v>22</v>
      </c>
    </row>
    <row r="1902" spans="1:10" x14ac:dyDescent="0.35">
      <c r="A1902">
        <v>1901</v>
      </c>
      <c r="B1902" s="1" t="s">
        <v>25</v>
      </c>
      <c r="C1902">
        <v>2017</v>
      </c>
      <c r="D1902" s="4">
        <v>5.8</v>
      </c>
      <c r="E1902" s="5">
        <v>67593</v>
      </c>
      <c r="F1902" s="1" t="s">
        <v>16</v>
      </c>
      <c r="G1902" s="10">
        <v>46044.85</v>
      </c>
      <c r="H1902" s="1" t="s">
        <v>44</v>
      </c>
      <c r="I1902" t="s">
        <v>13</v>
      </c>
      <c r="J1902" t="s">
        <v>22</v>
      </c>
    </row>
    <row r="1903" spans="1:10" x14ac:dyDescent="0.35">
      <c r="A1903">
        <v>1902</v>
      </c>
      <c r="B1903" s="1" t="s">
        <v>23</v>
      </c>
      <c r="C1903">
        <v>2002</v>
      </c>
      <c r="D1903" s="4">
        <v>3.1</v>
      </c>
      <c r="E1903" s="5">
        <v>149485</v>
      </c>
      <c r="F1903" s="1" t="s">
        <v>16</v>
      </c>
      <c r="G1903" s="10">
        <v>55151.37</v>
      </c>
      <c r="H1903" s="1" t="s">
        <v>34</v>
      </c>
      <c r="I1903" t="s">
        <v>51</v>
      </c>
      <c r="J1903" t="s">
        <v>22</v>
      </c>
    </row>
    <row r="1904" spans="1:10" x14ac:dyDescent="0.35">
      <c r="A1904">
        <v>1903</v>
      </c>
      <c r="B1904" s="1" t="s">
        <v>27</v>
      </c>
      <c r="C1904">
        <v>2005</v>
      </c>
      <c r="D1904" s="4">
        <v>3.4</v>
      </c>
      <c r="E1904" s="5">
        <v>226833</v>
      </c>
      <c r="F1904" s="1" t="s">
        <v>16</v>
      </c>
      <c r="G1904" s="10">
        <v>30938.69</v>
      </c>
      <c r="H1904" s="1" t="s">
        <v>48</v>
      </c>
      <c r="I1904" t="s">
        <v>13</v>
      </c>
      <c r="J1904" t="s">
        <v>22</v>
      </c>
    </row>
    <row r="1905" spans="1:10" x14ac:dyDescent="0.35">
      <c r="A1905">
        <v>1904</v>
      </c>
      <c r="B1905" s="1" t="s">
        <v>29</v>
      </c>
      <c r="C1905">
        <v>2011</v>
      </c>
      <c r="D1905" s="4">
        <v>5.5</v>
      </c>
      <c r="E1905" s="5">
        <v>38485</v>
      </c>
      <c r="F1905" s="1" t="s">
        <v>16</v>
      </c>
      <c r="G1905" s="10">
        <v>91307.01</v>
      </c>
      <c r="H1905" s="1" t="s">
        <v>30</v>
      </c>
      <c r="I1905" t="s">
        <v>53</v>
      </c>
      <c r="J1905" t="s">
        <v>22</v>
      </c>
    </row>
    <row r="1906" spans="1:10" x14ac:dyDescent="0.35">
      <c r="A1906">
        <v>1905</v>
      </c>
      <c r="B1906" s="1" t="s">
        <v>10</v>
      </c>
      <c r="C1906">
        <v>2011</v>
      </c>
      <c r="D1906" s="4">
        <v>3.6</v>
      </c>
      <c r="E1906" s="5">
        <v>199304</v>
      </c>
      <c r="F1906" s="1" t="s">
        <v>16</v>
      </c>
      <c r="G1906" s="10">
        <v>49130.69</v>
      </c>
      <c r="H1906" s="1" t="s">
        <v>12</v>
      </c>
      <c r="I1906" t="s">
        <v>13</v>
      </c>
      <c r="J1906" t="s">
        <v>14</v>
      </c>
    </row>
    <row r="1907" spans="1:10" x14ac:dyDescent="0.35">
      <c r="A1907">
        <v>1906</v>
      </c>
      <c r="B1907" s="1" t="s">
        <v>10</v>
      </c>
      <c r="C1907">
        <v>2020</v>
      </c>
      <c r="D1907" s="4">
        <v>4.5</v>
      </c>
      <c r="E1907" s="5">
        <v>278245</v>
      </c>
      <c r="F1907" s="1" t="s">
        <v>11</v>
      </c>
      <c r="G1907" s="10">
        <v>45294.78</v>
      </c>
      <c r="H1907" s="1" t="s">
        <v>17</v>
      </c>
      <c r="I1907" t="s">
        <v>13</v>
      </c>
      <c r="J1907" t="s">
        <v>14</v>
      </c>
    </row>
    <row r="1908" spans="1:10" x14ac:dyDescent="0.35">
      <c r="A1908">
        <v>1907</v>
      </c>
      <c r="B1908" s="1" t="s">
        <v>29</v>
      </c>
      <c r="C1908">
        <v>2007</v>
      </c>
      <c r="D1908" s="4">
        <v>2.2999999999999998</v>
      </c>
      <c r="E1908" s="5">
        <v>8831</v>
      </c>
      <c r="F1908" s="1" t="s">
        <v>16</v>
      </c>
      <c r="G1908" s="10">
        <v>85726.54</v>
      </c>
      <c r="H1908" s="1" t="s">
        <v>38</v>
      </c>
      <c r="I1908" t="s">
        <v>13</v>
      </c>
      <c r="J1908" t="s">
        <v>22</v>
      </c>
    </row>
    <row r="1909" spans="1:10" x14ac:dyDescent="0.35">
      <c r="A1909">
        <v>1908</v>
      </c>
      <c r="B1909" s="1" t="s">
        <v>23</v>
      </c>
      <c r="C1909">
        <v>2021</v>
      </c>
      <c r="D1909" s="4">
        <v>3.2</v>
      </c>
      <c r="E1909" s="5">
        <v>5004</v>
      </c>
      <c r="F1909" s="1" t="s">
        <v>11</v>
      </c>
      <c r="G1909" s="10">
        <v>34637.949999999997</v>
      </c>
      <c r="H1909" s="1" t="s">
        <v>24</v>
      </c>
      <c r="I1909" t="s">
        <v>51</v>
      </c>
      <c r="J1909" t="s">
        <v>14</v>
      </c>
    </row>
    <row r="1910" spans="1:10" x14ac:dyDescent="0.35">
      <c r="A1910">
        <v>1909</v>
      </c>
      <c r="B1910" s="1" t="s">
        <v>29</v>
      </c>
      <c r="C1910">
        <v>2021</v>
      </c>
      <c r="D1910" s="4">
        <v>1.6</v>
      </c>
      <c r="E1910" s="5">
        <v>37170</v>
      </c>
      <c r="F1910" s="1" t="s">
        <v>15</v>
      </c>
      <c r="G1910" s="10">
        <v>82659.210000000006</v>
      </c>
      <c r="H1910" s="1" t="s">
        <v>43</v>
      </c>
      <c r="I1910" t="s">
        <v>53</v>
      </c>
      <c r="J1910" t="s">
        <v>22</v>
      </c>
    </row>
    <row r="1911" spans="1:10" x14ac:dyDescent="0.35">
      <c r="A1911">
        <v>1910</v>
      </c>
      <c r="B1911" s="1" t="s">
        <v>25</v>
      </c>
      <c r="C1911">
        <v>2000</v>
      </c>
      <c r="D1911" s="4">
        <v>2</v>
      </c>
      <c r="E1911" s="5">
        <v>43555</v>
      </c>
      <c r="F1911" s="1" t="s">
        <v>15</v>
      </c>
      <c r="G1911" s="10">
        <v>16615.919999999998</v>
      </c>
      <c r="H1911" s="1" t="s">
        <v>49</v>
      </c>
      <c r="I1911" t="s">
        <v>51</v>
      </c>
      <c r="J1911" t="s">
        <v>22</v>
      </c>
    </row>
    <row r="1912" spans="1:10" x14ac:dyDescent="0.35">
      <c r="A1912">
        <v>1911</v>
      </c>
      <c r="B1912" s="1" t="s">
        <v>20</v>
      </c>
      <c r="C1912">
        <v>2003</v>
      </c>
      <c r="D1912" s="4">
        <v>1</v>
      </c>
      <c r="E1912" s="5">
        <v>118115</v>
      </c>
      <c r="F1912" s="1" t="s">
        <v>15</v>
      </c>
      <c r="G1912" s="10">
        <v>22364.91</v>
      </c>
      <c r="H1912" s="1" t="s">
        <v>33</v>
      </c>
      <c r="I1912" t="s">
        <v>52</v>
      </c>
      <c r="J1912" t="s">
        <v>14</v>
      </c>
    </row>
    <row r="1913" spans="1:10" x14ac:dyDescent="0.35">
      <c r="A1913">
        <v>1912</v>
      </c>
      <c r="B1913" s="1" t="s">
        <v>35</v>
      </c>
      <c r="C1913">
        <v>2020</v>
      </c>
      <c r="D1913" s="4">
        <v>1.2</v>
      </c>
      <c r="E1913" s="5">
        <v>178475</v>
      </c>
      <c r="F1913" s="1" t="s">
        <v>15</v>
      </c>
      <c r="G1913" s="10">
        <v>95329.96</v>
      </c>
      <c r="H1913" s="1" t="s">
        <v>45</v>
      </c>
      <c r="I1913" t="s">
        <v>13</v>
      </c>
      <c r="J1913" t="s">
        <v>22</v>
      </c>
    </row>
    <row r="1914" spans="1:10" x14ac:dyDescent="0.35">
      <c r="A1914">
        <v>1913</v>
      </c>
      <c r="B1914" s="1" t="s">
        <v>10</v>
      </c>
      <c r="C1914">
        <v>2010</v>
      </c>
      <c r="D1914" s="4">
        <v>5.9</v>
      </c>
      <c r="E1914" s="5">
        <v>298509</v>
      </c>
      <c r="F1914" s="1" t="s">
        <v>15</v>
      </c>
      <c r="G1914" s="10">
        <v>85032.51</v>
      </c>
      <c r="H1914" s="1" t="s">
        <v>18</v>
      </c>
      <c r="I1914" t="s">
        <v>13</v>
      </c>
      <c r="J1914" t="s">
        <v>14</v>
      </c>
    </row>
    <row r="1915" spans="1:10" x14ac:dyDescent="0.35">
      <c r="A1915">
        <v>1914</v>
      </c>
      <c r="B1915" s="1" t="s">
        <v>27</v>
      </c>
      <c r="C1915">
        <v>2002</v>
      </c>
      <c r="D1915" s="4">
        <v>2.2000000000000002</v>
      </c>
      <c r="E1915" s="5">
        <v>207132</v>
      </c>
      <c r="F1915" s="1" t="s">
        <v>16</v>
      </c>
      <c r="G1915" s="10">
        <v>41850.400000000001</v>
      </c>
      <c r="H1915" s="1" t="s">
        <v>28</v>
      </c>
      <c r="I1915" t="s">
        <v>51</v>
      </c>
      <c r="J1915" t="s">
        <v>22</v>
      </c>
    </row>
    <row r="1916" spans="1:10" x14ac:dyDescent="0.35">
      <c r="A1916">
        <v>1915</v>
      </c>
      <c r="B1916" s="1" t="s">
        <v>27</v>
      </c>
      <c r="C1916">
        <v>2012</v>
      </c>
      <c r="D1916" s="4">
        <v>4.3</v>
      </c>
      <c r="E1916" s="5">
        <v>63471</v>
      </c>
      <c r="F1916" s="1" t="s">
        <v>16</v>
      </c>
      <c r="G1916" s="10">
        <v>65653.36</v>
      </c>
      <c r="H1916" s="1" t="s">
        <v>37</v>
      </c>
      <c r="I1916" t="s">
        <v>51</v>
      </c>
      <c r="J1916" t="s">
        <v>22</v>
      </c>
    </row>
    <row r="1917" spans="1:10" x14ac:dyDescent="0.35">
      <c r="A1917">
        <v>1916</v>
      </c>
      <c r="B1917" s="1" t="s">
        <v>23</v>
      </c>
      <c r="C1917">
        <v>2016</v>
      </c>
      <c r="D1917" s="4">
        <v>5.2</v>
      </c>
      <c r="E1917" s="5">
        <v>57287</v>
      </c>
      <c r="F1917" s="1" t="s">
        <v>16</v>
      </c>
      <c r="G1917" s="10">
        <v>94582.17</v>
      </c>
      <c r="H1917" s="1" t="s">
        <v>34</v>
      </c>
      <c r="I1917" t="s">
        <v>51</v>
      </c>
      <c r="J1917" t="s">
        <v>14</v>
      </c>
    </row>
    <row r="1918" spans="1:10" x14ac:dyDescent="0.35">
      <c r="A1918">
        <v>1917</v>
      </c>
      <c r="B1918" s="1" t="s">
        <v>27</v>
      </c>
      <c r="C1918">
        <v>2021</v>
      </c>
      <c r="D1918" s="4">
        <v>3.8</v>
      </c>
      <c r="E1918" s="5">
        <v>116475</v>
      </c>
      <c r="F1918" s="1" t="s">
        <v>15</v>
      </c>
      <c r="G1918" s="10">
        <v>25126.6</v>
      </c>
      <c r="H1918" s="1" t="s">
        <v>48</v>
      </c>
      <c r="I1918" t="s">
        <v>52</v>
      </c>
      <c r="J1918" t="s">
        <v>22</v>
      </c>
    </row>
    <row r="1919" spans="1:10" x14ac:dyDescent="0.35">
      <c r="A1919">
        <v>1918</v>
      </c>
      <c r="B1919" s="1" t="s">
        <v>25</v>
      </c>
      <c r="C1919">
        <v>2021</v>
      </c>
      <c r="D1919" s="4">
        <v>1.8</v>
      </c>
      <c r="E1919" s="5">
        <v>50151</v>
      </c>
      <c r="F1919" s="1" t="s">
        <v>15</v>
      </c>
      <c r="G1919" s="10">
        <v>10605.99</v>
      </c>
      <c r="H1919" s="1" t="s">
        <v>41</v>
      </c>
      <c r="I1919" t="s">
        <v>52</v>
      </c>
      <c r="J1919" t="s">
        <v>22</v>
      </c>
    </row>
    <row r="1920" spans="1:10" x14ac:dyDescent="0.35">
      <c r="A1920">
        <v>1919</v>
      </c>
      <c r="B1920" s="1" t="s">
        <v>10</v>
      </c>
      <c r="C1920">
        <v>2009</v>
      </c>
      <c r="D1920" s="4">
        <v>4.5999999999999996</v>
      </c>
      <c r="E1920" s="5">
        <v>67384</v>
      </c>
      <c r="F1920" s="1" t="s">
        <v>11</v>
      </c>
      <c r="G1920" s="10">
        <v>56059.47</v>
      </c>
      <c r="H1920" s="1" t="s">
        <v>12</v>
      </c>
      <c r="I1920" t="s">
        <v>13</v>
      </c>
      <c r="J1920" t="s">
        <v>14</v>
      </c>
    </row>
    <row r="1921" spans="1:10" x14ac:dyDescent="0.35">
      <c r="A1921">
        <v>1920</v>
      </c>
      <c r="B1921" s="1" t="s">
        <v>29</v>
      </c>
      <c r="C1921">
        <v>2020</v>
      </c>
      <c r="D1921" s="4">
        <v>4</v>
      </c>
      <c r="E1921" s="5">
        <v>33541</v>
      </c>
      <c r="F1921" s="1" t="s">
        <v>16</v>
      </c>
      <c r="G1921" s="10">
        <v>18546.7</v>
      </c>
      <c r="H1921" s="1" t="s">
        <v>30</v>
      </c>
      <c r="I1921" t="s">
        <v>13</v>
      </c>
      <c r="J1921" t="s">
        <v>14</v>
      </c>
    </row>
    <row r="1922" spans="1:10" x14ac:dyDescent="0.35">
      <c r="A1922">
        <v>1921</v>
      </c>
      <c r="B1922" s="1" t="s">
        <v>25</v>
      </c>
      <c r="C1922">
        <v>2011</v>
      </c>
      <c r="D1922" s="4">
        <v>4.7</v>
      </c>
      <c r="E1922" s="5">
        <v>72847</v>
      </c>
      <c r="F1922" s="1" t="s">
        <v>15</v>
      </c>
      <c r="G1922" s="10">
        <v>22795.31</v>
      </c>
      <c r="H1922" s="1" t="s">
        <v>49</v>
      </c>
      <c r="I1922" t="s">
        <v>53</v>
      </c>
      <c r="J1922" t="s">
        <v>22</v>
      </c>
    </row>
    <row r="1923" spans="1:10" x14ac:dyDescent="0.35">
      <c r="A1923">
        <v>1922</v>
      </c>
      <c r="B1923" s="1" t="s">
        <v>23</v>
      </c>
      <c r="C1923">
        <v>2014</v>
      </c>
      <c r="D1923" s="4">
        <v>4.8</v>
      </c>
      <c r="E1923" s="5">
        <v>218171</v>
      </c>
      <c r="F1923" s="1" t="s">
        <v>15</v>
      </c>
      <c r="G1923" s="10">
        <v>89696.22</v>
      </c>
      <c r="H1923" s="1" t="s">
        <v>34</v>
      </c>
      <c r="I1923" t="s">
        <v>52</v>
      </c>
      <c r="J1923" t="s">
        <v>22</v>
      </c>
    </row>
    <row r="1924" spans="1:10" x14ac:dyDescent="0.35">
      <c r="A1924">
        <v>1923</v>
      </c>
      <c r="B1924" s="1" t="s">
        <v>25</v>
      </c>
      <c r="C1924">
        <v>2020</v>
      </c>
      <c r="D1924" s="4">
        <v>5.9</v>
      </c>
      <c r="E1924" s="5">
        <v>211811</v>
      </c>
      <c r="F1924" s="1" t="s">
        <v>15</v>
      </c>
      <c r="G1924" s="10">
        <v>5703.33</v>
      </c>
      <c r="H1924" s="1" t="s">
        <v>44</v>
      </c>
      <c r="I1924" t="s">
        <v>51</v>
      </c>
      <c r="J1924" t="s">
        <v>22</v>
      </c>
    </row>
    <row r="1925" spans="1:10" x14ac:dyDescent="0.35">
      <c r="A1925">
        <v>1924</v>
      </c>
      <c r="B1925" s="1" t="s">
        <v>29</v>
      </c>
      <c r="C1925">
        <v>2009</v>
      </c>
      <c r="D1925" s="4">
        <v>3.9</v>
      </c>
      <c r="E1925" s="5">
        <v>213739</v>
      </c>
      <c r="F1925" s="1" t="s">
        <v>11</v>
      </c>
      <c r="G1925" s="10">
        <v>82597.899999999994</v>
      </c>
      <c r="H1925" s="1" t="s">
        <v>31</v>
      </c>
      <c r="I1925" t="s">
        <v>51</v>
      </c>
      <c r="J1925" t="s">
        <v>14</v>
      </c>
    </row>
    <row r="1926" spans="1:10" x14ac:dyDescent="0.35">
      <c r="A1926">
        <v>1925</v>
      </c>
      <c r="B1926" s="1" t="s">
        <v>20</v>
      </c>
      <c r="C1926">
        <v>2013</v>
      </c>
      <c r="D1926" s="4">
        <v>2.7</v>
      </c>
      <c r="E1926" s="5">
        <v>167813</v>
      </c>
      <c r="F1926" s="1" t="s">
        <v>15</v>
      </c>
      <c r="G1926" s="10">
        <v>54110.32</v>
      </c>
      <c r="H1926" s="1" t="s">
        <v>46</v>
      </c>
      <c r="I1926" t="s">
        <v>53</v>
      </c>
      <c r="J1926" t="s">
        <v>14</v>
      </c>
    </row>
    <row r="1927" spans="1:10" x14ac:dyDescent="0.35">
      <c r="A1927">
        <v>1926</v>
      </c>
      <c r="B1927" s="1" t="s">
        <v>23</v>
      </c>
      <c r="C1927">
        <v>2012</v>
      </c>
      <c r="D1927" s="4">
        <v>4.2</v>
      </c>
      <c r="E1927" s="5">
        <v>99919</v>
      </c>
      <c r="F1927" s="1" t="s">
        <v>11</v>
      </c>
      <c r="G1927" s="10">
        <v>58132.97</v>
      </c>
      <c r="H1927" s="1" t="s">
        <v>42</v>
      </c>
      <c r="I1927" t="s">
        <v>51</v>
      </c>
      <c r="J1927" t="s">
        <v>14</v>
      </c>
    </row>
    <row r="1928" spans="1:10" x14ac:dyDescent="0.35">
      <c r="A1928">
        <v>1927</v>
      </c>
      <c r="B1928" s="1" t="s">
        <v>20</v>
      </c>
      <c r="C1928">
        <v>2004</v>
      </c>
      <c r="D1928" s="4">
        <v>1.3</v>
      </c>
      <c r="E1928" s="5">
        <v>216746</v>
      </c>
      <c r="F1928" s="1" t="s">
        <v>11</v>
      </c>
      <c r="G1928" s="10">
        <v>68817.960000000006</v>
      </c>
      <c r="H1928" s="1" t="s">
        <v>33</v>
      </c>
      <c r="I1928" t="s">
        <v>53</v>
      </c>
      <c r="J1928" t="s">
        <v>14</v>
      </c>
    </row>
    <row r="1929" spans="1:10" x14ac:dyDescent="0.35">
      <c r="A1929">
        <v>1928</v>
      </c>
      <c r="B1929" s="1" t="s">
        <v>35</v>
      </c>
      <c r="C1929">
        <v>2005</v>
      </c>
      <c r="D1929" s="4">
        <v>5.5</v>
      </c>
      <c r="E1929" s="5">
        <v>194020</v>
      </c>
      <c r="F1929" s="1" t="s">
        <v>16</v>
      </c>
      <c r="G1929" s="10">
        <v>45987.27</v>
      </c>
      <c r="H1929" s="1" t="s">
        <v>45</v>
      </c>
      <c r="I1929" t="s">
        <v>13</v>
      </c>
      <c r="J1929" t="s">
        <v>14</v>
      </c>
    </row>
    <row r="1930" spans="1:10" x14ac:dyDescent="0.35">
      <c r="A1930">
        <v>1929</v>
      </c>
      <c r="B1930" s="1" t="s">
        <v>20</v>
      </c>
      <c r="C1930">
        <v>2023</v>
      </c>
      <c r="D1930" s="4">
        <v>1.6</v>
      </c>
      <c r="E1930" s="5">
        <v>61768</v>
      </c>
      <c r="F1930" s="1" t="s">
        <v>15</v>
      </c>
      <c r="G1930" s="10">
        <v>15983.13</v>
      </c>
      <c r="H1930" s="1" t="s">
        <v>46</v>
      </c>
      <c r="I1930" t="s">
        <v>52</v>
      </c>
      <c r="J1930" t="s">
        <v>22</v>
      </c>
    </row>
    <row r="1931" spans="1:10" x14ac:dyDescent="0.35">
      <c r="A1931">
        <v>1930</v>
      </c>
      <c r="B1931" s="1" t="s">
        <v>35</v>
      </c>
      <c r="C1931">
        <v>2001</v>
      </c>
      <c r="D1931" s="4">
        <v>2.6</v>
      </c>
      <c r="E1931" s="5">
        <v>43262</v>
      </c>
      <c r="F1931" s="1" t="s">
        <v>11</v>
      </c>
      <c r="G1931" s="10">
        <v>14767.92</v>
      </c>
      <c r="H1931" s="1" t="s">
        <v>50</v>
      </c>
      <c r="I1931" t="s">
        <v>53</v>
      </c>
      <c r="J1931" t="s">
        <v>14</v>
      </c>
    </row>
    <row r="1932" spans="1:10" x14ac:dyDescent="0.35">
      <c r="A1932">
        <v>1931</v>
      </c>
      <c r="B1932" s="1" t="s">
        <v>35</v>
      </c>
      <c r="C1932">
        <v>2021</v>
      </c>
      <c r="D1932" s="4">
        <v>5.0999999999999996</v>
      </c>
      <c r="E1932" s="5">
        <v>20605</v>
      </c>
      <c r="F1932" s="1" t="s">
        <v>15</v>
      </c>
      <c r="G1932" s="10">
        <v>76664.41</v>
      </c>
      <c r="H1932" s="1" t="s">
        <v>45</v>
      </c>
      <c r="I1932" t="s">
        <v>51</v>
      </c>
      <c r="J1932" t="s">
        <v>14</v>
      </c>
    </row>
    <row r="1933" spans="1:10" x14ac:dyDescent="0.35">
      <c r="A1933">
        <v>1932</v>
      </c>
      <c r="B1933" s="1" t="s">
        <v>20</v>
      </c>
      <c r="C1933">
        <v>2016</v>
      </c>
      <c r="D1933" s="4">
        <v>4</v>
      </c>
      <c r="E1933" s="5">
        <v>78590</v>
      </c>
      <c r="F1933" s="1" t="s">
        <v>16</v>
      </c>
      <c r="G1933" s="10">
        <v>25998.34</v>
      </c>
      <c r="H1933" s="1" t="s">
        <v>33</v>
      </c>
      <c r="I1933" t="s">
        <v>53</v>
      </c>
      <c r="J1933" t="s">
        <v>22</v>
      </c>
    </row>
    <row r="1934" spans="1:10" x14ac:dyDescent="0.35">
      <c r="A1934">
        <v>1933</v>
      </c>
      <c r="B1934" s="1" t="s">
        <v>23</v>
      </c>
      <c r="C1934">
        <v>2003</v>
      </c>
      <c r="D1934" s="4">
        <v>3</v>
      </c>
      <c r="E1934" s="5">
        <v>290375</v>
      </c>
      <c r="F1934" s="1" t="s">
        <v>16</v>
      </c>
      <c r="G1934" s="10">
        <v>7669.66</v>
      </c>
      <c r="H1934" s="1" t="s">
        <v>42</v>
      </c>
      <c r="I1934" t="s">
        <v>13</v>
      </c>
      <c r="J1934" t="s">
        <v>14</v>
      </c>
    </row>
    <row r="1935" spans="1:10" x14ac:dyDescent="0.35">
      <c r="A1935">
        <v>1934</v>
      </c>
      <c r="B1935" s="1" t="s">
        <v>29</v>
      </c>
      <c r="C1935">
        <v>2013</v>
      </c>
      <c r="D1935" s="4">
        <v>3.4</v>
      </c>
      <c r="E1935" s="5">
        <v>79397</v>
      </c>
      <c r="F1935" s="1" t="s">
        <v>11</v>
      </c>
      <c r="G1935" s="10">
        <v>98063.32</v>
      </c>
      <c r="H1935" s="1" t="s">
        <v>38</v>
      </c>
      <c r="I1935" t="s">
        <v>51</v>
      </c>
      <c r="J1935" t="s">
        <v>22</v>
      </c>
    </row>
    <row r="1936" spans="1:10" x14ac:dyDescent="0.35">
      <c r="A1936">
        <v>1935</v>
      </c>
      <c r="B1936" s="1" t="s">
        <v>25</v>
      </c>
      <c r="C1936">
        <v>2009</v>
      </c>
      <c r="D1936" s="4">
        <v>5.3</v>
      </c>
      <c r="E1936" s="5">
        <v>77123</v>
      </c>
      <c r="F1936" s="1" t="s">
        <v>16</v>
      </c>
      <c r="G1936" s="10">
        <v>98137.19</v>
      </c>
      <c r="H1936" s="1" t="s">
        <v>26</v>
      </c>
      <c r="I1936" t="s">
        <v>13</v>
      </c>
      <c r="J1936" t="s">
        <v>14</v>
      </c>
    </row>
    <row r="1937" spans="1:10" x14ac:dyDescent="0.35">
      <c r="A1937">
        <v>1936</v>
      </c>
      <c r="B1937" s="1" t="s">
        <v>25</v>
      </c>
      <c r="C1937">
        <v>2002</v>
      </c>
      <c r="D1937" s="4">
        <v>2.7</v>
      </c>
      <c r="E1937" s="5">
        <v>275659</v>
      </c>
      <c r="F1937" s="1" t="s">
        <v>16</v>
      </c>
      <c r="G1937" s="10">
        <v>40923.43</v>
      </c>
      <c r="H1937" s="1" t="s">
        <v>49</v>
      </c>
      <c r="I1937" t="s">
        <v>13</v>
      </c>
      <c r="J1937" t="s">
        <v>22</v>
      </c>
    </row>
    <row r="1938" spans="1:10" x14ac:dyDescent="0.35">
      <c r="A1938">
        <v>1937</v>
      </c>
      <c r="B1938" s="1" t="s">
        <v>29</v>
      </c>
      <c r="C1938">
        <v>2002</v>
      </c>
      <c r="D1938" s="4">
        <v>5.3</v>
      </c>
      <c r="E1938" s="5">
        <v>278744</v>
      </c>
      <c r="F1938" s="1" t="s">
        <v>16</v>
      </c>
      <c r="G1938" s="10">
        <v>7424.77</v>
      </c>
      <c r="H1938" s="1" t="s">
        <v>31</v>
      </c>
      <c r="I1938" t="s">
        <v>53</v>
      </c>
      <c r="J1938" t="s">
        <v>22</v>
      </c>
    </row>
    <row r="1939" spans="1:10" x14ac:dyDescent="0.35">
      <c r="A1939">
        <v>1938</v>
      </c>
      <c r="B1939" s="1" t="s">
        <v>10</v>
      </c>
      <c r="C1939">
        <v>2014</v>
      </c>
      <c r="D1939" s="4">
        <v>1.4</v>
      </c>
      <c r="E1939" s="5">
        <v>158964</v>
      </c>
      <c r="F1939" s="1" t="s">
        <v>15</v>
      </c>
      <c r="G1939" s="10">
        <v>74090.14</v>
      </c>
      <c r="H1939" s="1" t="s">
        <v>19</v>
      </c>
      <c r="I1939" t="s">
        <v>13</v>
      </c>
      <c r="J1939" t="s">
        <v>14</v>
      </c>
    </row>
    <row r="1940" spans="1:10" x14ac:dyDescent="0.35">
      <c r="A1940">
        <v>1939</v>
      </c>
      <c r="B1940" s="1" t="s">
        <v>10</v>
      </c>
      <c r="C1940">
        <v>2005</v>
      </c>
      <c r="D1940" s="4">
        <v>4.9000000000000004</v>
      </c>
      <c r="E1940" s="5">
        <v>168767</v>
      </c>
      <c r="F1940" s="1" t="s">
        <v>15</v>
      </c>
      <c r="G1940" s="10">
        <v>83946.15</v>
      </c>
      <c r="H1940" s="1" t="s">
        <v>12</v>
      </c>
      <c r="I1940" t="s">
        <v>13</v>
      </c>
      <c r="J1940" t="s">
        <v>14</v>
      </c>
    </row>
    <row r="1941" spans="1:10" x14ac:dyDescent="0.35">
      <c r="A1941">
        <v>1940</v>
      </c>
      <c r="B1941" s="1" t="s">
        <v>35</v>
      </c>
      <c r="C1941">
        <v>2016</v>
      </c>
      <c r="D1941" s="4">
        <v>5.2</v>
      </c>
      <c r="E1941" s="5">
        <v>135501</v>
      </c>
      <c r="F1941" s="1" t="s">
        <v>11</v>
      </c>
      <c r="G1941" s="10">
        <v>16876.3</v>
      </c>
      <c r="H1941" s="1" t="s">
        <v>47</v>
      </c>
      <c r="I1941" t="s">
        <v>13</v>
      </c>
      <c r="J1941" t="s">
        <v>22</v>
      </c>
    </row>
    <row r="1942" spans="1:10" x14ac:dyDescent="0.35">
      <c r="A1942">
        <v>1941</v>
      </c>
      <c r="B1942" s="1" t="s">
        <v>35</v>
      </c>
      <c r="C1942">
        <v>2011</v>
      </c>
      <c r="D1942" s="4">
        <v>1.9</v>
      </c>
      <c r="E1942" s="5">
        <v>135678</v>
      </c>
      <c r="F1942" s="1" t="s">
        <v>11</v>
      </c>
      <c r="G1942" s="10">
        <v>17868.57</v>
      </c>
      <c r="H1942" s="1" t="s">
        <v>45</v>
      </c>
      <c r="I1942" t="s">
        <v>13</v>
      </c>
      <c r="J1942" t="s">
        <v>22</v>
      </c>
    </row>
    <row r="1943" spans="1:10" x14ac:dyDescent="0.35">
      <c r="A1943">
        <v>1942</v>
      </c>
      <c r="B1943" s="1" t="s">
        <v>23</v>
      </c>
      <c r="C1943">
        <v>2021</v>
      </c>
      <c r="D1943" s="4">
        <v>3.2</v>
      </c>
      <c r="E1943" s="5">
        <v>114380</v>
      </c>
      <c r="F1943" s="1" t="s">
        <v>16</v>
      </c>
      <c r="G1943" s="10">
        <v>83111.28</v>
      </c>
      <c r="H1943" s="1" t="s">
        <v>32</v>
      </c>
      <c r="I1943" t="s">
        <v>53</v>
      </c>
      <c r="J1943" t="s">
        <v>22</v>
      </c>
    </row>
    <row r="1944" spans="1:10" x14ac:dyDescent="0.35">
      <c r="A1944">
        <v>1943</v>
      </c>
      <c r="B1944" s="1" t="s">
        <v>27</v>
      </c>
      <c r="C1944">
        <v>2019</v>
      </c>
      <c r="D1944" s="4">
        <v>1.8</v>
      </c>
      <c r="E1944" s="5">
        <v>171206</v>
      </c>
      <c r="F1944" s="1" t="s">
        <v>16</v>
      </c>
      <c r="G1944" s="10">
        <v>92581.2</v>
      </c>
      <c r="H1944" s="1" t="s">
        <v>28</v>
      </c>
      <c r="I1944" t="s">
        <v>13</v>
      </c>
      <c r="J1944" t="s">
        <v>14</v>
      </c>
    </row>
    <row r="1945" spans="1:10" x14ac:dyDescent="0.35">
      <c r="A1945">
        <v>1944</v>
      </c>
      <c r="B1945" s="1" t="s">
        <v>20</v>
      </c>
      <c r="C1945">
        <v>2023</v>
      </c>
      <c r="D1945" s="4">
        <v>4.5</v>
      </c>
      <c r="E1945" s="5">
        <v>156547</v>
      </c>
      <c r="F1945" s="1" t="s">
        <v>11</v>
      </c>
      <c r="G1945" s="10">
        <v>80121.710000000006</v>
      </c>
      <c r="H1945" s="1" t="s">
        <v>46</v>
      </c>
      <c r="I1945" t="s">
        <v>52</v>
      </c>
      <c r="J1945" t="s">
        <v>22</v>
      </c>
    </row>
    <row r="1946" spans="1:10" x14ac:dyDescent="0.35">
      <c r="A1946">
        <v>1945</v>
      </c>
      <c r="B1946" s="1" t="s">
        <v>35</v>
      </c>
      <c r="C1946">
        <v>2010</v>
      </c>
      <c r="D1946" s="4">
        <v>3.7</v>
      </c>
      <c r="E1946" s="5">
        <v>152802</v>
      </c>
      <c r="F1946" s="1" t="s">
        <v>16</v>
      </c>
      <c r="G1946" s="10">
        <v>24070.77</v>
      </c>
      <c r="H1946" s="1" t="s">
        <v>36</v>
      </c>
      <c r="I1946" t="s">
        <v>53</v>
      </c>
      <c r="J1946" t="s">
        <v>22</v>
      </c>
    </row>
    <row r="1947" spans="1:10" x14ac:dyDescent="0.35">
      <c r="A1947">
        <v>1946</v>
      </c>
      <c r="B1947" s="1" t="s">
        <v>25</v>
      </c>
      <c r="C1947">
        <v>2003</v>
      </c>
      <c r="D1947" s="4">
        <v>4.2</v>
      </c>
      <c r="E1947" s="5">
        <v>152185</v>
      </c>
      <c r="F1947" s="1" t="s">
        <v>11</v>
      </c>
      <c r="G1947" s="10">
        <v>44094.52</v>
      </c>
      <c r="H1947" s="1" t="s">
        <v>49</v>
      </c>
      <c r="I1947" t="s">
        <v>53</v>
      </c>
      <c r="J1947" t="s">
        <v>22</v>
      </c>
    </row>
    <row r="1948" spans="1:10" x14ac:dyDescent="0.35">
      <c r="A1948">
        <v>1947</v>
      </c>
      <c r="B1948" s="1" t="s">
        <v>23</v>
      </c>
      <c r="C1948">
        <v>2005</v>
      </c>
      <c r="D1948" s="4">
        <v>2</v>
      </c>
      <c r="E1948" s="5">
        <v>151083</v>
      </c>
      <c r="F1948" s="1" t="s">
        <v>15</v>
      </c>
      <c r="G1948" s="10">
        <v>62080.03</v>
      </c>
      <c r="H1948" s="1" t="s">
        <v>42</v>
      </c>
      <c r="I1948" t="s">
        <v>51</v>
      </c>
      <c r="J1948" t="s">
        <v>14</v>
      </c>
    </row>
    <row r="1949" spans="1:10" x14ac:dyDescent="0.35">
      <c r="A1949">
        <v>1948</v>
      </c>
      <c r="B1949" s="1" t="s">
        <v>20</v>
      </c>
      <c r="C1949">
        <v>2000</v>
      </c>
      <c r="D1949" s="4">
        <v>2.1</v>
      </c>
      <c r="E1949" s="5">
        <v>55746</v>
      </c>
      <c r="F1949" s="1" t="s">
        <v>16</v>
      </c>
      <c r="G1949" s="10">
        <v>20227.88</v>
      </c>
      <c r="H1949" s="1" t="s">
        <v>46</v>
      </c>
      <c r="I1949" t="s">
        <v>51</v>
      </c>
      <c r="J1949" t="s">
        <v>22</v>
      </c>
    </row>
    <row r="1950" spans="1:10" x14ac:dyDescent="0.35">
      <c r="A1950">
        <v>1949</v>
      </c>
      <c r="B1950" s="1" t="s">
        <v>23</v>
      </c>
      <c r="C1950">
        <v>2019</v>
      </c>
      <c r="D1950" s="4">
        <v>1.2</v>
      </c>
      <c r="E1950" s="5">
        <v>173925</v>
      </c>
      <c r="F1950" s="1" t="s">
        <v>16</v>
      </c>
      <c r="G1950" s="10">
        <v>25007.24</v>
      </c>
      <c r="H1950" s="1" t="s">
        <v>24</v>
      </c>
      <c r="I1950" t="s">
        <v>51</v>
      </c>
      <c r="J1950" t="s">
        <v>14</v>
      </c>
    </row>
    <row r="1951" spans="1:10" x14ac:dyDescent="0.35">
      <c r="A1951">
        <v>1950</v>
      </c>
      <c r="B1951" s="1" t="s">
        <v>20</v>
      </c>
      <c r="C1951">
        <v>2022</v>
      </c>
      <c r="D1951" s="4">
        <v>2.6</v>
      </c>
      <c r="E1951" s="5">
        <v>298962</v>
      </c>
      <c r="F1951" s="1" t="s">
        <v>16</v>
      </c>
      <c r="G1951" s="10">
        <v>31874.18</v>
      </c>
      <c r="H1951" s="1" t="s">
        <v>21</v>
      </c>
      <c r="I1951" t="s">
        <v>51</v>
      </c>
      <c r="J1951" t="s">
        <v>14</v>
      </c>
    </row>
    <row r="1952" spans="1:10" x14ac:dyDescent="0.35">
      <c r="A1952">
        <v>1951</v>
      </c>
      <c r="B1952" s="1" t="s">
        <v>20</v>
      </c>
      <c r="C1952">
        <v>2015</v>
      </c>
      <c r="D1952" s="4">
        <v>3.8</v>
      </c>
      <c r="E1952" s="5">
        <v>168393</v>
      </c>
      <c r="F1952" s="1" t="s">
        <v>15</v>
      </c>
      <c r="G1952" s="10">
        <v>53403.76</v>
      </c>
      <c r="H1952" s="1" t="s">
        <v>33</v>
      </c>
      <c r="I1952" t="s">
        <v>52</v>
      </c>
      <c r="J1952" t="s">
        <v>22</v>
      </c>
    </row>
    <row r="1953" spans="1:10" x14ac:dyDescent="0.35">
      <c r="A1953">
        <v>1952</v>
      </c>
      <c r="B1953" s="1" t="s">
        <v>29</v>
      </c>
      <c r="C1953">
        <v>2014</v>
      </c>
      <c r="D1953" s="4">
        <v>5.3</v>
      </c>
      <c r="E1953" s="5">
        <v>283453</v>
      </c>
      <c r="F1953" s="1" t="s">
        <v>15</v>
      </c>
      <c r="G1953" s="10">
        <v>53526.46</v>
      </c>
      <c r="H1953" s="1" t="s">
        <v>43</v>
      </c>
      <c r="I1953" t="s">
        <v>53</v>
      </c>
      <c r="J1953" t="s">
        <v>22</v>
      </c>
    </row>
    <row r="1954" spans="1:10" x14ac:dyDescent="0.35">
      <c r="A1954">
        <v>1953</v>
      </c>
      <c r="B1954" s="1" t="s">
        <v>35</v>
      </c>
      <c r="C1954">
        <v>2016</v>
      </c>
      <c r="D1954" s="4">
        <v>4.3</v>
      </c>
      <c r="E1954" s="5">
        <v>290320</v>
      </c>
      <c r="F1954" s="1" t="s">
        <v>16</v>
      </c>
      <c r="G1954" s="10">
        <v>82357.98</v>
      </c>
      <c r="H1954" s="1" t="s">
        <v>47</v>
      </c>
      <c r="I1954" t="s">
        <v>13</v>
      </c>
      <c r="J1954" t="s">
        <v>14</v>
      </c>
    </row>
    <row r="1955" spans="1:10" x14ac:dyDescent="0.35">
      <c r="A1955">
        <v>1954</v>
      </c>
      <c r="B1955" s="1" t="s">
        <v>23</v>
      </c>
      <c r="C1955">
        <v>2007</v>
      </c>
      <c r="D1955" s="4">
        <v>3.2</v>
      </c>
      <c r="E1955" s="5">
        <v>68879</v>
      </c>
      <c r="F1955" s="1" t="s">
        <v>11</v>
      </c>
      <c r="G1955" s="10">
        <v>76535.97</v>
      </c>
      <c r="H1955" s="1" t="s">
        <v>32</v>
      </c>
      <c r="I1955" t="s">
        <v>51</v>
      </c>
      <c r="J1955" t="s">
        <v>22</v>
      </c>
    </row>
    <row r="1956" spans="1:10" x14ac:dyDescent="0.35">
      <c r="A1956">
        <v>1955</v>
      </c>
      <c r="B1956" s="1" t="s">
        <v>23</v>
      </c>
      <c r="C1956">
        <v>2011</v>
      </c>
      <c r="D1956" s="4">
        <v>5.8</v>
      </c>
      <c r="E1956" s="5">
        <v>67592</v>
      </c>
      <c r="F1956" s="1" t="s">
        <v>15</v>
      </c>
      <c r="G1956" s="10">
        <v>91804.89</v>
      </c>
      <c r="H1956" s="1" t="s">
        <v>34</v>
      </c>
      <c r="I1956" t="s">
        <v>51</v>
      </c>
      <c r="J1956" t="s">
        <v>22</v>
      </c>
    </row>
    <row r="1957" spans="1:10" x14ac:dyDescent="0.35">
      <c r="A1957">
        <v>1956</v>
      </c>
      <c r="B1957" s="1" t="s">
        <v>29</v>
      </c>
      <c r="C1957">
        <v>2021</v>
      </c>
      <c r="D1957" s="4">
        <v>4.5999999999999996</v>
      </c>
      <c r="E1957" s="5">
        <v>220084</v>
      </c>
      <c r="F1957" s="1" t="s">
        <v>16</v>
      </c>
      <c r="G1957" s="10">
        <v>84125.66</v>
      </c>
      <c r="H1957" s="1" t="s">
        <v>38</v>
      </c>
      <c r="I1957" t="s">
        <v>51</v>
      </c>
      <c r="J1957" t="s">
        <v>14</v>
      </c>
    </row>
    <row r="1958" spans="1:10" x14ac:dyDescent="0.35">
      <c r="A1958">
        <v>1957</v>
      </c>
      <c r="B1958" s="1" t="s">
        <v>25</v>
      </c>
      <c r="C1958">
        <v>2020</v>
      </c>
      <c r="D1958" s="4">
        <v>5.7</v>
      </c>
      <c r="E1958" s="5">
        <v>197494</v>
      </c>
      <c r="F1958" s="1" t="s">
        <v>16</v>
      </c>
      <c r="G1958" s="10">
        <v>29118.37</v>
      </c>
      <c r="H1958" s="1" t="s">
        <v>49</v>
      </c>
      <c r="I1958" t="s">
        <v>13</v>
      </c>
      <c r="J1958" t="s">
        <v>14</v>
      </c>
    </row>
    <row r="1959" spans="1:10" x14ac:dyDescent="0.35">
      <c r="A1959">
        <v>1958</v>
      </c>
      <c r="B1959" s="1" t="s">
        <v>25</v>
      </c>
      <c r="C1959">
        <v>2009</v>
      </c>
      <c r="D1959" s="4">
        <v>3.6</v>
      </c>
      <c r="E1959" s="5">
        <v>270728</v>
      </c>
      <c r="F1959" s="1" t="s">
        <v>15</v>
      </c>
      <c r="G1959" s="10">
        <v>36473.19</v>
      </c>
      <c r="H1959" s="1" t="s">
        <v>44</v>
      </c>
      <c r="I1959" t="s">
        <v>51</v>
      </c>
      <c r="J1959" t="s">
        <v>14</v>
      </c>
    </row>
    <row r="1960" spans="1:10" x14ac:dyDescent="0.35">
      <c r="A1960">
        <v>1959</v>
      </c>
      <c r="B1960" s="1" t="s">
        <v>10</v>
      </c>
      <c r="C1960">
        <v>2014</v>
      </c>
      <c r="D1960" s="4">
        <v>2.2999999999999998</v>
      </c>
      <c r="E1960" s="5">
        <v>124555</v>
      </c>
      <c r="F1960" s="1" t="s">
        <v>11</v>
      </c>
      <c r="G1960" s="10">
        <v>52540.21</v>
      </c>
      <c r="H1960" s="1" t="s">
        <v>18</v>
      </c>
      <c r="I1960" t="s">
        <v>13</v>
      </c>
      <c r="J1960" t="s">
        <v>14</v>
      </c>
    </row>
    <row r="1961" spans="1:10" x14ac:dyDescent="0.35">
      <c r="A1961">
        <v>1960</v>
      </c>
      <c r="B1961" s="1" t="s">
        <v>35</v>
      </c>
      <c r="C1961">
        <v>2008</v>
      </c>
      <c r="D1961" s="4">
        <v>1.3</v>
      </c>
      <c r="E1961" s="5">
        <v>18830</v>
      </c>
      <c r="F1961" s="1" t="s">
        <v>16</v>
      </c>
      <c r="G1961" s="10">
        <v>6355.76</v>
      </c>
      <c r="H1961" s="1" t="s">
        <v>50</v>
      </c>
      <c r="I1961" t="s">
        <v>53</v>
      </c>
      <c r="J1961" t="s">
        <v>22</v>
      </c>
    </row>
    <row r="1962" spans="1:10" x14ac:dyDescent="0.35">
      <c r="A1962">
        <v>1961</v>
      </c>
      <c r="B1962" s="1" t="s">
        <v>35</v>
      </c>
      <c r="C1962">
        <v>2001</v>
      </c>
      <c r="D1962" s="4">
        <v>4.5999999999999996</v>
      </c>
      <c r="E1962" s="5">
        <v>216897</v>
      </c>
      <c r="F1962" s="1" t="s">
        <v>11</v>
      </c>
      <c r="G1962" s="10">
        <v>90870.69</v>
      </c>
      <c r="H1962" s="1" t="s">
        <v>45</v>
      </c>
      <c r="I1962" t="s">
        <v>53</v>
      </c>
      <c r="J1962" t="s">
        <v>14</v>
      </c>
    </row>
    <row r="1963" spans="1:10" x14ac:dyDescent="0.35">
      <c r="A1963">
        <v>1962</v>
      </c>
      <c r="B1963" s="1" t="s">
        <v>27</v>
      </c>
      <c r="C1963">
        <v>2004</v>
      </c>
      <c r="D1963" s="4">
        <v>1.6</v>
      </c>
      <c r="E1963" s="5">
        <v>252234</v>
      </c>
      <c r="F1963" s="1" t="s">
        <v>11</v>
      </c>
      <c r="G1963" s="10">
        <v>9212.7000000000007</v>
      </c>
      <c r="H1963" s="1" t="s">
        <v>28</v>
      </c>
      <c r="I1963" t="s">
        <v>53</v>
      </c>
      <c r="J1963" t="s">
        <v>22</v>
      </c>
    </row>
    <row r="1964" spans="1:10" x14ac:dyDescent="0.35">
      <c r="A1964">
        <v>1963</v>
      </c>
      <c r="B1964" s="1" t="s">
        <v>29</v>
      </c>
      <c r="C1964">
        <v>2005</v>
      </c>
      <c r="D1964" s="4">
        <v>2.5</v>
      </c>
      <c r="E1964" s="5">
        <v>265735</v>
      </c>
      <c r="F1964" s="1" t="s">
        <v>15</v>
      </c>
      <c r="G1964" s="10">
        <v>35631.919999999998</v>
      </c>
      <c r="H1964" s="1" t="s">
        <v>43</v>
      </c>
      <c r="I1964" t="s">
        <v>52</v>
      </c>
      <c r="J1964" t="s">
        <v>14</v>
      </c>
    </row>
    <row r="1965" spans="1:10" x14ac:dyDescent="0.35">
      <c r="A1965">
        <v>1964</v>
      </c>
      <c r="B1965" s="1" t="s">
        <v>25</v>
      </c>
      <c r="C1965">
        <v>2006</v>
      </c>
      <c r="D1965" s="4">
        <v>3.7</v>
      </c>
      <c r="E1965" s="5">
        <v>93878</v>
      </c>
      <c r="F1965" s="1" t="s">
        <v>16</v>
      </c>
      <c r="G1965" s="10">
        <v>59071.61</v>
      </c>
      <c r="H1965" s="1" t="s">
        <v>49</v>
      </c>
      <c r="I1965" t="s">
        <v>13</v>
      </c>
      <c r="J1965" t="s">
        <v>22</v>
      </c>
    </row>
    <row r="1966" spans="1:10" x14ac:dyDescent="0.35">
      <c r="A1966">
        <v>1965</v>
      </c>
      <c r="B1966" s="1" t="s">
        <v>20</v>
      </c>
      <c r="C1966">
        <v>2020</v>
      </c>
      <c r="D1966" s="4">
        <v>3.8</v>
      </c>
      <c r="E1966" s="5">
        <v>125407</v>
      </c>
      <c r="F1966" s="1" t="s">
        <v>16</v>
      </c>
      <c r="G1966" s="10">
        <v>54194.93</v>
      </c>
      <c r="H1966" s="1" t="s">
        <v>21</v>
      </c>
      <c r="I1966" t="s">
        <v>51</v>
      </c>
      <c r="J1966" t="s">
        <v>14</v>
      </c>
    </row>
    <row r="1967" spans="1:10" x14ac:dyDescent="0.35">
      <c r="A1967">
        <v>1966</v>
      </c>
      <c r="B1967" s="1" t="s">
        <v>23</v>
      </c>
      <c r="C1967">
        <v>2000</v>
      </c>
      <c r="D1967" s="4">
        <v>4</v>
      </c>
      <c r="E1967" s="5">
        <v>116869</v>
      </c>
      <c r="F1967" s="1" t="s">
        <v>11</v>
      </c>
      <c r="G1967" s="10">
        <v>67173.69</v>
      </c>
      <c r="H1967" s="1" t="s">
        <v>42</v>
      </c>
      <c r="I1967" t="s">
        <v>51</v>
      </c>
      <c r="J1967" t="s">
        <v>22</v>
      </c>
    </row>
    <row r="1968" spans="1:10" x14ac:dyDescent="0.35">
      <c r="A1968">
        <v>1967</v>
      </c>
      <c r="B1968" s="1" t="s">
        <v>35</v>
      </c>
      <c r="C1968">
        <v>2022</v>
      </c>
      <c r="D1968" s="4">
        <v>1.8</v>
      </c>
      <c r="E1968" s="5">
        <v>257716</v>
      </c>
      <c r="F1968" s="1" t="s">
        <v>15</v>
      </c>
      <c r="G1968" s="10">
        <v>55114.42</v>
      </c>
      <c r="H1968" s="1" t="s">
        <v>47</v>
      </c>
      <c r="I1968" t="s">
        <v>51</v>
      </c>
      <c r="J1968" t="s">
        <v>14</v>
      </c>
    </row>
    <row r="1969" spans="1:10" x14ac:dyDescent="0.35">
      <c r="A1969">
        <v>1968</v>
      </c>
      <c r="B1969" s="1" t="s">
        <v>23</v>
      </c>
      <c r="C1969">
        <v>2006</v>
      </c>
      <c r="D1969" s="4">
        <v>2.9</v>
      </c>
      <c r="E1969" s="5">
        <v>283539</v>
      </c>
      <c r="F1969" s="1" t="s">
        <v>15</v>
      </c>
      <c r="G1969" s="10">
        <v>26755.14</v>
      </c>
      <c r="H1969" s="1" t="s">
        <v>24</v>
      </c>
      <c r="I1969" t="s">
        <v>51</v>
      </c>
      <c r="J1969" t="s">
        <v>22</v>
      </c>
    </row>
    <row r="1970" spans="1:10" x14ac:dyDescent="0.35">
      <c r="A1970">
        <v>1969</v>
      </c>
      <c r="B1970" s="1" t="s">
        <v>23</v>
      </c>
      <c r="C1970">
        <v>2019</v>
      </c>
      <c r="D1970" s="4">
        <v>4.0999999999999996</v>
      </c>
      <c r="E1970" s="5">
        <v>16738</v>
      </c>
      <c r="F1970" s="1" t="s">
        <v>15</v>
      </c>
      <c r="G1970" s="10">
        <v>24102.43</v>
      </c>
      <c r="H1970" s="1" t="s">
        <v>42</v>
      </c>
      <c r="I1970" t="s">
        <v>52</v>
      </c>
      <c r="J1970" t="s">
        <v>22</v>
      </c>
    </row>
    <row r="1971" spans="1:10" x14ac:dyDescent="0.35">
      <c r="A1971">
        <v>1970</v>
      </c>
      <c r="B1971" s="1" t="s">
        <v>27</v>
      </c>
      <c r="C1971">
        <v>2011</v>
      </c>
      <c r="D1971" s="4">
        <v>5.8</v>
      </c>
      <c r="E1971" s="5">
        <v>133703</v>
      </c>
      <c r="F1971" s="1" t="s">
        <v>11</v>
      </c>
      <c r="G1971" s="10">
        <v>91188.47</v>
      </c>
      <c r="H1971" s="1" t="s">
        <v>48</v>
      </c>
      <c r="I1971" t="s">
        <v>51</v>
      </c>
      <c r="J1971" t="s">
        <v>14</v>
      </c>
    </row>
    <row r="1972" spans="1:10" x14ac:dyDescent="0.35">
      <c r="A1972">
        <v>1971</v>
      </c>
      <c r="B1972" s="1" t="s">
        <v>25</v>
      </c>
      <c r="C1972">
        <v>2015</v>
      </c>
      <c r="D1972" s="4">
        <v>4.5999999999999996</v>
      </c>
      <c r="E1972" s="5">
        <v>148977</v>
      </c>
      <c r="F1972" s="1" t="s">
        <v>11</v>
      </c>
      <c r="G1972" s="10">
        <v>30076.84</v>
      </c>
      <c r="H1972" s="1" t="s">
        <v>26</v>
      </c>
      <c r="I1972" t="s">
        <v>52</v>
      </c>
      <c r="J1972" t="s">
        <v>22</v>
      </c>
    </row>
    <row r="1973" spans="1:10" x14ac:dyDescent="0.35">
      <c r="A1973">
        <v>1972</v>
      </c>
      <c r="B1973" s="1" t="s">
        <v>35</v>
      </c>
      <c r="C1973">
        <v>2015</v>
      </c>
      <c r="D1973" s="4">
        <v>5.6</v>
      </c>
      <c r="E1973" s="5">
        <v>19056</v>
      </c>
      <c r="F1973" s="1" t="s">
        <v>16</v>
      </c>
      <c r="G1973" s="10">
        <v>31692.84</v>
      </c>
      <c r="H1973" s="1" t="s">
        <v>45</v>
      </c>
      <c r="I1973" t="s">
        <v>13</v>
      </c>
      <c r="J1973" t="s">
        <v>22</v>
      </c>
    </row>
    <row r="1974" spans="1:10" x14ac:dyDescent="0.35">
      <c r="A1974">
        <v>1973</v>
      </c>
      <c r="B1974" s="1" t="s">
        <v>23</v>
      </c>
      <c r="C1974">
        <v>2010</v>
      </c>
      <c r="D1974" s="4">
        <v>4.8</v>
      </c>
      <c r="E1974" s="5">
        <v>240746</v>
      </c>
      <c r="F1974" s="1" t="s">
        <v>15</v>
      </c>
      <c r="G1974" s="10">
        <v>44230.53</v>
      </c>
      <c r="H1974" s="1" t="s">
        <v>34</v>
      </c>
      <c r="I1974" t="s">
        <v>53</v>
      </c>
      <c r="J1974" t="s">
        <v>14</v>
      </c>
    </row>
    <row r="1975" spans="1:10" x14ac:dyDescent="0.35">
      <c r="A1975">
        <v>1974</v>
      </c>
      <c r="B1975" s="1" t="s">
        <v>35</v>
      </c>
      <c r="C1975">
        <v>2020</v>
      </c>
      <c r="D1975" s="4">
        <v>4</v>
      </c>
      <c r="E1975" s="5">
        <v>115316</v>
      </c>
      <c r="F1975" s="1" t="s">
        <v>11</v>
      </c>
      <c r="G1975" s="10">
        <v>18246.64</v>
      </c>
      <c r="H1975" s="1" t="s">
        <v>36</v>
      </c>
      <c r="I1975" t="s">
        <v>51</v>
      </c>
      <c r="J1975" t="s">
        <v>22</v>
      </c>
    </row>
    <row r="1976" spans="1:10" x14ac:dyDescent="0.35">
      <c r="A1976">
        <v>1975</v>
      </c>
      <c r="B1976" s="1" t="s">
        <v>20</v>
      </c>
      <c r="C1976">
        <v>2003</v>
      </c>
      <c r="D1976" s="4">
        <v>2</v>
      </c>
      <c r="E1976" s="5">
        <v>166519</v>
      </c>
      <c r="F1976" s="1" t="s">
        <v>15</v>
      </c>
      <c r="G1976" s="10">
        <v>53190.92</v>
      </c>
      <c r="H1976" s="1" t="s">
        <v>46</v>
      </c>
      <c r="I1976" t="s">
        <v>53</v>
      </c>
      <c r="J1976" t="s">
        <v>22</v>
      </c>
    </row>
    <row r="1977" spans="1:10" x14ac:dyDescent="0.35">
      <c r="A1977">
        <v>1976</v>
      </c>
      <c r="B1977" s="1" t="s">
        <v>27</v>
      </c>
      <c r="C1977">
        <v>2012</v>
      </c>
      <c r="D1977" s="4">
        <v>4.3</v>
      </c>
      <c r="E1977" s="5">
        <v>54418</v>
      </c>
      <c r="F1977" s="1" t="s">
        <v>11</v>
      </c>
      <c r="G1977" s="10">
        <v>68178.02</v>
      </c>
      <c r="H1977" s="1" t="s">
        <v>48</v>
      </c>
      <c r="I1977" t="s">
        <v>13</v>
      </c>
      <c r="J1977" t="s">
        <v>22</v>
      </c>
    </row>
    <row r="1978" spans="1:10" x14ac:dyDescent="0.35">
      <c r="A1978">
        <v>1977</v>
      </c>
      <c r="B1978" s="1" t="s">
        <v>20</v>
      </c>
      <c r="C1978">
        <v>2006</v>
      </c>
      <c r="D1978" s="4">
        <v>4.0999999999999996</v>
      </c>
      <c r="E1978" s="5">
        <v>299334</v>
      </c>
      <c r="F1978" s="1" t="s">
        <v>16</v>
      </c>
      <c r="G1978" s="10">
        <v>79670.05</v>
      </c>
      <c r="H1978" s="1" t="s">
        <v>33</v>
      </c>
      <c r="I1978" t="s">
        <v>13</v>
      </c>
      <c r="J1978" t="s">
        <v>14</v>
      </c>
    </row>
    <row r="1979" spans="1:10" x14ac:dyDescent="0.35">
      <c r="A1979">
        <v>1978</v>
      </c>
      <c r="B1979" s="1" t="s">
        <v>35</v>
      </c>
      <c r="C1979">
        <v>2003</v>
      </c>
      <c r="D1979" s="4">
        <v>4</v>
      </c>
      <c r="E1979" s="5">
        <v>26014</v>
      </c>
      <c r="F1979" s="1" t="s">
        <v>15</v>
      </c>
      <c r="G1979" s="10">
        <v>72588.149999999994</v>
      </c>
      <c r="H1979" s="1" t="s">
        <v>45</v>
      </c>
      <c r="I1979" t="s">
        <v>51</v>
      </c>
      <c r="J1979" t="s">
        <v>14</v>
      </c>
    </row>
    <row r="1980" spans="1:10" x14ac:dyDescent="0.35">
      <c r="A1980">
        <v>1979</v>
      </c>
      <c r="B1980" s="1" t="s">
        <v>10</v>
      </c>
      <c r="C1980">
        <v>2014</v>
      </c>
      <c r="D1980" s="4">
        <v>3.4</v>
      </c>
      <c r="E1980" s="5">
        <v>204071</v>
      </c>
      <c r="F1980" s="1" t="s">
        <v>11</v>
      </c>
      <c r="G1980" s="10">
        <v>19025.419999999998</v>
      </c>
      <c r="H1980" s="1" t="s">
        <v>19</v>
      </c>
      <c r="I1980" t="s">
        <v>13</v>
      </c>
      <c r="J1980" t="s">
        <v>14</v>
      </c>
    </row>
    <row r="1981" spans="1:10" x14ac:dyDescent="0.35">
      <c r="A1981">
        <v>1980</v>
      </c>
      <c r="B1981" s="1" t="s">
        <v>35</v>
      </c>
      <c r="C1981">
        <v>2018</v>
      </c>
      <c r="D1981" s="4">
        <v>3.6</v>
      </c>
      <c r="E1981" s="5">
        <v>238989</v>
      </c>
      <c r="F1981" s="1" t="s">
        <v>15</v>
      </c>
      <c r="G1981" s="10">
        <v>48326.38</v>
      </c>
      <c r="H1981" s="1" t="s">
        <v>50</v>
      </c>
      <c r="I1981" t="s">
        <v>53</v>
      </c>
      <c r="J1981" t="s">
        <v>14</v>
      </c>
    </row>
    <row r="1982" spans="1:10" x14ac:dyDescent="0.35">
      <c r="A1982">
        <v>1981</v>
      </c>
      <c r="B1982" s="1" t="s">
        <v>25</v>
      </c>
      <c r="C1982">
        <v>2008</v>
      </c>
      <c r="D1982" s="4">
        <v>2.7</v>
      </c>
      <c r="E1982" s="5">
        <v>181350</v>
      </c>
      <c r="F1982" s="1" t="s">
        <v>11</v>
      </c>
      <c r="G1982" s="10">
        <v>8665.69</v>
      </c>
      <c r="H1982" s="1" t="s">
        <v>49</v>
      </c>
      <c r="I1982" t="s">
        <v>51</v>
      </c>
      <c r="J1982" t="s">
        <v>14</v>
      </c>
    </row>
    <row r="1983" spans="1:10" x14ac:dyDescent="0.35">
      <c r="A1983">
        <v>1982</v>
      </c>
      <c r="B1983" s="1" t="s">
        <v>23</v>
      </c>
      <c r="C1983">
        <v>2010</v>
      </c>
      <c r="D1983" s="4">
        <v>3.6</v>
      </c>
      <c r="E1983" s="5">
        <v>263924</v>
      </c>
      <c r="F1983" s="1" t="s">
        <v>11</v>
      </c>
      <c r="G1983" s="10">
        <v>6690.81</v>
      </c>
      <c r="H1983" s="1" t="s">
        <v>42</v>
      </c>
      <c r="I1983" t="s">
        <v>52</v>
      </c>
      <c r="J1983" t="s">
        <v>22</v>
      </c>
    </row>
    <row r="1984" spans="1:10" x14ac:dyDescent="0.35">
      <c r="A1984">
        <v>1983</v>
      </c>
      <c r="B1984" s="1" t="s">
        <v>23</v>
      </c>
      <c r="C1984">
        <v>2007</v>
      </c>
      <c r="D1984" s="4">
        <v>2</v>
      </c>
      <c r="E1984" s="5">
        <v>190330</v>
      </c>
      <c r="F1984" s="1" t="s">
        <v>11</v>
      </c>
      <c r="G1984" s="10">
        <v>46812.39</v>
      </c>
      <c r="H1984" s="1" t="s">
        <v>32</v>
      </c>
      <c r="I1984" t="s">
        <v>51</v>
      </c>
      <c r="J1984" t="s">
        <v>22</v>
      </c>
    </row>
    <row r="1985" spans="1:10" x14ac:dyDescent="0.35">
      <c r="A1985">
        <v>1984</v>
      </c>
      <c r="B1985" s="1" t="s">
        <v>20</v>
      </c>
      <c r="C1985">
        <v>2000</v>
      </c>
      <c r="D1985" s="4">
        <v>5</v>
      </c>
      <c r="E1985" s="5">
        <v>42192</v>
      </c>
      <c r="F1985" s="1" t="s">
        <v>15</v>
      </c>
      <c r="G1985" s="10">
        <v>29031.25</v>
      </c>
      <c r="H1985" s="1" t="s">
        <v>39</v>
      </c>
      <c r="I1985" t="s">
        <v>53</v>
      </c>
      <c r="J1985" t="s">
        <v>14</v>
      </c>
    </row>
    <row r="1986" spans="1:10" x14ac:dyDescent="0.35">
      <c r="A1986">
        <v>1985</v>
      </c>
      <c r="B1986" s="1" t="s">
        <v>27</v>
      </c>
      <c r="C1986">
        <v>2022</v>
      </c>
      <c r="D1986" s="4">
        <v>1.9</v>
      </c>
      <c r="E1986" s="5">
        <v>43923</v>
      </c>
      <c r="F1986" s="1" t="s">
        <v>11</v>
      </c>
      <c r="G1986" s="10">
        <v>69919.28</v>
      </c>
      <c r="H1986" s="1" t="s">
        <v>37</v>
      </c>
      <c r="I1986" t="s">
        <v>51</v>
      </c>
      <c r="J1986" t="s">
        <v>22</v>
      </c>
    </row>
    <row r="1987" spans="1:10" x14ac:dyDescent="0.35">
      <c r="A1987">
        <v>1986</v>
      </c>
      <c r="B1987" s="1" t="s">
        <v>10</v>
      </c>
      <c r="C1987">
        <v>2023</v>
      </c>
      <c r="D1987" s="4">
        <v>1.4</v>
      </c>
      <c r="E1987" s="5">
        <v>89196</v>
      </c>
      <c r="F1987" s="1" t="s">
        <v>16</v>
      </c>
      <c r="G1987" s="10">
        <v>73802.87</v>
      </c>
      <c r="H1987" s="1" t="s">
        <v>12</v>
      </c>
      <c r="I1987" t="s">
        <v>13</v>
      </c>
      <c r="J1987" t="s">
        <v>14</v>
      </c>
    </row>
    <row r="1988" spans="1:10" x14ac:dyDescent="0.35">
      <c r="A1988">
        <v>1987</v>
      </c>
      <c r="B1988" s="1" t="s">
        <v>29</v>
      </c>
      <c r="C1988">
        <v>2007</v>
      </c>
      <c r="D1988" s="4">
        <v>3.2</v>
      </c>
      <c r="E1988" s="5">
        <v>2395</v>
      </c>
      <c r="F1988" s="1" t="s">
        <v>15</v>
      </c>
      <c r="G1988" s="10">
        <v>90063.35</v>
      </c>
      <c r="H1988" s="1" t="s">
        <v>38</v>
      </c>
      <c r="I1988" t="s">
        <v>53</v>
      </c>
      <c r="J1988" t="s">
        <v>22</v>
      </c>
    </row>
    <row r="1989" spans="1:10" x14ac:dyDescent="0.35">
      <c r="A1989">
        <v>1988</v>
      </c>
      <c r="B1989" s="1" t="s">
        <v>23</v>
      </c>
      <c r="C1989">
        <v>2012</v>
      </c>
      <c r="D1989" s="4">
        <v>4.3</v>
      </c>
      <c r="E1989" s="5">
        <v>228456</v>
      </c>
      <c r="F1989" s="1" t="s">
        <v>16</v>
      </c>
      <c r="G1989" s="10">
        <v>77264.84</v>
      </c>
      <c r="H1989" s="1" t="s">
        <v>42</v>
      </c>
      <c r="I1989" t="s">
        <v>51</v>
      </c>
      <c r="J1989" t="s">
        <v>22</v>
      </c>
    </row>
    <row r="1990" spans="1:10" x14ac:dyDescent="0.35">
      <c r="A1990">
        <v>1989</v>
      </c>
      <c r="B1990" s="1" t="s">
        <v>25</v>
      </c>
      <c r="C1990">
        <v>2021</v>
      </c>
      <c r="D1990" s="4">
        <v>3.2</v>
      </c>
      <c r="E1990" s="5">
        <v>71028</v>
      </c>
      <c r="F1990" s="1" t="s">
        <v>16</v>
      </c>
      <c r="G1990" s="10">
        <v>9583.19</v>
      </c>
      <c r="H1990" s="1" t="s">
        <v>41</v>
      </c>
      <c r="I1990" t="s">
        <v>51</v>
      </c>
      <c r="J1990" t="s">
        <v>14</v>
      </c>
    </row>
    <row r="1991" spans="1:10" x14ac:dyDescent="0.35">
      <c r="A1991">
        <v>1990</v>
      </c>
      <c r="B1991" s="1" t="s">
        <v>20</v>
      </c>
      <c r="C1991">
        <v>2003</v>
      </c>
      <c r="D1991" s="4">
        <v>2.4</v>
      </c>
      <c r="E1991" s="5">
        <v>242463</v>
      </c>
      <c r="F1991" s="1" t="s">
        <v>15</v>
      </c>
      <c r="G1991" s="10">
        <v>40304.19</v>
      </c>
      <c r="H1991" s="1" t="s">
        <v>33</v>
      </c>
      <c r="I1991" t="s">
        <v>53</v>
      </c>
      <c r="J1991" t="s">
        <v>14</v>
      </c>
    </row>
    <row r="1992" spans="1:10" x14ac:dyDescent="0.35">
      <c r="A1992">
        <v>1991</v>
      </c>
      <c r="B1992" s="1" t="s">
        <v>20</v>
      </c>
      <c r="C1992">
        <v>2007</v>
      </c>
      <c r="D1992" s="4">
        <v>3.8</v>
      </c>
      <c r="E1992" s="5">
        <v>141056</v>
      </c>
      <c r="F1992" s="1" t="s">
        <v>11</v>
      </c>
      <c r="G1992" s="10">
        <v>30937.22</v>
      </c>
      <c r="H1992" s="1" t="s">
        <v>39</v>
      </c>
      <c r="I1992" t="s">
        <v>13</v>
      </c>
      <c r="J1992" t="s">
        <v>22</v>
      </c>
    </row>
    <row r="1993" spans="1:10" x14ac:dyDescent="0.35">
      <c r="A1993">
        <v>1992</v>
      </c>
      <c r="B1993" s="1" t="s">
        <v>29</v>
      </c>
      <c r="C1993">
        <v>2002</v>
      </c>
      <c r="D1993" s="4">
        <v>2.7</v>
      </c>
      <c r="E1993" s="5">
        <v>203400</v>
      </c>
      <c r="F1993" s="1" t="s">
        <v>16</v>
      </c>
      <c r="G1993" s="10">
        <v>41682.58</v>
      </c>
      <c r="H1993" s="1" t="s">
        <v>30</v>
      </c>
      <c r="I1993" t="s">
        <v>53</v>
      </c>
      <c r="J1993" t="s">
        <v>22</v>
      </c>
    </row>
    <row r="1994" spans="1:10" x14ac:dyDescent="0.35">
      <c r="A1994">
        <v>1993</v>
      </c>
      <c r="B1994" s="1" t="s">
        <v>25</v>
      </c>
      <c r="C1994">
        <v>2008</v>
      </c>
      <c r="D1994" s="4">
        <v>5.7</v>
      </c>
      <c r="E1994" s="5">
        <v>255315</v>
      </c>
      <c r="F1994" s="1" t="s">
        <v>15</v>
      </c>
      <c r="G1994" s="10">
        <v>20207.189999999999</v>
      </c>
      <c r="H1994" s="1" t="s">
        <v>44</v>
      </c>
      <c r="I1994" t="s">
        <v>51</v>
      </c>
      <c r="J1994" t="s">
        <v>14</v>
      </c>
    </row>
    <row r="1995" spans="1:10" x14ac:dyDescent="0.35">
      <c r="A1995">
        <v>1994</v>
      </c>
      <c r="B1995" s="1" t="s">
        <v>27</v>
      </c>
      <c r="C1995">
        <v>2001</v>
      </c>
      <c r="D1995" s="4">
        <v>5.6</v>
      </c>
      <c r="E1995" s="5">
        <v>289068</v>
      </c>
      <c r="F1995" s="1" t="s">
        <v>11</v>
      </c>
      <c r="G1995" s="10">
        <v>14281.89</v>
      </c>
      <c r="H1995" s="1" t="s">
        <v>37</v>
      </c>
      <c r="I1995" t="s">
        <v>52</v>
      </c>
      <c r="J1995" t="s">
        <v>22</v>
      </c>
    </row>
    <row r="1996" spans="1:10" x14ac:dyDescent="0.35">
      <c r="A1996">
        <v>1995</v>
      </c>
      <c r="B1996" s="1" t="s">
        <v>25</v>
      </c>
      <c r="C1996">
        <v>2001</v>
      </c>
      <c r="D1996" s="4">
        <v>3.5</v>
      </c>
      <c r="E1996" s="5">
        <v>294721</v>
      </c>
      <c r="F1996" s="1" t="s">
        <v>15</v>
      </c>
      <c r="G1996" s="10">
        <v>54493.53</v>
      </c>
      <c r="H1996" s="1" t="s">
        <v>26</v>
      </c>
      <c r="I1996" t="s">
        <v>52</v>
      </c>
      <c r="J1996" t="s">
        <v>22</v>
      </c>
    </row>
    <row r="1997" spans="1:10" x14ac:dyDescent="0.35">
      <c r="A1997">
        <v>1996</v>
      </c>
      <c r="B1997" s="1" t="s">
        <v>27</v>
      </c>
      <c r="C1997">
        <v>2012</v>
      </c>
      <c r="D1997" s="4">
        <v>2.6</v>
      </c>
      <c r="E1997" s="5">
        <v>138783</v>
      </c>
      <c r="F1997" s="1" t="s">
        <v>15</v>
      </c>
      <c r="G1997" s="10">
        <v>73436.22</v>
      </c>
      <c r="H1997" s="1" t="s">
        <v>48</v>
      </c>
      <c r="I1997" t="s">
        <v>53</v>
      </c>
      <c r="J1997" t="s">
        <v>22</v>
      </c>
    </row>
    <row r="1998" spans="1:10" x14ac:dyDescent="0.35">
      <c r="A1998">
        <v>1997</v>
      </c>
      <c r="B1998" s="1" t="s">
        <v>25</v>
      </c>
      <c r="C1998">
        <v>2014</v>
      </c>
      <c r="D1998" s="4">
        <v>4.7</v>
      </c>
      <c r="E1998" s="5">
        <v>85548</v>
      </c>
      <c r="F1998" s="1" t="s">
        <v>15</v>
      </c>
      <c r="G1998" s="10">
        <v>71681.539999999994</v>
      </c>
      <c r="H1998" s="1" t="s">
        <v>41</v>
      </c>
      <c r="I1998" t="s">
        <v>52</v>
      </c>
      <c r="J1998" t="s">
        <v>14</v>
      </c>
    </row>
    <row r="1999" spans="1:10" x14ac:dyDescent="0.35">
      <c r="A1999">
        <v>1998</v>
      </c>
      <c r="B1999" s="1" t="s">
        <v>25</v>
      </c>
      <c r="C1999">
        <v>2022</v>
      </c>
      <c r="D1999" s="4">
        <v>1.2</v>
      </c>
      <c r="E1999" s="5">
        <v>257288</v>
      </c>
      <c r="F1999" s="1" t="s">
        <v>11</v>
      </c>
      <c r="G1999" s="10">
        <v>47839.71</v>
      </c>
      <c r="H1999" s="1" t="s">
        <v>44</v>
      </c>
      <c r="I1999" t="s">
        <v>51</v>
      </c>
      <c r="J1999" t="s">
        <v>14</v>
      </c>
    </row>
    <row r="2000" spans="1:10" x14ac:dyDescent="0.35">
      <c r="A2000">
        <v>1999</v>
      </c>
      <c r="B2000" s="1" t="s">
        <v>35</v>
      </c>
      <c r="C2000">
        <v>2011</v>
      </c>
      <c r="D2000" s="4">
        <v>3.4</v>
      </c>
      <c r="E2000" s="5">
        <v>125093</v>
      </c>
      <c r="F2000" s="1" t="s">
        <v>16</v>
      </c>
      <c r="G2000" s="10">
        <v>54616.5</v>
      </c>
      <c r="H2000" s="1" t="s">
        <v>36</v>
      </c>
      <c r="I2000" t="s">
        <v>51</v>
      </c>
      <c r="J2000" t="s">
        <v>22</v>
      </c>
    </row>
    <row r="2001" spans="1:10" x14ac:dyDescent="0.35">
      <c r="A2001">
        <v>2000</v>
      </c>
      <c r="B2001" s="1" t="s">
        <v>20</v>
      </c>
      <c r="C2001">
        <v>2003</v>
      </c>
      <c r="D2001" s="4">
        <v>2.7</v>
      </c>
      <c r="E2001" s="5">
        <v>235835</v>
      </c>
      <c r="F2001" s="1" t="s">
        <v>16</v>
      </c>
      <c r="G2001" s="10">
        <v>54051.23</v>
      </c>
      <c r="H2001" s="1" t="s">
        <v>39</v>
      </c>
      <c r="I2001" t="s">
        <v>53</v>
      </c>
      <c r="J2001" t="s">
        <v>22</v>
      </c>
    </row>
    <row r="2002" spans="1:10" x14ac:dyDescent="0.35">
      <c r="A2002">
        <v>2001</v>
      </c>
      <c r="B2002" s="1" t="s">
        <v>25</v>
      </c>
      <c r="C2002">
        <v>2007</v>
      </c>
      <c r="D2002" s="4">
        <v>5.6</v>
      </c>
      <c r="E2002" s="5">
        <v>206084</v>
      </c>
      <c r="F2002" s="1" t="s">
        <v>15</v>
      </c>
      <c r="G2002" s="10">
        <v>70699.19</v>
      </c>
      <c r="H2002" s="1" t="s">
        <v>44</v>
      </c>
      <c r="I2002" t="s">
        <v>51</v>
      </c>
      <c r="J2002" t="s">
        <v>22</v>
      </c>
    </row>
    <row r="2003" spans="1:10" x14ac:dyDescent="0.35">
      <c r="A2003">
        <v>2002</v>
      </c>
      <c r="B2003" s="1" t="s">
        <v>29</v>
      </c>
      <c r="C2003">
        <v>2008</v>
      </c>
      <c r="D2003" s="4">
        <v>1.1000000000000001</v>
      </c>
      <c r="E2003" s="5">
        <v>270398</v>
      </c>
      <c r="F2003" s="1" t="s">
        <v>15</v>
      </c>
      <c r="G2003" s="10">
        <v>9552.89</v>
      </c>
      <c r="H2003" s="1" t="s">
        <v>43</v>
      </c>
      <c r="I2003" t="s">
        <v>13</v>
      </c>
      <c r="J2003" t="s">
        <v>22</v>
      </c>
    </row>
    <row r="2004" spans="1:10" x14ac:dyDescent="0.35">
      <c r="A2004">
        <v>2003</v>
      </c>
      <c r="B2004" s="1" t="s">
        <v>25</v>
      </c>
      <c r="C2004">
        <v>2022</v>
      </c>
      <c r="D2004" s="4">
        <v>3.8</v>
      </c>
      <c r="E2004" s="5">
        <v>229027</v>
      </c>
      <c r="F2004" s="1" t="s">
        <v>11</v>
      </c>
      <c r="G2004" s="10">
        <v>72440.13</v>
      </c>
      <c r="H2004" s="1" t="s">
        <v>41</v>
      </c>
      <c r="I2004" t="s">
        <v>51</v>
      </c>
      <c r="J2004" t="s">
        <v>22</v>
      </c>
    </row>
    <row r="2005" spans="1:10" x14ac:dyDescent="0.35">
      <c r="A2005">
        <v>2004</v>
      </c>
      <c r="B2005" s="1" t="s">
        <v>23</v>
      </c>
      <c r="C2005">
        <v>2004</v>
      </c>
      <c r="D2005" s="4">
        <v>4.7</v>
      </c>
      <c r="E2005" s="5">
        <v>208072</v>
      </c>
      <c r="F2005" s="1" t="s">
        <v>15</v>
      </c>
      <c r="G2005" s="10">
        <v>60309.09</v>
      </c>
      <c r="H2005" s="1" t="s">
        <v>32</v>
      </c>
      <c r="I2005" t="s">
        <v>53</v>
      </c>
      <c r="J2005" t="s">
        <v>22</v>
      </c>
    </row>
    <row r="2006" spans="1:10" x14ac:dyDescent="0.35">
      <c r="A2006">
        <v>2005</v>
      </c>
      <c r="B2006" s="1" t="s">
        <v>20</v>
      </c>
      <c r="C2006">
        <v>2023</v>
      </c>
      <c r="D2006" s="4">
        <v>3.4</v>
      </c>
      <c r="E2006" s="5">
        <v>248029</v>
      </c>
      <c r="F2006" s="1" t="s">
        <v>15</v>
      </c>
      <c r="G2006" s="10">
        <v>23820.33</v>
      </c>
      <c r="H2006" s="1" t="s">
        <v>39</v>
      </c>
      <c r="I2006" t="s">
        <v>13</v>
      </c>
      <c r="J2006" t="s">
        <v>14</v>
      </c>
    </row>
    <row r="2007" spans="1:10" x14ac:dyDescent="0.35">
      <c r="A2007">
        <v>2006</v>
      </c>
      <c r="B2007" s="1" t="s">
        <v>23</v>
      </c>
      <c r="C2007">
        <v>2019</v>
      </c>
      <c r="D2007" s="4">
        <v>1.4</v>
      </c>
      <c r="E2007" s="5">
        <v>209047</v>
      </c>
      <c r="F2007" s="1" t="s">
        <v>15</v>
      </c>
      <c r="G2007" s="10">
        <v>9660.59</v>
      </c>
      <c r="H2007" s="1" t="s">
        <v>32</v>
      </c>
      <c r="I2007" t="s">
        <v>13</v>
      </c>
      <c r="J2007" t="s">
        <v>14</v>
      </c>
    </row>
    <row r="2008" spans="1:10" x14ac:dyDescent="0.35">
      <c r="A2008">
        <v>2007</v>
      </c>
      <c r="B2008" s="1" t="s">
        <v>20</v>
      </c>
      <c r="C2008">
        <v>2017</v>
      </c>
      <c r="D2008" s="4">
        <v>5.9</v>
      </c>
      <c r="E2008" s="5">
        <v>130509</v>
      </c>
      <c r="F2008" s="1" t="s">
        <v>16</v>
      </c>
      <c r="G2008" s="10">
        <v>15310.14</v>
      </c>
      <c r="H2008" s="1" t="s">
        <v>33</v>
      </c>
      <c r="I2008" t="s">
        <v>52</v>
      </c>
      <c r="J2008" t="s">
        <v>22</v>
      </c>
    </row>
    <row r="2009" spans="1:10" x14ac:dyDescent="0.35">
      <c r="A2009">
        <v>2008</v>
      </c>
      <c r="B2009" s="1" t="s">
        <v>23</v>
      </c>
      <c r="C2009">
        <v>2010</v>
      </c>
      <c r="D2009" s="4">
        <v>3.6</v>
      </c>
      <c r="E2009" s="5">
        <v>237784</v>
      </c>
      <c r="F2009" s="1" t="s">
        <v>15</v>
      </c>
      <c r="G2009" s="10">
        <v>54845.68</v>
      </c>
      <c r="H2009" s="1" t="s">
        <v>42</v>
      </c>
      <c r="I2009" t="s">
        <v>51</v>
      </c>
      <c r="J2009" t="s">
        <v>14</v>
      </c>
    </row>
    <row r="2010" spans="1:10" x14ac:dyDescent="0.35">
      <c r="A2010">
        <v>2009</v>
      </c>
      <c r="B2010" s="1" t="s">
        <v>25</v>
      </c>
      <c r="C2010">
        <v>2014</v>
      </c>
      <c r="D2010" s="4">
        <v>4.0999999999999996</v>
      </c>
      <c r="E2010" s="5">
        <v>295107</v>
      </c>
      <c r="F2010" s="1" t="s">
        <v>16</v>
      </c>
      <c r="G2010" s="10">
        <v>77048.81</v>
      </c>
      <c r="H2010" s="1" t="s">
        <v>41</v>
      </c>
      <c r="I2010" t="s">
        <v>53</v>
      </c>
      <c r="J2010" t="s">
        <v>22</v>
      </c>
    </row>
    <row r="2011" spans="1:10" x14ac:dyDescent="0.35">
      <c r="A2011">
        <v>2010</v>
      </c>
      <c r="B2011" s="1" t="s">
        <v>25</v>
      </c>
      <c r="C2011">
        <v>2021</v>
      </c>
      <c r="D2011" s="4">
        <v>2.2000000000000002</v>
      </c>
      <c r="E2011" s="5">
        <v>3273</v>
      </c>
      <c r="F2011" s="1" t="s">
        <v>11</v>
      </c>
      <c r="G2011" s="10">
        <v>36792.44</v>
      </c>
      <c r="H2011" s="1" t="s">
        <v>49</v>
      </c>
      <c r="I2011" t="s">
        <v>52</v>
      </c>
      <c r="J2011" t="s">
        <v>22</v>
      </c>
    </row>
    <row r="2012" spans="1:10" x14ac:dyDescent="0.35">
      <c r="A2012">
        <v>2011</v>
      </c>
      <c r="B2012" s="1" t="s">
        <v>35</v>
      </c>
      <c r="C2012">
        <v>2008</v>
      </c>
      <c r="D2012" s="4">
        <v>3.4</v>
      </c>
      <c r="E2012" s="5">
        <v>15330</v>
      </c>
      <c r="F2012" s="1" t="s">
        <v>11</v>
      </c>
      <c r="G2012" s="10">
        <v>41016.769999999997</v>
      </c>
      <c r="H2012" s="1" t="s">
        <v>36</v>
      </c>
      <c r="I2012" t="s">
        <v>52</v>
      </c>
      <c r="J2012" t="s">
        <v>14</v>
      </c>
    </row>
    <row r="2013" spans="1:10" x14ac:dyDescent="0.35">
      <c r="A2013">
        <v>2012</v>
      </c>
      <c r="B2013" s="1" t="s">
        <v>29</v>
      </c>
      <c r="C2013">
        <v>2016</v>
      </c>
      <c r="D2013" s="4">
        <v>3.1</v>
      </c>
      <c r="E2013" s="5">
        <v>152566</v>
      </c>
      <c r="F2013" s="1" t="s">
        <v>16</v>
      </c>
      <c r="G2013" s="10">
        <v>93743.91</v>
      </c>
      <c r="H2013" s="1" t="s">
        <v>30</v>
      </c>
      <c r="I2013" t="s">
        <v>51</v>
      </c>
      <c r="J2013" t="s">
        <v>14</v>
      </c>
    </row>
    <row r="2014" spans="1:10" x14ac:dyDescent="0.35">
      <c r="A2014">
        <v>2013</v>
      </c>
      <c r="B2014" s="1" t="s">
        <v>23</v>
      </c>
      <c r="C2014">
        <v>2011</v>
      </c>
      <c r="D2014" s="4">
        <v>1.4</v>
      </c>
      <c r="E2014" s="5">
        <v>76422</v>
      </c>
      <c r="F2014" s="1" t="s">
        <v>16</v>
      </c>
      <c r="G2014" s="10">
        <v>25236.240000000002</v>
      </c>
      <c r="H2014" s="1" t="s">
        <v>34</v>
      </c>
      <c r="I2014" t="s">
        <v>51</v>
      </c>
      <c r="J2014" t="s">
        <v>22</v>
      </c>
    </row>
    <row r="2015" spans="1:10" x14ac:dyDescent="0.35">
      <c r="A2015">
        <v>2014</v>
      </c>
      <c r="B2015" s="1" t="s">
        <v>27</v>
      </c>
      <c r="C2015">
        <v>2006</v>
      </c>
      <c r="D2015" s="4">
        <v>1.5</v>
      </c>
      <c r="E2015" s="5">
        <v>3212</v>
      </c>
      <c r="F2015" s="1" t="s">
        <v>16</v>
      </c>
      <c r="G2015" s="10">
        <v>14856.2</v>
      </c>
      <c r="H2015" s="1" t="s">
        <v>28</v>
      </c>
      <c r="I2015" t="s">
        <v>53</v>
      </c>
      <c r="J2015" t="s">
        <v>22</v>
      </c>
    </row>
    <row r="2016" spans="1:10" x14ac:dyDescent="0.35">
      <c r="A2016">
        <v>2015</v>
      </c>
      <c r="B2016" s="1" t="s">
        <v>35</v>
      </c>
      <c r="C2016">
        <v>2009</v>
      </c>
      <c r="D2016" s="4">
        <v>5.2</v>
      </c>
      <c r="E2016" s="5">
        <v>232131</v>
      </c>
      <c r="F2016" s="1" t="s">
        <v>16</v>
      </c>
      <c r="G2016" s="10">
        <v>37623.96</v>
      </c>
      <c r="H2016" s="1" t="s">
        <v>50</v>
      </c>
      <c r="I2016" t="s">
        <v>52</v>
      </c>
      <c r="J2016" t="s">
        <v>14</v>
      </c>
    </row>
    <row r="2017" spans="1:10" x14ac:dyDescent="0.35">
      <c r="A2017">
        <v>2016</v>
      </c>
      <c r="B2017" s="1" t="s">
        <v>23</v>
      </c>
      <c r="C2017">
        <v>2009</v>
      </c>
      <c r="D2017" s="4">
        <v>2.2000000000000002</v>
      </c>
      <c r="E2017" s="5">
        <v>87594</v>
      </c>
      <c r="F2017" s="1" t="s">
        <v>15</v>
      </c>
      <c r="G2017" s="10">
        <v>75862.600000000006</v>
      </c>
      <c r="H2017" s="1" t="s">
        <v>32</v>
      </c>
      <c r="I2017" t="s">
        <v>53</v>
      </c>
      <c r="J2017" t="s">
        <v>14</v>
      </c>
    </row>
    <row r="2018" spans="1:10" x14ac:dyDescent="0.35">
      <c r="A2018">
        <v>2017</v>
      </c>
      <c r="B2018" s="1" t="s">
        <v>23</v>
      </c>
      <c r="C2018">
        <v>2012</v>
      </c>
      <c r="D2018" s="4">
        <v>2</v>
      </c>
      <c r="E2018" s="5">
        <v>132152</v>
      </c>
      <c r="F2018" s="1" t="s">
        <v>16</v>
      </c>
      <c r="G2018" s="10">
        <v>64477.34</v>
      </c>
      <c r="H2018" s="1" t="s">
        <v>32</v>
      </c>
      <c r="I2018" t="s">
        <v>52</v>
      </c>
      <c r="J2018" t="s">
        <v>22</v>
      </c>
    </row>
    <row r="2019" spans="1:10" x14ac:dyDescent="0.35">
      <c r="A2019">
        <v>2018</v>
      </c>
      <c r="B2019" s="1" t="s">
        <v>35</v>
      </c>
      <c r="C2019">
        <v>2018</v>
      </c>
      <c r="D2019" s="4">
        <v>3.5</v>
      </c>
      <c r="E2019" s="5">
        <v>294819</v>
      </c>
      <c r="F2019" s="1" t="s">
        <v>16</v>
      </c>
      <c r="G2019" s="10">
        <v>44500.57</v>
      </c>
      <c r="H2019" s="1" t="s">
        <v>36</v>
      </c>
      <c r="I2019" t="s">
        <v>52</v>
      </c>
      <c r="J2019" t="s">
        <v>22</v>
      </c>
    </row>
    <row r="2020" spans="1:10" x14ac:dyDescent="0.35">
      <c r="A2020">
        <v>2019</v>
      </c>
      <c r="B2020" s="1" t="s">
        <v>25</v>
      </c>
      <c r="C2020">
        <v>2010</v>
      </c>
      <c r="D2020" s="4">
        <v>4.8</v>
      </c>
      <c r="E2020" s="5">
        <v>22007</v>
      </c>
      <c r="F2020" s="1" t="s">
        <v>16</v>
      </c>
      <c r="G2020" s="10">
        <v>96651.49</v>
      </c>
      <c r="H2020" s="1" t="s">
        <v>44</v>
      </c>
      <c r="I2020" t="s">
        <v>52</v>
      </c>
      <c r="J2020" t="s">
        <v>22</v>
      </c>
    </row>
    <row r="2021" spans="1:10" x14ac:dyDescent="0.35">
      <c r="A2021">
        <v>2020</v>
      </c>
      <c r="B2021" s="1" t="s">
        <v>23</v>
      </c>
      <c r="C2021">
        <v>2012</v>
      </c>
      <c r="D2021" s="4">
        <v>1.3</v>
      </c>
      <c r="E2021" s="5">
        <v>113805</v>
      </c>
      <c r="F2021" s="1" t="s">
        <v>15</v>
      </c>
      <c r="G2021" s="10">
        <v>74824.66</v>
      </c>
      <c r="H2021" s="1" t="s">
        <v>24</v>
      </c>
      <c r="I2021" t="s">
        <v>51</v>
      </c>
      <c r="J2021" t="s">
        <v>14</v>
      </c>
    </row>
    <row r="2022" spans="1:10" x14ac:dyDescent="0.35">
      <c r="A2022">
        <v>2021</v>
      </c>
      <c r="B2022" s="1" t="s">
        <v>25</v>
      </c>
      <c r="C2022">
        <v>2020</v>
      </c>
      <c r="D2022" s="4">
        <v>3.9</v>
      </c>
      <c r="E2022" s="5">
        <v>95815</v>
      </c>
      <c r="F2022" s="1" t="s">
        <v>15</v>
      </c>
      <c r="G2022" s="10">
        <v>10876.84</v>
      </c>
      <c r="H2022" s="1" t="s">
        <v>41</v>
      </c>
      <c r="I2022" t="s">
        <v>52</v>
      </c>
      <c r="J2022" t="s">
        <v>22</v>
      </c>
    </row>
    <row r="2023" spans="1:10" x14ac:dyDescent="0.35">
      <c r="A2023">
        <v>2022</v>
      </c>
      <c r="B2023" s="1" t="s">
        <v>35</v>
      </c>
      <c r="C2023">
        <v>2007</v>
      </c>
      <c r="D2023" s="4">
        <v>1.6</v>
      </c>
      <c r="E2023" s="5">
        <v>262783</v>
      </c>
      <c r="F2023" s="1" t="s">
        <v>15</v>
      </c>
      <c r="G2023" s="10">
        <v>75739.990000000005</v>
      </c>
      <c r="H2023" s="1" t="s">
        <v>47</v>
      </c>
      <c r="I2023" t="s">
        <v>52</v>
      </c>
      <c r="J2023" t="s">
        <v>14</v>
      </c>
    </row>
    <row r="2024" spans="1:10" x14ac:dyDescent="0.35">
      <c r="A2024">
        <v>2023</v>
      </c>
      <c r="B2024" s="1" t="s">
        <v>25</v>
      </c>
      <c r="C2024">
        <v>2007</v>
      </c>
      <c r="D2024" s="4">
        <v>1.2</v>
      </c>
      <c r="E2024" s="5">
        <v>78038</v>
      </c>
      <c r="F2024" s="1" t="s">
        <v>11</v>
      </c>
      <c r="G2024" s="10">
        <v>7283.66</v>
      </c>
      <c r="H2024" s="1" t="s">
        <v>41</v>
      </c>
      <c r="I2024" t="s">
        <v>52</v>
      </c>
      <c r="J2024" t="s">
        <v>22</v>
      </c>
    </row>
    <row r="2025" spans="1:10" x14ac:dyDescent="0.35">
      <c r="A2025">
        <v>2024</v>
      </c>
      <c r="B2025" s="1" t="s">
        <v>20</v>
      </c>
      <c r="C2025">
        <v>2003</v>
      </c>
      <c r="D2025" s="4">
        <v>1.3</v>
      </c>
      <c r="E2025" s="5">
        <v>265880</v>
      </c>
      <c r="F2025" s="1" t="s">
        <v>15</v>
      </c>
      <c r="G2025" s="10">
        <v>66780.72</v>
      </c>
      <c r="H2025" s="1" t="s">
        <v>39</v>
      </c>
      <c r="I2025" t="s">
        <v>13</v>
      </c>
      <c r="J2025" t="s">
        <v>14</v>
      </c>
    </row>
    <row r="2026" spans="1:10" x14ac:dyDescent="0.35">
      <c r="A2026">
        <v>2025</v>
      </c>
      <c r="B2026" s="1" t="s">
        <v>27</v>
      </c>
      <c r="C2026">
        <v>2014</v>
      </c>
      <c r="D2026" s="4">
        <v>5.2</v>
      </c>
      <c r="E2026" s="5">
        <v>253506</v>
      </c>
      <c r="F2026" s="1" t="s">
        <v>16</v>
      </c>
      <c r="G2026" s="10">
        <v>24995.87</v>
      </c>
      <c r="H2026" s="1" t="s">
        <v>28</v>
      </c>
      <c r="I2026" t="s">
        <v>51</v>
      </c>
      <c r="J2026" t="s">
        <v>14</v>
      </c>
    </row>
    <row r="2027" spans="1:10" x14ac:dyDescent="0.35">
      <c r="A2027">
        <v>2026</v>
      </c>
      <c r="B2027" s="1" t="s">
        <v>10</v>
      </c>
      <c r="C2027">
        <v>2010</v>
      </c>
      <c r="D2027" s="4">
        <v>1.6</v>
      </c>
      <c r="E2027" s="5">
        <v>16473</v>
      </c>
      <c r="F2027" s="1" t="s">
        <v>15</v>
      </c>
      <c r="G2027" s="10">
        <v>71162.009999999995</v>
      </c>
      <c r="H2027" s="1" t="s">
        <v>19</v>
      </c>
      <c r="I2027" t="s">
        <v>13</v>
      </c>
      <c r="J2027" t="s">
        <v>14</v>
      </c>
    </row>
    <row r="2028" spans="1:10" x14ac:dyDescent="0.35">
      <c r="A2028">
        <v>2027</v>
      </c>
      <c r="B2028" s="1" t="s">
        <v>23</v>
      </c>
      <c r="C2028">
        <v>2010</v>
      </c>
      <c r="D2028" s="4">
        <v>1.2</v>
      </c>
      <c r="E2028" s="5">
        <v>128771</v>
      </c>
      <c r="F2028" s="1" t="s">
        <v>15</v>
      </c>
      <c r="G2028" s="10">
        <v>34429.06</v>
      </c>
      <c r="H2028" s="1" t="s">
        <v>34</v>
      </c>
      <c r="I2028" t="s">
        <v>51</v>
      </c>
      <c r="J2028" t="s">
        <v>14</v>
      </c>
    </row>
    <row r="2029" spans="1:10" x14ac:dyDescent="0.35">
      <c r="A2029">
        <v>2028</v>
      </c>
      <c r="B2029" s="1" t="s">
        <v>29</v>
      </c>
      <c r="C2029">
        <v>2000</v>
      </c>
      <c r="D2029" s="4">
        <v>3.2</v>
      </c>
      <c r="E2029" s="5">
        <v>125801</v>
      </c>
      <c r="F2029" s="1" t="s">
        <v>16</v>
      </c>
      <c r="G2029" s="10">
        <v>87935.6</v>
      </c>
      <c r="H2029" s="1" t="s">
        <v>38</v>
      </c>
      <c r="I2029" t="s">
        <v>53</v>
      </c>
      <c r="J2029" t="s">
        <v>22</v>
      </c>
    </row>
    <row r="2030" spans="1:10" x14ac:dyDescent="0.35">
      <c r="A2030">
        <v>2029</v>
      </c>
      <c r="B2030" s="1" t="s">
        <v>27</v>
      </c>
      <c r="C2030">
        <v>2016</v>
      </c>
      <c r="D2030" s="4">
        <v>5.2</v>
      </c>
      <c r="E2030" s="5">
        <v>86623</v>
      </c>
      <c r="F2030" s="1" t="s">
        <v>15</v>
      </c>
      <c r="G2030" s="10">
        <v>37006.81</v>
      </c>
      <c r="H2030" s="1" t="s">
        <v>48</v>
      </c>
      <c r="I2030" t="s">
        <v>13</v>
      </c>
      <c r="J2030" t="s">
        <v>14</v>
      </c>
    </row>
    <row r="2031" spans="1:10" x14ac:dyDescent="0.35">
      <c r="A2031">
        <v>2030</v>
      </c>
      <c r="B2031" s="1" t="s">
        <v>10</v>
      </c>
      <c r="C2031">
        <v>2014</v>
      </c>
      <c r="D2031" s="4">
        <v>2.2999999999999998</v>
      </c>
      <c r="E2031" s="5">
        <v>225097</v>
      </c>
      <c r="F2031" s="1" t="s">
        <v>11</v>
      </c>
      <c r="G2031" s="10">
        <v>63871.11</v>
      </c>
      <c r="H2031" s="1" t="s">
        <v>19</v>
      </c>
      <c r="I2031" t="s">
        <v>13</v>
      </c>
      <c r="J2031" t="s">
        <v>14</v>
      </c>
    </row>
    <row r="2032" spans="1:10" x14ac:dyDescent="0.35">
      <c r="A2032">
        <v>2031</v>
      </c>
      <c r="B2032" s="1" t="s">
        <v>25</v>
      </c>
      <c r="C2032">
        <v>2019</v>
      </c>
      <c r="D2032" s="4">
        <v>3.1</v>
      </c>
      <c r="E2032" s="5">
        <v>298964</v>
      </c>
      <c r="F2032" s="1" t="s">
        <v>15</v>
      </c>
      <c r="G2032" s="10">
        <v>32163.119999999999</v>
      </c>
      <c r="H2032" s="1" t="s">
        <v>41</v>
      </c>
      <c r="I2032" t="s">
        <v>52</v>
      </c>
      <c r="J2032" t="s">
        <v>14</v>
      </c>
    </row>
    <row r="2033" spans="1:10" x14ac:dyDescent="0.35">
      <c r="A2033">
        <v>2032</v>
      </c>
      <c r="B2033" s="1" t="s">
        <v>23</v>
      </c>
      <c r="C2033">
        <v>2005</v>
      </c>
      <c r="D2033" s="4">
        <v>1.2</v>
      </c>
      <c r="E2033" s="5">
        <v>215933</v>
      </c>
      <c r="F2033" s="1" t="s">
        <v>11</v>
      </c>
      <c r="G2033" s="10">
        <v>92136.05</v>
      </c>
      <c r="H2033" s="1" t="s">
        <v>42</v>
      </c>
      <c r="I2033" t="s">
        <v>53</v>
      </c>
      <c r="J2033" t="s">
        <v>22</v>
      </c>
    </row>
    <row r="2034" spans="1:10" x14ac:dyDescent="0.35">
      <c r="A2034">
        <v>2033</v>
      </c>
      <c r="B2034" s="1" t="s">
        <v>25</v>
      </c>
      <c r="C2034">
        <v>2023</v>
      </c>
      <c r="D2034" s="4">
        <v>3.2</v>
      </c>
      <c r="E2034" s="5">
        <v>196879</v>
      </c>
      <c r="F2034" s="1" t="s">
        <v>11</v>
      </c>
      <c r="G2034" s="10">
        <v>79194.62</v>
      </c>
      <c r="H2034" s="1" t="s">
        <v>44</v>
      </c>
      <c r="I2034" t="s">
        <v>53</v>
      </c>
      <c r="J2034" t="s">
        <v>22</v>
      </c>
    </row>
    <row r="2035" spans="1:10" x14ac:dyDescent="0.35">
      <c r="A2035">
        <v>2034</v>
      </c>
      <c r="B2035" s="1" t="s">
        <v>20</v>
      </c>
      <c r="C2035">
        <v>2021</v>
      </c>
      <c r="D2035" s="4">
        <v>3.9</v>
      </c>
      <c r="E2035" s="5">
        <v>280558</v>
      </c>
      <c r="F2035" s="1" t="s">
        <v>11</v>
      </c>
      <c r="G2035" s="10">
        <v>28113.77</v>
      </c>
      <c r="H2035" s="1" t="s">
        <v>46</v>
      </c>
      <c r="I2035" t="s">
        <v>53</v>
      </c>
      <c r="J2035" t="s">
        <v>22</v>
      </c>
    </row>
    <row r="2036" spans="1:10" x14ac:dyDescent="0.35">
      <c r="A2036">
        <v>2035</v>
      </c>
      <c r="B2036" s="1" t="s">
        <v>35</v>
      </c>
      <c r="C2036">
        <v>2014</v>
      </c>
      <c r="D2036" s="4">
        <v>3.9</v>
      </c>
      <c r="E2036" s="5">
        <v>24220</v>
      </c>
      <c r="F2036" s="1" t="s">
        <v>16</v>
      </c>
      <c r="G2036" s="10">
        <v>95135.69</v>
      </c>
      <c r="H2036" s="1" t="s">
        <v>50</v>
      </c>
      <c r="I2036" t="s">
        <v>53</v>
      </c>
      <c r="J2036" t="s">
        <v>22</v>
      </c>
    </row>
    <row r="2037" spans="1:10" x14ac:dyDescent="0.35">
      <c r="A2037">
        <v>2036</v>
      </c>
      <c r="B2037" s="1" t="s">
        <v>23</v>
      </c>
      <c r="C2037">
        <v>2008</v>
      </c>
      <c r="D2037" s="4">
        <v>2.7</v>
      </c>
      <c r="E2037" s="5">
        <v>60531</v>
      </c>
      <c r="F2037" s="1" t="s">
        <v>15</v>
      </c>
      <c r="G2037" s="10">
        <v>38929.97</v>
      </c>
      <c r="H2037" s="1" t="s">
        <v>34</v>
      </c>
      <c r="I2037" t="s">
        <v>51</v>
      </c>
      <c r="J2037" t="s">
        <v>22</v>
      </c>
    </row>
    <row r="2038" spans="1:10" x14ac:dyDescent="0.35">
      <c r="A2038">
        <v>2037</v>
      </c>
      <c r="B2038" s="1" t="s">
        <v>10</v>
      </c>
      <c r="C2038">
        <v>2013</v>
      </c>
      <c r="D2038" s="4">
        <v>2.6</v>
      </c>
      <c r="E2038" s="5">
        <v>173497</v>
      </c>
      <c r="F2038" s="1" t="s">
        <v>11</v>
      </c>
      <c r="G2038" s="10">
        <v>66927.17</v>
      </c>
      <c r="H2038" s="1" t="s">
        <v>12</v>
      </c>
      <c r="I2038" t="s">
        <v>13</v>
      </c>
      <c r="J2038" t="s">
        <v>14</v>
      </c>
    </row>
    <row r="2039" spans="1:10" x14ac:dyDescent="0.35">
      <c r="A2039">
        <v>2038</v>
      </c>
      <c r="B2039" s="1" t="s">
        <v>10</v>
      </c>
      <c r="C2039">
        <v>2017</v>
      </c>
      <c r="D2039" s="4">
        <v>1.5</v>
      </c>
      <c r="E2039" s="5">
        <v>9387</v>
      </c>
      <c r="F2039" s="1" t="s">
        <v>11</v>
      </c>
      <c r="G2039" s="10">
        <v>75571.06</v>
      </c>
      <c r="H2039" s="1" t="s">
        <v>17</v>
      </c>
      <c r="I2039" t="s">
        <v>13</v>
      </c>
      <c r="J2039" t="s">
        <v>14</v>
      </c>
    </row>
    <row r="2040" spans="1:10" x14ac:dyDescent="0.35">
      <c r="A2040">
        <v>2039</v>
      </c>
      <c r="B2040" s="1" t="s">
        <v>20</v>
      </c>
      <c r="C2040">
        <v>2016</v>
      </c>
      <c r="D2040" s="4">
        <v>2.8</v>
      </c>
      <c r="E2040" s="5">
        <v>245752</v>
      </c>
      <c r="F2040" s="1" t="s">
        <v>15</v>
      </c>
      <c r="G2040" s="10">
        <v>7175.71</v>
      </c>
      <c r="H2040" s="1" t="s">
        <v>46</v>
      </c>
      <c r="I2040" t="s">
        <v>51</v>
      </c>
      <c r="J2040" t="s">
        <v>14</v>
      </c>
    </row>
    <row r="2041" spans="1:10" x14ac:dyDescent="0.35">
      <c r="A2041">
        <v>2040</v>
      </c>
      <c r="B2041" s="1" t="s">
        <v>20</v>
      </c>
      <c r="C2041">
        <v>2017</v>
      </c>
      <c r="D2041" s="4">
        <v>1.5</v>
      </c>
      <c r="E2041" s="5">
        <v>76815</v>
      </c>
      <c r="F2041" s="1" t="s">
        <v>16</v>
      </c>
      <c r="G2041" s="10">
        <v>96101.9</v>
      </c>
      <c r="H2041" s="1" t="s">
        <v>46</v>
      </c>
      <c r="I2041" t="s">
        <v>51</v>
      </c>
      <c r="J2041" t="s">
        <v>14</v>
      </c>
    </row>
    <row r="2042" spans="1:10" x14ac:dyDescent="0.35">
      <c r="A2042">
        <v>2041</v>
      </c>
      <c r="B2042" s="1" t="s">
        <v>23</v>
      </c>
      <c r="C2042">
        <v>2004</v>
      </c>
      <c r="D2042" s="4">
        <v>4.8</v>
      </c>
      <c r="E2042" s="5">
        <v>27584</v>
      </c>
      <c r="F2042" s="1" t="s">
        <v>16</v>
      </c>
      <c r="G2042" s="10">
        <v>37721.919999999998</v>
      </c>
      <c r="H2042" s="1" t="s">
        <v>24</v>
      </c>
      <c r="I2042" t="s">
        <v>53</v>
      </c>
      <c r="J2042" t="s">
        <v>22</v>
      </c>
    </row>
    <row r="2043" spans="1:10" x14ac:dyDescent="0.35">
      <c r="A2043">
        <v>2042</v>
      </c>
      <c r="B2043" s="1" t="s">
        <v>25</v>
      </c>
      <c r="C2043">
        <v>2019</v>
      </c>
      <c r="D2043" s="4">
        <v>5.8</v>
      </c>
      <c r="E2043" s="5">
        <v>44783</v>
      </c>
      <c r="F2043" s="1" t="s">
        <v>11</v>
      </c>
      <c r="G2043" s="10">
        <v>23028.99</v>
      </c>
      <c r="H2043" s="1" t="s">
        <v>26</v>
      </c>
      <c r="I2043" t="s">
        <v>51</v>
      </c>
      <c r="J2043" t="s">
        <v>14</v>
      </c>
    </row>
    <row r="2044" spans="1:10" x14ac:dyDescent="0.35">
      <c r="A2044">
        <v>2043</v>
      </c>
      <c r="B2044" s="1" t="s">
        <v>29</v>
      </c>
      <c r="C2044">
        <v>2019</v>
      </c>
      <c r="D2044" s="4">
        <v>5.9</v>
      </c>
      <c r="E2044" s="5">
        <v>170881</v>
      </c>
      <c r="F2044" s="1" t="s">
        <v>16</v>
      </c>
      <c r="G2044" s="10">
        <v>85817.24</v>
      </c>
      <c r="H2044" s="1" t="s">
        <v>30</v>
      </c>
      <c r="I2044" t="s">
        <v>13</v>
      </c>
      <c r="J2044" t="s">
        <v>14</v>
      </c>
    </row>
    <row r="2045" spans="1:10" x14ac:dyDescent="0.35">
      <c r="A2045">
        <v>2044</v>
      </c>
      <c r="B2045" s="1" t="s">
        <v>10</v>
      </c>
      <c r="C2045">
        <v>2008</v>
      </c>
      <c r="D2045" s="4">
        <v>5.3</v>
      </c>
      <c r="E2045" s="5">
        <v>185399</v>
      </c>
      <c r="F2045" s="1" t="s">
        <v>15</v>
      </c>
      <c r="G2045" s="10">
        <v>71775.429999999993</v>
      </c>
      <c r="H2045" s="1" t="s">
        <v>17</v>
      </c>
      <c r="I2045" t="s">
        <v>13</v>
      </c>
      <c r="J2045" t="s">
        <v>14</v>
      </c>
    </row>
    <row r="2046" spans="1:10" x14ac:dyDescent="0.35">
      <c r="A2046">
        <v>2045</v>
      </c>
      <c r="B2046" s="1" t="s">
        <v>10</v>
      </c>
      <c r="C2046">
        <v>2010</v>
      </c>
      <c r="D2046" s="4">
        <v>4</v>
      </c>
      <c r="E2046" s="5">
        <v>124494</v>
      </c>
      <c r="F2046" s="1" t="s">
        <v>16</v>
      </c>
      <c r="G2046" s="10">
        <v>13240.61</v>
      </c>
      <c r="H2046" s="1" t="s">
        <v>19</v>
      </c>
      <c r="I2046" t="s">
        <v>13</v>
      </c>
      <c r="J2046" t="s">
        <v>14</v>
      </c>
    </row>
    <row r="2047" spans="1:10" x14ac:dyDescent="0.35">
      <c r="A2047">
        <v>2046</v>
      </c>
      <c r="B2047" s="1" t="s">
        <v>20</v>
      </c>
      <c r="C2047">
        <v>2023</v>
      </c>
      <c r="D2047" s="4">
        <v>4.5</v>
      </c>
      <c r="E2047" s="5">
        <v>115814</v>
      </c>
      <c r="F2047" s="1" t="s">
        <v>15</v>
      </c>
      <c r="G2047" s="10">
        <v>16119.24</v>
      </c>
      <c r="H2047" s="1" t="s">
        <v>21</v>
      </c>
      <c r="I2047" t="s">
        <v>53</v>
      </c>
      <c r="J2047" t="s">
        <v>22</v>
      </c>
    </row>
    <row r="2048" spans="1:10" x14ac:dyDescent="0.35">
      <c r="A2048">
        <v>2047</v>
      </c>
      <c r="B2048" s="1" t="s">
        <v>27</v>
      </c>
      <c r="C2048">
        <v>2021</v>
      </c>
      <c r="D2048" s="4">
        <v>2.4</v>
      </c>
      <c r="E2048" s="5">
        <v>250139</v>
      </c>
      <c r="F2048" s="1" t="s">
        <v>11</v>
      </c>
      <c r="G2048" s="10">
        <v>72943.23</v>
      </c>
      <c r="H2048" s="1" t="s">
        <v>48</v>
      </c>
      <c r="I2048" t="s">
        <v>52</v>
      </c>
      <c r="J2048" t="s">
        <v>14</v>
      </c>
    </row>
    <row r="2049" spans="1:10" x14ac:dyDescent="0.35">
      <c r="A2049">
        <v>2048</v>
      </c>
      <c r="B2049" s="1" t="s">
        <v>20</v>
      </c>
      <c r="C2049">
        <v>2000</v>
      </c>
      <c r="D2049" s="4">
        <v>4.2</v>
      </c>
      <c r="E2049" s="5">
        <v>141929</v>
      </c>
      <c r="F2049" s="1" t="s">
        <v>15</v>
      </c>
      <c r="G2049" s="10">
        <v>12104.41</v>
      </c>
      <c r="H2049" s="1" t="s">
        <v>33</v>
      </c>
      <c r="I2049" t="s">
        <v>13</v>
      </c>
      <c r="J2049" t="s">
        <v>22</v>
      </c>
    </row>
    <row r="2050" spans="1:10" x14ac:dyDescent="0.35">
      <c r="A2050">
        <v>2049</v>
      </c>
      <c r="B2050" s="1" t="s">
        <v>29</v>
      </c>
      <c r="C2050">
        <v>2017</v>
      </c>
      <c r="D2050" s="4">
        <v>3.3</v>
      </c>
      <c r="E2050" s="5">
        <v>173333</v>
      </c>
      <c r="F2050" s="1" t="s">
        <v>11</v>
      </c>
      <c r="G2050" s="10">
        <v>92131.67</v>
      </c>
      <c r="H2050" s="1" t="s">
        <v>30</v>
      </c>
      <c r="I2050" t="s">
        <v>13</v>
      </c>
      <c r="J2050" t="s">
        <v>22</v>
      </c>
    </row>
    <row r="2051" spans="1:10" x14ac:dyDescent="0.35">
      <c r="A2051">
        <v>2050</v>
      </c>
      <c r="B2051" s="1" t="s">
        <v>25</v>
      </c>
      <c r="C2051">
        <v>2005</v>
      </c>
      <c r="D2051" s="4">
        <v>3.4</v>
      </c>
      <c r="E2051" s="5">
        <v>246509</v>
      </c>
      <c r="F2051" s="1" t="s">
        <v>15</v>
      </c>
      <c r="G2051" s="10">
        <v>75446.31</v>
      </c>
      <c r="H2051" s="1" t="s">
        <v>44</v>
      </c>
      <c r="I2051" t="s">
        <v>13</v>
      </c>
      <c r="J2051" t="s">
        <v>22</v>
      </c>
    </row>
    <row r="2052" spans="1:10" x14ac:dyDescent="0.35">
      <c r="A2052">
        <v>2051</v>
      </c>
      <c r="B2052" s="1" t="s">
        <v>25</v>
      </c>
      <c r="C2052">
        <v>2001</v>
      </c>
      <c r="D2052" s="4">
        <v>4.8</v>
      </c>
      <c r="E2052" s="5">
        <v>13580</v>
      </c>
      <c r="F2052" s="1" t="s">
        <v>15</v>
      </c>
      <c r="G2052" s="10">
        <v>36871.760000000002</v>
      </c>
      <c r="H2052" s="1" t="s">
        <v>49</v>
      </c>
      <c r="I2052" t="s">
        <v>13</v>
      </c>
      <c r="J2052" t="s">
        <v>14</v>
      </c>
    </row>
    <row r="2053" spans="1:10" x14ac:dyDescent="0.35">
      <c r="A2053">
        <v>2052</v>
      </c>
      <c r="B2053" s="1" t="s">
        <v>27</v>
      </c>
      <c r="C2053">
        <v>2014</v>
      </c>
      <c r="D2053" s="4">
        <v>2.4</v>
      </c>
      <c r="E2053" s="5">
        <v>18240</v>
      </c>
      <c r="F2053" s="1" t="s">
        <v>16</v>
      </c>
      <c r="G2053" s="10">
        <v>39479.18</v>
      </c>
      <c r="H2053" s="1" t="s">
        <v>48</v>
      </c>
      <c r="I2053" t="s">
        <v>51</v>
      </c>
      <c r="J2053" t="s">
        <v>14</v>
      </c>
    </row>
    <row r="2054" spans="1:10" x14ac:dyDescent="0.35">
      <c r="A2054">
        <v>2053</v>
      </c>
      <c r="B2054" s="1" t="s">
        <v>10</v>
      </c>
      <c r="C2054">
        <v>2020</v>
      </c>
      <c r="D2054" s="4">
        <v>2.6</v>
      </c>
      <c r="E2054" s="5">
        <v>254351</v>
      </c>
      <c r="F2054" s="1" t="s">
        <v>15</v>
      </c>
      <c r="G2054" s="10">
        <v>53117.13</v>
      </c>
      <c r="H2054" s="1" t="s">
        <v>18</v>
      </c>
      <c r="I2054" t="s">
        <v>13</v>
      </c>
      <c r="J2054" t="s">
        <v>14</v>
      </c>
    </row>
    <row r="2055" spans="1:10" x14ac:dyDescent="0.35">
      <c r="A2055">
        <v>2054</v>
      </c>
      <c r="B2055" s="1" t="s">
        <v>20</v>
      </c>
      <c r="C2055">
        <v>2013</v>
      </c>
      <c r="D2055" s="4">
        <v>5.6</v>
      </c>
      <c r="E2055" s="5">
        <v>254271</v>
      </c>
      <c r="F2055" s="1" t="s">
        <v>11</v>
      </c>
      <c r="G2055" s="10">
        <v>39292.089999999997</v>
      </c>
      <c r="H2055" s="1" t="s">
        <v>21</v>
      </c>
      <c r="I2055" t="s">
        <v>13</v>
      </c>
      <c r="J2055" t="s">
        <v>22</v>
      </c>
    </row>
    <row r="2056" spans="1:10" x14ac:dyDescent="0.35">
      <c r="A2056">
        <v>2055</v>
      </c>
      <c r="B2056" s="1" t="s">
        <v>25</v>
      </c>
      <c r="C2056">
        <v>2004</v>
      </c>
      <c r="D2056" s="4">
        <v>1.3</v>
      </c>
      <c r="E2056" s="5">
        <v>80974</v>
      </c>
      <c r="F2056" s="1" t="s">
        <v>15</v>
      </c>
      <c r="G2056" s="10">
        <v>79429.509999999995</v>
      </c>
      <c r="H2056" s="1" t="s">
        <v>26</v>
      </c>
      <c r="I2056" t="s">
        <v>52</v>
      </c>
      <c r="J2056" t="s">
        <v>14</v>
      </c>
    </row>
    <row r="2057" spans="1:10" x14ac:dyDescent="0.35">
      <c r="A2057">
        <v>2056</v>
      </c>
      <c r="B2057" s="1" t="s">
        <v>29</v>
      </c>
      <c r="C2057">
        <v>2005</v>
      </c>
      <c r="D2057" s="4">
        <v>3.4</v>
      </c>
      <c r="E2057" s="5">
        <v>73401</v>
      </c>
      <c r="F2057" s="1" t="s">
        <v>11</v>
      </c>
      <c r="G2057" s="10">
        <v>97600.01</v>
      </c>
      <c r="H2057" s="1" t="s">
        <v>31</v>
      </c>
      <c r="I2057" t="s">
        <v>13</v>
      </c>
      <c r="J2057" t="s">
        <v>14</v>
      </c>
    </row>
    <row r="2058" spans="1:10" x14ac:dyDescent="0.35">
      <c r="A2058">
        <v>2057</v>
      </c>
      <c r="B2058" s="1" t="s">
        <v>23</v>
      </c>
      <c r="C2058">
        <v>2005</v>
      </c>
      <c r="D2058" s="4">
        <v>5.6</v>
      </c>
      <c r="E2058" s="5">
        <v>213165</v>
      </c>
      <c r="F2058" s="1" t="s">
        <v>11</v>
      </c>
      <c r="G2058" s="10">
        <v>60529.54</v>
      </c>
      <c r="H2058" s="1" t="s">
        <v>24</v>
      </c>
      <c r="I2058" t="s">
        <v>53</v>
      </c>
      <c r="J2058" t="s">
        <v>22</v>
      </c>
    </row>
    <row r="2059" spans="1:10" x14ac:dyDescent="0.35">
      <c r="A2059">
        <v>2058</v>
      </c>
      <c r="B2059" s="1" t="s">
        <v>35</v>
      </c>
      <c r="C2059">
        <v>2021</v>
      </c>
      <c r="D2059" s="4">
        <v>4.0999999999999996</v>
      </c>
      <c r="E2059" s="5">
        <v>164340</v>
      </c>
      <c r="F2059" s="1" t="s">
        <v>15</v>
      </c>
      <c r="G2059" s="10">
        <v>47373.55</v>
      </c>
      <c r="H2059" s="1" t="s">
        <v>50</v>
      </c>
      <c r="I2059" t="s">
        <v>52</v>
      </c>
      <c r="J2059" t="s">
        <v>14</v>
      </c>
    </row>
    <row r="2060" spans="1:10" x14ac:dyDescent="0.35">
      <c r="A2060">
        <v>2059</v>
      </c>
      <c r="B2060" s="1" t="s">
        <v>35</v>
      </c>
      <c r="C2060">
        <v>2017</v>
      </c>
      <c r="D2060" s="4">
        <v>3.7</v>
      </c>
      <c r="E2060" s="5">
        <v>265790</v>
      </c>
      <c r="F2060" s="1" t="s">
        <v>16</v>
      </c>
      <c r="G2060" s="10">
        <v>26163.54</v>
      </c>
      <c r="H2060" s="1" t="s">
        <v>36</v>
      </c>
      <c r="I2060" t="s">
        <v>52</v>
      </c>
      <c r="J2060" t="s">
        <v>14</v>
      </c>
    </row>
    <row r="2061" spans="1:10" x14ac:dyDescent="0.35">
      <c r="A2061">
        <v>2060</v>
      </c>
      <c r="B2061" s="1" t="s">
        <v>35</v>
      </c>
      <c r="C2061">
        <v>2013</v>
      </c>
      <c r="D2061" s="4">
        <v>2.2000000000000002</v>
      </c>
      <c r="E2061" s="5">
        <v>186443</v>
      </c>
      <c r="F2061" s="1" t="s">
        <v>15</v>
      </c>
      <c r="G2061" s="10">
        <v>67076.17</v>
      </c>
      <c r="H2061" s="1" t="s">
        <v>50</v>
      </c>
      <c r="I2061" t="s">
        <v>52</v>
      </c>
      <c r="J2061" t="s">
        <v>14</v>
      </c>
    </row>
    <row r="2062" spans="1:10" x14ac:dyDescent="0.35">
      <c r="A2062">
        <v>2061</v>
      </c>
      <c r="B2062" s="1" t="s">
        <v>10</v>
      </c>
      <c r="C2062">
        <v>2009</v>
      </c>
      <c r="D2062" s="4">
        <v>2.7</v>
      </c>
      <c r="E2062" s="5">
        <v>248123</v>
      </c>
      <c r="F2062" s="1" t="s">
        <v>15</v>
      </c>
      <c r="G2062" s="10">
        <v>70129.8</v>
      </c>
      <c r="H2062" s="1" t="s">
        <v>12</v>
      </c>
      <c r="I2062" t="s">
        <v>13</v>
      </c>
      <c r="J2062" t="s">
        <v>14</v>
      </c>
    </row>
    <row r="2063" spans="1:10" x14ac:dyDescent="0.35">
      <c r="A2063">
        <v>2062</v>
      </c>
      <c r="B2063" s="1" t="s">
        <v>20</v>
      </c>
      <c r="C2063">
        <v>2013</v>
      </c>
      <c r="D2063" s="4">
        <v>5.3</v>
      </c>
      <c r="E2063" s="5">
        <v>89460</v>
      </c>
      <c r="F2063" s="1" t="s">
        <v>16</v>
      </c>
      <c r="G2063" s="10">
        <v>70093.11</v>
      </c>
      <c r="H2063" s="1" t="s">
        <v>46</v>
      </c>
      <c r="I2063" t="s">
        <v>13</v>
      </c>
      <c r="J2063" t="s">
        <v>22</v>
      </c>
    </row>
    <row r="2064" spans="1:10" x14ac:dyDescent="0.35">
      <c r="A2064">
        <v>2063</v>
      </c>
      <c r="B2064" s="1" t="s">
        <v>27</v>
      </c>
      <c r="C2064">
        <v>2012</v>
      </c>
      <c r="D2064" s="4">
        <v>3.8</v>
      </c>
      <c r="E2064" s="5">
        <v>51048</v>
      </c>
      <c r="F2064" s="1" t="s">
        <v>11</v>
      </c>
      <c r="G2064" s="10">
        <v>7563.58</v>
      </c>
      <c r="H2064" s="1" t="s">
        <v>28</v>
      </c>
      <c r="I2064" t="s">
        <v>51</v>
      </c>
      <c r="J2064" t="s">
        <v>14</v>
      </c>
    </row>
    <row r="2065" spans="1:10" x14ac:dyDescent="0.35">
      <c r="A2065">
        <v>2064</v>
      </c>
      <c r="B2065" s="1" t="s">
        <v>25</v>
      </c>
      <c r="C2065">
        <v>2002</v>
      </c>
      <c r="D2065" s="4">
        <v>3.6</v>
      </c>
      <c r="E2065" s="5">
        <v>206518</v>
      </c>
      <c r="F2065" s="1" t="s">
        <v>15</v>
      </c>
      <c r="G2065" s="10">
        <v>90416.6</v>
      </c>
      <c r="H2065" s="1" t="s">
        <v>49</v>
      </c>
      <c r="I2065" t="s">
        <v>52</v>
      </c>
      <c r="J2065" t="s">
        <v>22</v>
      </c>
    </row>
    <row r="2066" spans="1:10" x14ac:dyDescent="0.35">
      <c r="A2066">
        <v>2065</v>
      </c>
      <c r="B2066" s="1" t="s">
        <v>23</v>
      </c>
      <c r="C2066">
        <v>2005</v>
      </c>
      <c r="D2066" s="4">
        <v>1.5</v>
      </c>
      <c r="E2066" s="5">
        <v>132850</v>
      </c>
      <c r="F2066" s="1" t="s">
        <v>16</v>
      </c>
      <c r="G2066" s="10">
        <v>37120.120000000003</v>
      </c>
      <c r="H2066" s="1" t="s">
        <v>34</v>
      </c>
      <c r="I2066" t="s">
        <v>51</v>
      </c>
      <c r="J2066" t="s">
        <v>14</v>
      </c>
    </row>
    <row r="2067" spans="1:10" x14ac:dyDescent="0.35">
      <c r="A2067">
        <v>2066</v>
      </c>
      <c r="B2067" s="1" t="s">
        <v>29</v>
      </c>
      <c r="C2067">
        <v>2007</v>
      </c>
      <c r="D2067" s="4">
        <v>1.1000000000000001</v>
      </c>
      <c r="E2067" s="5">
        <v>211912</v>
      </c>
      <c r="F2067" s="1" t="s">
        <v>16</v>
      </c>
      <c r="G2067" s="10">
        <v>75695.75</v>
      </c>
      <c r="H2067" s="1" t="s">
        <v>43</v>
      </c>
      <c r="I2067" t="s">
        <v>51</v>
      </c>
      <c r="J2067" t="s">
        <v>14</v>
      </c>
    </row>
    <row r="2068" spans="1:10" x14ac:dyDescent="0.35">
      <c r="A2068">
        <v>2067</v>
      </c>
      <c r="B2068" s="1" t="s">
        <v>23</v>
      </c>
      <c r="C2068">
        <v>2011</v>
      </c>
      <c r="D2068" s="4">
        <v>5.8</v>
      </c>
      <c r="E2068" s="5">
        <v>266891</v>
      </c>
      <c r="F2068" s="1" t="s">
        <v>11</v>
      </c>
      <c r="G2068" s="10">
        <v>77181.66</v>
      </c>
      <c r="H2068" s="1" t="s">
        <v>34</v>
      </c>
      <c r="I2068" t="s">
        <v>51</v>
      </c>
      <c r="J2068" t="s">
        <v>22</v>
      </c>
    </row>
    <row r="2069" spans="1:10" x14ac:dyDescent="0.35">
      <c r="A2069">
        <v>2068</v>
      </c>
      <c r="B2069" s="1" t="s">
        <v>29</v>
      </c>
      <c r="C2069">
        <v>2012</v>
      </c>
      <c r="D2069" s="4">
        <v>2.9</v>
      </c>
      <c r="E2069" s="5">
        <v>45</v>
      </c>
      <c r="F2069" s="1" t="s">
        <v>16</v>
      </c>
      <c r="G2069" s="10">
        <v>66802.720000000001</v>
      </c>
      <c r="H2069" s="1" t="s">
        <v>30</v>
      </c>
      <c r="I2069" t="s">
        <v>13</v>
      </c>
      <c r="J2069" t="s">
        <v>22</v>
      </c>
    </row>
    <row r="2070" spans="1:10" x14ac:dyDescent="0.35">
      <c r="A2070">
        <v>2069</v>
      </c>
      <c r="B2070" s="1" t="s">
        <v>10</v>
      </c>
      <c r="C2070">
        <v>2010</v>
      </c>
      <c r="D2070" s="4">
        <v>4</v>
      </c>
      <c r="E2070" s="5">
        <v>7758</v>
      </c>
      <c r="F2070" s="1" t="s">
        <v>11</v>
      </c>
      <c r="G2070" s="10">
        <v>42512.32</v>
      </c>
      <c r="H2070" s="1" t="s">
        <v>19</v>
      </c>
      <c r="I2070" t="s">
        <v>13</v>
      </c>
      <c r="J2070" t="s">
        <v>14</v>
      </c>
    </row>
    <row r="2071" spans="1:10" x14ac:dyDescent="0.35">
      <c r="A2071">
        <v>2070</v>
      </c>
      <c r="B2071" s="1" t="s">
        <v>20</v>
      </c>
      <c r="C2071">
        <v>2011</v>
      </c>
      <c r="D2071" s="4">
        <v>1.4</v>
      </c>
      <c r="E2071" s="5">
        <v>255397</v>
      </c>
      <c r="F2071" s="1" t="s">
        <v>15</v>
      </c>
      <c r="G2071" s="10">
        <v>62796.5</v>
      </c>
      <c r="H2071" s="1" t="s">
        <v>46</v>
      </c>
      <c r="I2071" t="s">
        <v>52</v>
      </c>
      <c r="J2071" t="s">
        <v>14</v>
      </c>
    </row>
    <row r="2072" spans="1:10" x14ac:dyDescent="0.35">
      <c r="A2072">
        <v>2071</v>
      </c>
      <c r="B2072" s="1" t="s">
        <v>35</v>
      </c>
      <c r="C2072">
        <v>2000</v>
      </c>
      <c r="D2072" s="4">
        <v>4.4000000000000004</v>
      </c>
      <c r="E2072" s="5">
        <v>154509</v>
      </c>
      <c r="F2072" s="1" t="s">
        <v>16</v>
      </c>
      <c r="G2072" s="10">
        <v>8818.8799999999992</v>
      </c>
      <c r="H2072" s="1" t="s">
        <v>45</v>
      </c>
      <c r="I2072" t="s">
        <v>13</v>
      </c>
      <c r="J2072" t="s">
        <v>14</v>
      </c>
    </row>
    <row r="2073" spans="1:10" x14ac:dyDescent="0.35">
      <c r="A2073">
        <v>2072</v>
      </c>
      <c r="B2073" s="1" t="s">
        <v>20</v>
      </c>
      <c r="C2073">
        <v>2016</v>
      </c>
      <c r="D2073" s="4">
        <v>5.7</v>
      </c>
      <c r="E2073" s="5">
        <v>150657</v>
      </c>
      <c r="F2073" s="1" t="s">
        <v>15</v>
      </c>
      <c r="G2073" s="10">
        <v>77380.100000000006</v>
      </c>
      <c r="H2073" s="1" t="s">
        <v>46</v>
      </c>
      <c r="I2073" t="s">
        <v>51</v>
      </c>
      <c r="J2073" t="s">
        <v>22</v>
      </c>
    </row>
    <row r="2074" spans="1:10" x14ac:dyDescent="0.35">
      <c r="A2074">
        <v>2073</v>
      </c>
      <c r="B2074" s="1" t="s">
        <v>10</v>
      </c>
      <c r="C2074">
        <v>2015</v>
      </c>
      <c r="D2074" s="4">
        <v>3.9</v>
      </c>
      <c r="E2074" s="5">
        <v>140926</v>
      </c>
      <c r="F2074" s="1" t="s">
        <v>16</v>
      </c>
      <c r="G2074" s="10">
        <v>14460.92</v>
      </c>
      <c r="H2074" s="1" t="s">
        <v>18</v>
      </c>
      <c r="I2074" t="s">
        <v>13</v>
      </c>
      <c r="J2074" t="s">
        <v>14</v>
      </c>
    </row>
    <row r="2075" spans="1:10" x14ac:dyDescent="0.35">
      <c r="A2075">
        <v>2074</v>
      </c>
      <c r="B2075" s="1" t="s">
        <v>27</v>
      </c>
      <c r="C2075">
        <v>2010</v>
      </c>
      <c r="D2075" s="4">
        <v>1.6</v>
      </c>
      <c r="E2075" s="5">
        <v>183148</v>
      </c>
      <c r="F2075" s="1" t="s">
        <v>16</v>
      </c>
      <c r="G2075" s="10">
        <v>42691.34</v>
      </c>
      <c r="H2075" s="1" t="s">
        <v>28</v>
      </c>
      <c r="I2075" t="s">
        <v>53</v>
      </c>
      <c r="J2075" t="s">
        <v>22</v>
      </c>
    </row>
    <row r="2076" spans="1:10" x14ac:dyDescent="0.35">
      <c r="A2076">
        <v>2075</v>
      </c>
      <c r="B2076" s="1" t="s">
        <v>27</v>
      </c>
      <c r="C2076">
        <v>2012</v>
      </c>
      <c r="D2076" s="4">
        <v>3.9</v>
      </c>
      <c r="E2076" s="5">
        <v>148421</v>
      </c>
      <c r="F2076" s="1" t="s">
        <v>15</v>
      </c>
      <c r="G2076" s="10">
        <v>14843.78</v>
      </c>
      <c r="H2076" s="1" t="s">
        <v>37</v>
      </c>
      <c r="I2076" t="s">
        <v>53</v>
      </c>
      <c r="J2076" t="s">
        <v>14</v>
      </c>
    </row>
    <row r="2077" spans="1:10" x14ac:dyDescent="0.35">
      <c r="A2077">
        <v>2076</v>
      </c>
      <c r="B2077" s="1" t="s">
        <v>10</v>
      </c>
      <c r="C2077">
        <v>2017</v>
      </c>
      <c r="D2077" s="4">
        <v>4.8</v>
      </c>
      <c r="E2077" s="5">
        <v>227300</v>
      </c>
      <c r="F2077" s="1" t="s">
        <v>16</v>
      </c>
      <c r="G2077" s="10">
        <v>84522.07</v>
      </c>
      <c r="H2077" s="1" t="s">
        <v>18</v>
      </c>
      <c r="I2077" t="s">
        <v>13</v>
      </c>
      <c r="J2077" t="s">
        <v>14</v>
      </c>
    </row>
    <row r="2078" spans="1:10" x14ac:dyDescent="0.35">
      <c r="A2078">
        <v>2077</v>
      </c>
      <c r="B2078" s="1" t="s">
        <v>29</v>
      </c>
      <c r="C2078">
        <v>2010</v>
      </c>
      <c r="D2078" s="4">
        <v>3</v>
      </c>
      <c r="E2078" s="5">
        <v>152420</v>
      </c>
      <c r="F2078" s="1" t="s">
        <v>15</v>
      </c>
      <c r="G2078" s="10">
        <v>57278.73</v>
      </c>
      <c r="H2078" s="1" t="s">
        <v>30</v>
      </c>
      <c r="I2078" t="s">
        <v>13</v>
      </c>
      <c r="J2078" t="s">
        <v>14</v>
      </c>
    </row>
    <row r="2079" spans="1:10" x14ac:dyDescent="0.35">
      <c r="A2079">
        <v>2078</v>
      </c>
      <c r="B2079" s="1" t="s">
        <v>25</v>
      </c>
      <c r="C2079">
        <v>2011</v>
      </c>
      <c r="D2079" s="4">
        <v>5.4</v>
      </c>
      <c r="E2079" s="5">
        <v>165368</v>
      </c>
      <c r="F2079" s="1" t="s">
        <v>15</v>
      </c>
      <c r="G2079" s="10">
        <v>70640.740000000005</v>
      </c>
      <c r="H2079" s="1" t="s">
        <v>41</v>
      </c>
      <c r="I2079" t="s">
        <v>52</v>
      </c>
      <c r="J2079" t="s">
        <v>22</v>
      </c>
    </row>
    <row r="2080" spans="1:10" x14ac:dyDescent="0.35">
      <c r="A2080">
        <v>2079</v>
      </c>
      <c r="B2080" s="1" t="s">
        <v>25</v>
      </c>
      <c r="C2080">
        <v>2005</v>
      </c>
      <c r="D2080" s="4">
        <v>4.2</v>
      </c>
      <c r="E2080" s="5">
        <v>19455</v>
      </c>
      <c r="F2080" s="1" t="s">
        <v>11</v>
      </c>
      <c r="G2080" s="10">
        <v>69845.31</v>
      </c>
      <c r="H2080" s="1" t="s">
        <v>44</v>
      </c>
      <c r="I2080" t="s">
        <v>53</v>
      </c>
      <c r="J2080" t="s">
        <v>22</v>
      </c>
    </row>
    <row r="2081" spans="1:10" x14ac:dyDescent="0.35">
      <c r="A2081">
        <v>2080</v>
      </c>
      <c r="B2081" s="1" t="s">
        <v>29</v>
      </c>
      <c r="C2081">
        <v>2008</v>
      </c>
      <c r="D2081" s="4">
        <v>5.5</v>
      </c>
      <c r="E2081" s="5">
        <v>209896</v>
      </c>
      <c r="F2081" s="1" t="s">
        <v>15</v>
      </c>
      <c r="G2081" s="10">
        <v>84952.59</v>
      </c>
      <c r="H2081" s="1" t="s">
        <v>31</v>
      </c>
      <c r="I2081" t="s">
        <v>52</v>
      </c>
      <c r="J2081" t="s">
        <v>14</v>
      </c>
    </row>
    <row r="2082" spans="1:10" x14ac:dyDescent="0.35">
      <c r="A2082">
        <v>2081</v>
      </c>
      <c r="B2082" s="1" t="s">
        <v>27</v>
      </c>
      <c r="C2082">
        <v>2015</v>
      </c>
      <c r="D2082" s="4">
        <v>4.0999999999999996</v>
      </c>
      <c r="E2082" s="5">
        <v>231897</v>
      </c>
      <c r="F2082" s="1" t="s">
        <v>11</v>
      </c>
      <c r="G2082" s="10">
        <v>17594.09</v>
      </c>
      <c r="H2082" s="1" t="s">
        <v>37</v>
      </c>
      <c r="I2082" t="s">
        <v>52</v>
      </c>
      <c r="J2082" t="s">
        <v>22</v>
      </c>
    </row>
    <row r="2083" spans="1:10" x14ac:dyDescent="0.35">
      <c r="A2083">
        <v>2082</v>
      </c>
      <c r="B2083" s="1" t="s">
        <v>27</v>
      </c>
      <c r="C2083">
        <v>2003</v>
      </c>
      <c r="D2083" s="4">
        <v>1.7</v>
      </c>
      <c r="E2083" s="5">
        <v>88552</v>
      </c>
      <c r="F2083" s="1" t="s">
        <v>15</v>
      </c>
      <c r="G2083" s="10">
        <v>67674.17</v>
      </c>
      <c r="H2083" s="1" t="s">
        <v>40</v>
      </c>
      <c r="I2083" t="s">
        <v>52</v>
      </c>
      <c r="J2083" t="s">
        <v>22</v>
      </c>
    </row>
    <row r="2084" spans="1:10" x14ac:dyDescent="0.35">
      <c r="A2084">
        <v>2083</v>
      </c>
      <c r="B2084" s="1" t="s">
        <v>27</v>
      </c>
      <c r="C2084">
        <v>2002</v>
      </c>
      <c r="D2084" s="4">
        <v>2.5</v>
      </c>
      <c r="E2084" s="5">
        <v>40484</v>
      </c>
      <c r="F2084" s="1" t="s">
        <v>16</v>
      </c>
      <c r="G2084" s="10">
        <v>59637.74</v>
      </c>
      <c r="H2084" s="1" t="s">
        <v>28</v>
      </c>
      <c r="I2084" t="s">
        <v>13</v>
      </c>
      <c r="J2084" t="s">
        <v>14</v>
      </c>
    </row>
    <row r="2085" spans="1:10" x14ac:dyDescent="0.35">
      <c r="A2085">
        <v>2084</v>
      </c>
      <c r="B2085" s="1" t="s">
        <v>20</v>
      </c>
      <c r="C2085">
        <v>2015</v>
      </c>
      <c r="D2085" s="4">
        <v>2</v>
      </c>
      <c r="E2085" s="5">
        <v>134476</v>
      </c>
      <c r="F2085" s="1" t="s">
        <v>15</v>
      </c>
      <c r="G2085" s="10">
        <v>7935.23</v>
      </c>
      <c r="H2085" s="1" t="s">
        <v>39</v>
      </c>
      <c r="I2085" t="s">
        <v>13</v>
      </c>
      <c r="J2085" t="s">
        <v>22</v>
      </c>
    </row>
    <row r="2086" spans="1:10" x14ac:dyDescent="0.35">
      <c r="A2086">
        <v>2085</v>
      </c>
      <c r="B2086" s="1" t="s">
        <v>27</v>
      </c>
      <c r="C2086">
        <v>2023</v>
      </c>
      <c r="D2086" s="4">
        <v>5.5</v>
      </c>
      <c r="E2086" s="5">
        <v>168332</v>
      </c>
      <c r="F2086" s="1" t="s">
        <v>16</v>
      </c>
      <c r="G2086" s="10">
        <v>24135.18</v>
      </c>
      <c r="H2086" s="1" t="s">
        <v>37</v>
      </c>
      <c r="I2086" t="s">
        <v>13</v>
      </c>
      <c r="J2086" t="s">
        <v>14</v>
      </c>
    </row>
    <row r="2087" spans="1:10" x14ac:dyDescent="0.35">
      <c r="A2087">
        <v>2086</v>
      </c>
      <c r="B2087" s="1" t="s">
        <v>23</v>
      </c>
      <c r="C2087">
        <v>2011</v>
      </c>
      <c r="D2087" s="4">
        <v>4.8</v>
      </c>
      <c r="E2087" s="5">
        <v>100647</v>
      </c>
      <c r="F2087" s="1" t="s">
        <v>11</v>
      </c>
      <c r="G2087" s="10">
        <v>30419.3</v>
      </c>
      <c r="H2087" s="1" t="s">
        <v>24</v>
      </c>
      <c r="I2087" t="s">
        <v>13</v>
      </c>
      <c r="J2087" t="s">
        <v>22</v>
      </c>
    </row>
    <row r="2088" spans="1:10" x14ac:dyDescent="0.35">
      <c r="A2088">
        <v>2087</v>
      </c>
      <c r="B2088" s="1" t="s">
        <v>35</v>
      </c>
      <c r="C2088">
        <v>2010</v>
      </c>
      <c r="D2088" s="4">
        <v>4.4000000000000004</v>
      </c>
      <c r="E2088" s="5">
        <v>65642</v>
      </c>
      <c r="F2088" s="1" t="s">
        <v>16</v>
      </c>
      <c r="G2088" s="10">
        <v>11892.86</v>
      </c>
      <c r="H2088" s="1" t="s">
        <v>50</v>
      </c>
      <c r="I2088" t="s">
        <v>53</v>
      </c>
      <c r="J2088" t="s">
        <v>14</v>
      </c>
    </row>
    <row r="2089" spans="1:10" x14ac:dyDescent="0.35">
      <c r="A2089">
        <v>2088</v>
      </c>
      <c r="B2089" s="1" t="s">
        <v>27</v>
      </c>
      <c r="C2089">
        <v>2004</v>
      </c>
      <c r="D2089" s="4">
        <v>2.5</v>
      </c>
      <c r="E2089" s="5">
        <v>211803</v>
      </c>
      <c r="F2089" s="1" t="s">
        <v>15</v>
      </c>
      <c r="G2089" s="10">
        <v>38698.379999999997</v>
      </c>
      <c r="H2089" s="1" t="s">
        <v>40</v>
      </c>
      <c r="I2089" t="s">
        <v>51</v>
      </c>
      <c r="J2089" t="s">
        <v>14</v>
      </c>
    </row>
    <row r="2090" spans="1:10" x14ac:dyDescent="0.35">
      <c r="A2090">
        <v>2089</v>
      </c>
      <c r="B2090" s="1" t="s">
        <v>29</v>
      </c>
      <c r="C2090">
        <v>2017</v>
      </c>
      <c r="D2090" s="4">
        <v>1.9</v>
      </c>
      <c r="E2090" s="5">
        <v>128824</v>
      </c>
      <c r="F2090" s="1" t="s">
        <v>16</v>
      </c>
      <c r="G2090" s="10">
        <v>7584.24</v>
      </c>
      <c r="H2090" s="1" t="s">
        <v>43</v>
      </c>
      <c r="I2090" t="s">
        <v>51</v>
      </c>
      <c r="J2090" t="s">
        <v>22</v>
      </c>
    </row>
    <row r="2091" spans="1:10" x14ac:dyDescent="0.35">
      <c r="A2091">
        <v>2090</v>
      </c>
      <c r="B2091" s="1" t="s">
        <v>35</v>
      </c>
      <c r="C2091">
        <v>2018</v>
      </c>
      <c r="D2091" s="4">
        <v>4.8</v>
      </c>
      <c r="E2091" s="5">
        <v>248914</v>
      </c>
      <c r="F2091" s="1" t="s">
        <v>11</v>
      </c>
      <c r="G2091" s="10">
        <v>57552.43</v>
      </c>
      <c r="H2091" s="1" t="s">
        <v>47</v>
      </c>
      <c r="I2091" t="s">
        <v>51</v>
      </c>
      <c r="J2091" t="s">
        <v>14</v>
      </c>
    </row>
    <row r="2092" spans="1:10" x14ac:dyDescent="0.35">
      <c r="A2092">
        <v>2091</v>
      </c>
      <c r="B2092" s="1" t="s">
        <v>20</v>
      </c>
      <c r="C2092">
        <v>2022</v>
      </c>
      <c r="D2092" s="4">
        <v>3.4</v>
      </c>
      <c r="E2092" s="5">
        <v>291749</v>
      </c>
      <c r="F2092" s="1" t="s">
        <v>16</v>
      </c>
      <c r="G2092" s="10">
        <v>25092.59</v>
      </c>
      <c r="H2092" s="1" t="s">
        <v>39</v>
      </c>
      <c r="I2092" t="s">
        <v>53</v>
      </c>
      <c r="J2092" t="s">
        <v>14</v>
      </c>
    </row>
    <row r="2093" spans="1:10" x14ac:dyDescent="0.35">
      <c r="A2093">
        <v>2092</v>
      </c>
      <c r="B2093" s="1" t="s">
        <v>29</v>
      </c>
      <c r="C2093">
        <v>2022</v>
      </c>
      <c r="D2093" s="4">
        <v>2.1</v>
      </c>
      <c r="E2093" s="5">
        <v>110879</v>
      </c>
      <c r="F2093" s="1" t="s">
        <v>16</v>
      </c>
      <c r="G2093" s="10">
        <v>32265.3</v>
      </c>
      <c r="H2093" s="1" t="s">
        <v>30</v>
      </c>
      <c r="I2093" t="s">
        <v>51</v>
      </c>
      <c r="J2093" t="s">
        <v>22</v>
      </c>
    </row>
    <row r="2094" spans="1:10" x14ac:dyDescent="0.35">
      <c r="A2094">
        <v>2093</v>
      </c>
      <c r="B2094" s="1" t="s">
        <v>35</v>
      </c>
      <c r="C2094">
        <v>2005</v>
      </c>
      <c r="D2094" s="4">
        <v>4.0999999999999996</v>
      </c>
      <c r="E2094" s="5">
        <v>120827</v>
      </c>
      <c r="F2094" s="1" t="s">
        <v>15</v>
      </c>
      <c r="G2094" s="10">
        <v>91494.8</v>
      </c>
      <c r="H2094" s="1" t="s">
        <v>47</v>
      </c>
      <c r="I2094" t="s">
        <v>53</v>
      </c>
      <c r="J2094" t="s">
        <v>14</v>
      </c>
    </row>
    <row r="2095" spans="1:10" x14ac:dyDescent="0.35">
      <c r="A2095">
        <v>2094</v>
      </c>
      <c r="B2095" s="1" t="s">
        <v>29</v>
      </c>
      <c r="C2095">
        <v>2021</v>
      </c>
      <c r="D2095" s="4">
        <v>1.2</v>
      </c>
      <c r="E2095" s="5">
        <v>267724</v>
      </c>
      <c r="F2095" s="1" t="s">
        <v>15</v>
      </c>
      <c r="G2095" s="10">
        <v>52767.6</v>
      </c>
      <c r="H2095" s="1" t="s">
        <v>30</v>
      </c>
      <c r="I2095" t="s">
        <v>53</v>
      </c>
      <c r="J2095" t="s">
        <v>14</v>
      </c>
    </row>
    <row r="2096" spans="1:10" x14ac:dyDescent="0.35">
      <c r="A2096">
        <v>2095</v>
      </c>
      <c r="B2096" s="1" t="s">
        <v>20</v>
      </c>
      <c r="C2096">
        <v>2017</v>
      </c>
      <c r="D2096" s="4">
        <v>2.6</v>
      </c>
      <c r="E2096" s="5">
        <v>267544</v>
      </c>
      <c r="F2096" s="1" t="s">
        <v>16</v>
      </c>
      <c r="G2096" s="10">
        <v>30556.32</v>
      </c>
      <c r="H2096" s="1" t="s">
        <v>33</v>
      </c>
      <c r="I2096" t="s">
        <v>53</v>
      </c>
      <c r="J2096" t="s">
        <v>14</v>
      </c>
    </row>
    <row r="2097" spans="1:10" x14ac:dyDescent="0.35">
      <c r="A2097">
        <v>2096</v>
      </c>
      <c r="B2097" s="1" t="s">
        <v>23</v>
      </c>
      <c r="C2097">
        <v>2005</v>
      </c>
      <c r="D2097" s="4">
        <v>3.3</v>
      </c>
      <c r="E2097" s="5">
        <v>170715</v>
      </c>
      <c r="F2097" s="1" t="s">
        <v>11</v>
      </c>
      <c r="G2097" s="10">
        <v>61853.87</v>
      </c>
      <c r="H2097" s="1" t="s">
        <v>32</v>
      </c>
      <c r="I2097" t="s">
        <v>51</v>
      </c>
      <c r="J2097" t="s">
        <v>14</v>
      </c>
    </row>
    <row r="2098" spans="1:10" x14ac:dyDescent="0.35">
      <c r="A2098">
        <v>2097</v>
      </c>
      <c r="B2098" s="1" t="s">
        <v>20</v>
      </c>
      <c r="C2098">
        <v>2003</v>
      </c>
      <c r="D2098" s="4">
        <v>1.7</v>
      </c>
      <c r="E2098" s="5">
        <v>227257</v>
      </c>
      <c r="F2098" s="1" t="s">
        <v>16</v>
      </c>
      <c r="G2098" s="10">
        <v>24158.79</v>
      </c>
      <c r="H2098" s="1" t="s">
        <v>39</v>
      </c>
      <c r="I2098" t="s">
        <v>52</v>
      </c>
      <c r="J2098" t="s">
        <v>14</v>
      </c>
    </row>
    <row r="2099" spans="1:10" x14ac:dyDescent="0.35">
      <c r="A2099">
        <v>2098</v>
      </c>
      <c r="B2099" s="1" t="s">
        <v>20</v>
      </c>
      <c r="C2099">
        <v>2011</v>
      </c>
      <c r="D2099" s="4">
        <v>5.9</v>
      </c>
      <c r="E2099" s="5">
        <v>127319</v>
      </c>
      <c r="F2099" s="1" t="s">
        <v>11</v>
      </c>
      <c r="G2099" s="10">
        <v>12067.59</v>
      </c>
      <c r="H2099" s="1" t="s">
        <v>21</v>
      </c>
      <c r="I2099" t="s">
        <v>51</v>
      </c>
      <c r="J2099" t="s">
        <v>14</v>
      </c>
    </row>
    <row r="2100" spans="1:10" x14ac:dyDescent="0.35">
      <c r="A2100">
        <v>2099</v>
      </c>
      <c r="B2100" s="1" t="s">
        <v>29</v>
      </c>
      <c r="C2100">
        <v>2018</v>
      </c>
      <c r="D2100" s="4">
        <v>2</v>
      </c>
      <c r="E2100" s="5">
        <v>106960</v>
      </c>
      <c r="F2100" s="1" t="s">
        <v>11</v>
      </c>
      <c r="G2100" s="10">
        <v>6986.1</v>
      </c>
      <c r="H2100" s="1" t="s">
        <v>43</v>
      </c>
      <c r="I2100" t="s">
        <v>51</v>
      </c>
      <c r="J2100" t="s">
        <v>14</v>
      </c>
    </row>
    <row r="2101" spans="1:10" x14ac:dyDescent="0.35">
      <c r="A2101">
        <v>2100</v>
      </c>
      <c r="B2101" s="1" t="s">
        <v>10</v>
      </c>
      <c r="C2101">
        <v>2001</v>
      </c>
      <c r="D2101" s="4">
        <v>1.7</v>
      </c>
      <c r="E2101" s="5">
        <v>39015</v>
      </c>
      <c r="F2101" s="1" t="s">
        <v>11</v>
      </c>
      <c r="G2101" s="10">
        <v>95395.26</v>
      </c>
      <c r="H2101" s="1" t="s">
        <v>18</v>
      </c>
      <c r="I2101" t="s">
        <v>13</v>
      </c>
      <c r="J2101" t="s">
        <v>14</v>
      </c>
    </row>
    <row r="2102" spans="1:10" x14ac:dyDescent="0.35">
      <c r="A2102">
        <v>2101</v>
      </c>
      <c r="B2102" s="1" t="s">
        <v>25</v>
      </c>
      <c r="C2102">
        <v>2016</v>
      </c>
      <c r="D2102" s="4">
        <v>2</v>
      </c>
      <c r="E2102" s="5">
        <v>203877</v>
      </c>
      <c r="F2102" s="1" t="s">
        <v>16</v>
      </c>
      <c r="G2102" s="10">
        <v>73838.03</v>
      </c>
      <c r="H2102" s="1" t="s">
        <v>44</v>
      </c>
      <c r="I2102" t="s">
        <v>53</v>
      </c>
      <c r="J2102" t="s">
        <v>22</v>
      </c>
    </row>
    <row r="2103" spans="1:10" x14ac:dyDescent="0.35">
      <c r="A2103">
        <v>2102</v>
      </c>
      <c r="B2103" s="1" t="s">
        <v>27</v>
      </c>
      <c r="C2103">
        <v>2010</v>
      </c>
      <c r="D2103" s="4">
        <v>4.8</v>
      </c>
      <c r="E2103" s="5">
        <v>145109</v>
      </c>
      <c r="F2103" s="1" t="s">
        <v>11</v>
      </c>
      <c r="G2103" s="10">
        <v>80995.070000000007</v>
      </c>
      <c r="H2103" s="1" t="s">
        <v>40</v>
      </c>
      <c r="I2103" t="s">
        <v>52</v>
      </c>
      <c r="J2103" t="s">
        <v>22</v>
      </c>
    </row>
    <row r="2104" spans="1:10" x14ac:dyDescent="0.35">
      <c r="A2104">
        <v>2103</v>
      </c>
      <c r="B2104" s="1" t="s">
        <v>27</v>
      </c>
      <c r="C2104">
        <v>2010</v>
      </c>
      <c r="D2104" s="4">
        <v>3.1</v>
      </c>
      <c r="E2104" s="5">
        <v>262063</v>
      </c>
      <c r="F2104" s="1" t="s">
        <v>16</v>
      </c>
      <c r="G2104" s="10">
        <v>98187.18</v>
      </c>
      <c r="H2104" s="1" t="s">
        <v>48</v>
      </c>
      <c r="I2104" t="s">
        <v>13</v>
      </c>
      <c r="J2104" t="s">
        <v>22</v>
      </c>
    </row>
    <row r="2105" spans="1:10" x14ac:dyDescent="0.35">
      <c r="A2105">
        <v>2104</v>
      </c>
      <c r="B2105" s="1" t="s">
        <v>23</v>
      </c>
      <c r="C2105">
        <v>2020</v>
      </c>
      <c r="D2105" s="4">
        <v>3.8</v>
      </c>
      <c r="E2105" s="5">
        <v>88754</v>
      </c>
      <c r="F2105" s="1" t="s">
        <v>11</v>
      </c>
      <c r="G2105" s="10">
        <v>93504.73</v>
      </c>
      <c r="H2105" s="1" t="s">
        <v>24</v>
      </c>
      <c r="I2105" t="s">
        <v>52</v>
      </c>
      <c r="J2105" t="s">
        <v>14</v>
      </c>
    </row>
    <row r="2106" spans="1:10" x14ac:dyDescent="0.35">
      <c r="A2106">
        <v>2105</v>
      </c>
      <c r="B2106" s="1" t="s">
        <v>23</v>
      </c>
      <c r="C2106">
        <v>2015</v>
      </c>
      <c r="D2106" s="4">
        <v>1.1000000000000001</v>
      </c>
      <c r="E2106" s="5">
        <v>221775</v>
      </c>
      <c r="F2106" s="1" t="s">
        <v>11</v>
      </c>
      <c r="G2106" s="10">
        <v>75006.75</v>
      </c>
      <c r="H2106" s="1" t="s">
        <v>24</v>
      </c>
      <c r="I2106" t="s">
        <v>52</v>
      </c>
      <c r="J2106" t="s">
        <v>14</v>
      </c>
    </row>
    <row r="2107" spans="1:10" x14ac:dyDescent="0.35">
      <c r="A2107">
        <v>2106</v>
      </c>
      <c r="B2107" s="1" t="s">
        <v>27</v>
      </c>
      <c r="C2107">
        <v>2001</v>
      </c>
      <c r="D2107" s="4">
        <v>1.2</v>
      </c>
      <c r="E2107" s="5">
        <v>203225</v>
      </c>
      <c r="F2107" s="1" t="s">
        <v>16</v>
      </c>
      <c r="G2107" s="10">
        <v>70928.77</v>
      </c>
      <c r="H2107" s="1" t="s">
        <v>28</v>
      </c>
      <c r="I2107" t="s">
        <v>53</v>
      </c>
      <c r="J2107" t="s">
        <v>14</v>
      </c>
    </row>
    <row r="2108" spans="1:10" x14ac:dyDescent="0.35">
      <c r="A2108">
        <v>2107</v>
      </c>
      <c r="B2108" s="1" t="s">
        <v>25</v>
      </c>
      <c r="C2108">
        <v>2001</v>
      </c>
      <c r="D2108" s="4">
        <v>3.2</v>
      </c>
      <c r="E2108" s="5">
        <v>152606</v>
      </c>
      <c r="F2108" s="1" t="s">
        <v>15</v>
      </c>
      <c r="G2108" s="10">
        <v>37000.75</v>
      </c>
      <c r="H2108" s="1" t="s">
        <v>26</v>
      </c>
      <c r="I2108" t="s">
        <v>51</v>
      </c>
      <c r="J2108" t="s">
        <v>22</v>
      </c>
    </row>
    <row r="2109" spans="1:10" x14ac:dyDescent="0.35">
      <c r="A2109">
        <v>2108</v>
      </c>
      <c r="B2109" s="1" t="s">
        <v>27</v>
      </c>
      <c r="C2109">
        <v>2022</v>
      </c>
      <c r="D2109" s="4">
        <v>5.0999999999999996</v>
      </c>
      <c r="E2109" s="5">
        <v>222067</v>
      </c>
      <c r="F2109" s="1" t="s">
        <v>15</v>
      </c>
      <c r="G2109" s="10">
        <v>14881.64</v>
      </c>
      <c r="H2109" s="1" t="s">
        <v>48</v>
      </c>
      <c r="I2109" t="s">
        <v>53</v>
      </c>
      <c r="J2109" t="s">
        <v>22</v>
      </c>
    </row>
    <row r="2110" spans="1:10" x14ac:dyDescent="0.35">
      <c r="A2110">
        <v>2109</v>
      </c>
      <c r="B2110" s="1" t="s">
        <v>10</v>
      </c>
      <c r="C2110">
        <v>2007</v>
      </c>
      <c r="D2110" s="4">
        <v>5.4</v>
      </c>
      <c r="E2110" s="5">
        <v>56879</v>
      </c>
      <c r="F2110" s="1" t="s">
        <v>16</v>
      </c>
      <c r="G2110" s="10">
        <v>59503.64</v>
      </c>
      <c r="H2110" s="1" t="s">
        <v>17</v>
      </c>
      <c r="I2110" t="s">
        <v>13</v>
      </c>
      <c r="J2110" t="s">
        <v>14</v>
      </c>
    </row>
    <row r="2111" spans="1:10" x14ac:dyDescent="0.35">
      <c r="A2111">
        <v>2110</v>
      </c>
      <c r="B2111" s="1" t="s">
        <v>25</v>
      </c>
      <c r="C2111">
        <v>2012</v>
      </c>
      <c r="D2111" s="4">
        <v>1.4</v>
      </c>
      <c r="E2111" s="5">
        <v>119894</v>
      </c>
      <c r="F2111" s="1" t="s">
        <v>16</v>
      </c>
      <c r="G2111" s="10">
        <v>59744.06</v>
      </c>
      <c r="H2111" s="1" t="s">
        <v>44</v>
      </c>
      <c r="I2111" t="s">
        <v>13</v>
      </c>
      <c r="J2111" t="s">
        <v>14</v>
      </c>
    </row>
    <row r="2112" spans="1:10" x14ac:dyDescent="0.35">
      <c r="A2112">
        <v>2111</v>
      </c>
      <c r="B2112" s="1" t="s">
        <v>23</v>
      </c>
      <c r="C2112">
        <v>2009</v>
      </c>
      <c r="D2112" s="4">
        <v>3.7</v>
      </c>
      <c r="E2112" s="5">
        <v>65839</v>
      </c>
      <c r="F2112" s="1" t="s">
        <v>15</v>
      </c>
      <c r="G2112" s="10">
        <v>95462.54</v>
      </c>
      <c r="H2112" s="1" t="s">
        <v>24</v>
      </c>
      <c r="I2112" t="s">
        <v>53</v>
      </c>
      <c r="J2112" t="s">
        <v>22</v>
      </c>
    </row>
    <row r="2113" spans="1:10" x14ac:dyDescent="0.35">
      <c r="A2113">
        <v>2112</v>
      </c>
      <c r="B2113" s="1" t="s">
        <v>35</v>
      </c>
      <c r="C2113">
        <v>2007</v>
      </c>
      <c r="D2113" s="4">
        <v>5.6</v>
      </c>
      <c r="E2113" s="5">
        <v>29756</v>
      </c>
      <c r="F2113" s="1" t="s">
        <v>15</v>
      </c>
      <c r="G2113" s="10">
        <v>47044.23</v>
      </c>
      <c r="H2113" s="1" t="s">
        <v>36</v>
      </c>
      <c r="I2113" t="s">
        <v>51</v>
      </c>
      <c r="J2113" t="s">
        <v>22</v>
      </c>
    </row>
    <row r="2114" spans="1:10" x14ac:dyDescent="0.35">
      <c r="A2114">
        <v>2113</v>
      </c>
      <c r="B2114" s="1" t="s">
        <v>29</v>
      </c>
      <c r="C2114">
        <v>2003</v>
      </c>
      <c r="D2114" s="4">
        <v>2.9</v>
      </c>
      <c r="E2114" s="5">
        <v>143755</v>
      </c>
      <c r="F2114" s="1" t="s">
        <v>15</v>
      </c>
      <c r="G2114" s="10">
        <v>70626.720000000001</v>
      </c>
      <c r="H2114" s="1" t="s">
        <v>31</v>
      </c>
      <c r="I2114" t="s">
        <v>52</v>
      </c>
      <c r="J2114" t="s">
        <v>14</v>
      </c>
    </row>
    <row r="2115" spans="1:10" x14ac:dyDescent="0.35">
      <c r="A2115">
        <v>2114</v>
      </c>
      <c r="B2115" s="1" t="s">
        <v>10</v>
      </c>
      <c r="C2115">
        <v>2014</v>
      </c>
      <c r="D2115" s="4">
        <v>5.0999999999999996</v>
      </c>
      <c r="E2115" s="5">
        <v>180557</v>
      </c>
      <c r="F2115" s="1" t="s">
        <v>16</v>
      </c>
      <c r="G2115" s="10">
        <v>59622.21</v>
      </c>
      <c r="H2115" s="1" t="s">
        <v>12</v>
      </c>
      <c r="I2115" t="s">
        <v>13</v>
      </c>
      <c r="J2115" t="s">
        <v>14</v>
      </c>
    </row>
    <row r="2116" spans="1:10" x14ac:dyDescent="0.35">
      <c r="A2116">
        <v>2115</v>
      </c>
      <c r="B2116" s="1" t="s">
        <v>10</v>
      </c>
      <c r="C2116">
        <v>2000</v>
      </c>
      <c r="D2116" s="4">
        <v>1.7</v>
      </c>
      <c r="E2116" s="5">
        <v>229303</v>
      </c>
      <c r="F2116" s="1" t="s">
        <v>11</v>
      </c>
      <c r="G2116" s="10">
        <v>21792.22</v>
      </c>
      <c r="H2116" s="1" t="s">
        <v>18</v>
      </c>
      <c r="I2116" t="s">
        <v>13</v>
      </c>
      <c r="J2116" t="s">
        <v>14</v>
      </c>
    </row>
    <row r="2117" spans="1:10" x14ac:dyDescent="0.35">
      <c r="A2117">
        <v>2116</v>
      </c>
      <c r="B2117" s="1" t="s">
        <v>23</v>
      </c>
      <c r="C2117">
        <v>2010</v>
      </c>
      <c r="D2117" s="4">
        <v>5.7</v>
      </c>
      <c r="E2117" s="5">
        <v>149787</v>
      </c>
      <c r="F2117" s="1" t="s">
        <v>16</v>
      </c>
      <c r="G2117" s="10">
        <v>61246.11</v>
      </c>
      <c r="H2117" s="1" t="s">
        <v>24</v>
      </c>
      <c r="I2117" t="s">
        <v>53</v>
      </c>
      <c r="J2117" t="s">
        <v>22</v>
      </c>
    </row>
    <row r="2118" spans="1:10" x14ac:dyDescent="0.35">
      <c r="A2118">
        <v>2117</v>
      </c>
      <c r="B2118" s="1" t="s">
        <v>23</v>
      </c>
      <c r="C2118">
        <v>2006</v>
      </c>
      <c r="D2118" s="4">
        <v>4.8</v>
      </c>
      <c r="E2118" s="5">
        <v>92943</v>
      </c>
      <c r="F2118" s="1" t="s">
        <v>15</v>
      </c>
      <c r="G2118" s="10">
        <v>56311.09</v>
      </c>
      <c r="H2118" s="1" t="s">
        <v>34</v>
      </c>
      <c r="I2118" t="s">
        <v>52</v>
      </c>
      <c r="J2118" t="s">
        <v>14</v>
      </c>
    </row>
    <row r="2119" spans="1:10" x14ac:dyDescent="0.35">
      <c r="A2119">
        <v>2118</v>
      </c>
      <c r="B2119" s="1" t="s">
        <v>20</v>
      </c>
      <c r="C2119">
        <v>2016</v>
      </c>
      <c r="D2119" s="4">
        <v>5.7</v>
      </c>
      <c r="E2119" s="5">
        <v>218188</v>
      </c>
      <c r="F2119" s="1" t="s">
        <v>11</v>
      </c>
      <c r="G2119" s="10">
        <v>51921.07</v>
      </c>
      <c r="H2119" s="1" t="s">
        <v>33</v>
      </c>
      <c r="I2119" t="s">
        <v>53</v>
      </c>
      <c r="J2119" t="s">
        <v>14</v>
      </c>
    </row>
    <row r="2120" spans="1:10" x14ac:dyDescent="0.35">
      <c r="A2120">
        <v>2119</v>
      </c>
      <c r="B2120" s="1" t="s">
        <v>10</v>
      </c>
      <c r="C2120">
        <v>2019</v>
      </c>
      <c r="D2120" s="4">
        <v>4.4000000000000004</v>
      </c>
      <c r="E2120" s="5">
        <v>148188</v>
      </c>
      <c r="F2120" s="1" t="s">
        <v>16</v>
      </c>
      <c r="G2120" s="10">
        <v>53775.18</v>
      </c>
      <c r="H2120" s="1" t="s">
        <v>12</v>
      </c>
      <c r="I2120" t="s">
        <v>13</v>
      </c>
      <c r="J2120" t="s">
        <v>14</v>
      </c>
    </row>
    <row r="2121" spans="1:10" x14ac:dyDescent="0.35">
      <c r="A2121">
        <v>2120</v>
      </c>
      <c r="B2121" s="1" t="s">
        <v>20</v>
      </c>
      <c r="C2121">
        <v>2023</v>
      </c>
      <c r="D2121" s="4">
        <v>2.8</v>
      </c>
      <c r="E2121" s="5">
        <v>36744</v>
      </c>
      <c r="F2121" s="1" t="s">
        <v>15</v>
      </c>
      <c r="G2121" s="10">
        <v>20578.86</v>
      </c>
      <c r="H2121" s="1" t="s">
        <v>39</v>
      </c>
      <c r="I2121" t="s">
        <v>52</v>
      </c>
      <c r="J2121" t="s">
        <v>14</v>
      </c>
    </row>
    <row r="2122" spans="1:10" x14ac:dyDescent="0.35">
      <c r="A2122">
        <v>2121</v>
      </c>
      <c r="B2122" s="1" t="s">
        <v>20</v>
      </c>
      <c r="C2122">
        <v>2017</v>
      </c>
      <c r="D2122" s="4">
        <v>5.7</v>
      </c>
      <c r="E2122" s="5">
        <v>124697</v>
      </c>
      <c r="F2122" s="1" t="s">
        <v>16</v>
      </c>
      <c r="G2122" s="10">
        <v>49030.38</v>
      </c>
      <c r="H2122" s="1" t="s">
        <v>21</v>
      </c>
      <c r="I2122" t="s">
        <v>53</v>
      </c>
      <c r="J2122" t="s">
        <v>14</v>
      </c>
    </row>
    <row r="2123" spans="1:10" x14ac:dyDescent="0.35">
      <c r="A2123">
        <v>2122</v>
      </c>
      <c r="B2123" s="1" t="s">
        <v>29</v>
      </c>
      <c r="C2123">
        <v>2021</v>
      </c>
      <c r="D2123" s="4">
        <v>2.4</v>
      </c>
      <c r="E2123" s="5">
        <v>116072</v>
      </c>
      <c r="F2123" s="1" t="s">
        <v>11</v>
      </c>
      <c r="G2123" s="10">
        <v>62537.06</v>
      </c>
      <c r="H2123" s="1" t="s">
        <v>31</v>
      </c>
      <c r="I2123" t="s">
        <v>53</v>
      </c>
      <c r="J2123" t="s">
        <v>22</v>
      </c>
    </row>
    <row r="2124" spans="1:10" x14ac:dyDescent="0.35">
      <c r="A2124">
        <v>2123</v>
      </c>
      <c r="B2124" s="1" t="s">
        <v>20</v>
      </c>
      <c r="C2124">
        <v>2021</v>
      </c>
      <c r="D2124" s="4">
        <v>2.7</v>
      </c>
      <c r="E2124" s="5">
        <v>236028</v>
      </c>
      <c r="F2124" s="1" t="s">
        <v>15</v>
      </c>
      <c r="G2124" s="10">
        <v>51497.67</v>
      </c>
      <c r="H2124" s="1" t="s">
        <v>46</v>
      </c>
      <c r="I2124" t="s">
        <v>13</v>
      </c>
      <c r="J2124" t="s">
        <v>14</v>
      </c>
    </row>
    <row r="2125" spans="1:10" x14ac:dyDescent="0.35">
      <c r="A2125">
        <v>2124</v>
      </c>
      <c r="B2125" s="1" t="s">
        <v>25</v>
      </c>
      <c r="C2125">
        <v>2011</v>
      </c>
      <c r="D2125" s="4">
        <v>4.5</v>
      </c>
      <c r="E2125" s="5">
        <v>169123</v>
      </c>
      <c r="F2125" s="1" t="s">
        <v>16</v>
      </c>
      <c r="G2125" s="10">
        <v>51425.19</v>
      </c>
      <c r="H2125" s="1" t="s">
        <v>44</v>
      </c>
      <c r="I2125" t="s">
        <v>13</v>
      </c>
      <c r="J2125" t="s">
        <v>14</v>
      </c>
    </row>
    <row r="2126" spans="1:10" x14ac:dyDescent="0.35">
      <c r="A2126">
        <v>2125</v>
      </c>
      <c r="B2126" s="1" t="s">
        <v>27</v>
      </c>
      <c r="C2126">
        <v>2008</v>
      </c>
      <c r="D2126" s="4">
        <v>4.8</v>
      </c>
      <c r="E2126" s="5">
        <v>7176</v>
      </c>
      <c r="F2126" s="1" t="s">
        <v>11</v>
      </c>
      <c r="G2126" s="10">
        <v>12364.18</v>
      </c>
      <c r="H2126" s="1" t="s">
        <v>48</v>
      </c>
      <c r="I2126" t="s">
        <v>13</v>
      </c>
      <c r="J2126" t="s">
        <v>14</v>
      </c>
    </row>
    <row r="2127" spans="1:10" x14ac:dyDescent="0.35">
      <c r="A2127">
        <v>2126</v>
      </c>
      <c r="B2127" s="1" t="s">
        <v>35</v>
      </c>
      <c r="C2127">
        <v>2004</v>
      </c>
      <c r="D2127" s="4">
        <v>5.6</v>
      </c>
      <c r="E2127" s="5">
        <v>252365</v>
      </c>
      <c r="F2127" s="1" t="s">
        <v>11</v>
      </c>
      <c r="G2127" s="10">
        <v>23123.54</v>
      </c>
      <c r="H2127" s="1" t="s">
        <v>50</v>
      </c>
      <c r="I2127" t="s">
        <v>52</v>
      </c>
      <c r="J2127" t="s">
        <v>14</v>
      </c>
    </row>
    <row r="2128" spans="1:10" x14ac:dyDescent="0.35">
      <c r="A2128">
        <v>2127</v>
      </c>
      <c r="B2128" s="1" t="s">
        <v>23</v>
      </c>
      <c r="C2128">
        <v>2009</v>
      </c>
      <c r="D2128" s="4">
        <v>2</v>
      </c>
      <c r="E2128" s="5">
        <v>149748</v>
      </c>
      <c r="F2128" s="1" t="s">
        <v>16</v>
      </c>
      <c r="G2128" s="10">
        <v>35492.410000000003</v>
      </c>
      <c r="H2128" s="1" t="s">
        <v>42</v>
      </c>
      <c r="I2128" t="s">
        <v>52</v>
      </c>
      <c r="J2128" t="s">
        <v>22</v>
      </c>
    </row>
    <row r="2129" spans="1:10" x14ac:dyDescent="0.35">
      <c r="A2129">
        <v>2128</v>
      </c>
      <c r="B2129" s="1" t="s">
        <v>25</v>
      </c>
      <c r="C2129">
        <v>2003</v>
      </c>
      <c r="D2129" s="4">
        <v>5</v>
      </c>
      <c r="E2129" s="5">
        <v>45177</v>
      </c>
      <c r="F2129" s="1" t="s">
        <v>11</v>
      </c>
      <c r="G2129" s="10">
        <v>44837.96</v>
      </c>
      <c r="H2129" s="1" t="s">
        <v>41</v>
      </c>
      <c r="I2129" t="s">
        <v>13</v>
      </c>
      <c r="J2129" t="s">
        <v>14</v>
      </c>
    </row>
    <row r="2130" spans="1:10" x14ac:dyDescent="0.35">
      <c r="A2130">
        <v>2129</v>
      </c>
      <c r="B2130" s="1" t="s">
        <v>35</v>
      </c>
      <c r="C2130">
        <v>2004</v>
      </c>
      <c r="D2130" s="4">
        <v>4.7</v>
      </c>
      <c r="E2130" s="5">
        <v>110623</v>
      </c>
      <c r="F2130" s="1" t="s">
        <v>15</v>
      </c>
      <c r="G2130" s="10">
        <v>61424.06</v>
      </c>
      <c r="H2130" s="1" t="s">
        <v>45</v>
      </c>
      <c r="I2130" t="s">
        <v>51</v>
      </c>
      <c r="J2130" t="s">
        <v>22</v>
      </c>
    </row>
    <row r="2131" spans="1:10" x14ac:dyDescent="0.35">
      <c r="A2131">
        <v>2130</v>
      </c>
      <c r="B2131" s="1" t="s">
        <v>10</v>
      </c>
      <c r="C2131">
        <v>2009</v>
      </c>
      <c r="D2131" s="4">
        <v>1.3</v>
      </c>
      <c r="E2131" s="5">
        <v>997</v>
      </c>
      <c r="F2131" s="1" t="s">
        <v>11</v>
      </c>
      <c r="G2131" s="10">
        <v>87017.78</v>
      </c>
      <c r="H2131" s="1" t="s">
        <v>19</v>
      </c>
      <c r="I2131" t="s">
        <v>13</v>
      </c>
      <c r="J2131" t="s">
        <v>14</v>
      </c>
    </row>
    <row r="2132" spans="1:10" x14ac:dyDescent="0.35">
      <c r="A2132">
        <v>2131</v>
      </c>
      <c r="B2132" s="1" t="s">
        <v>10</v>
      </c>
      <c r="C2132">
        <v>2010</v>
      </c>
      <c r="D2132" s="4">
        <v>2.9</v>
      </c>
      <c r="E2132" s="5">
        <v>120179</v>
      </c>
      <c r="F2132" s="1" t="s">
        <v>16</v>
      </c>
      <c r="G2132" s="10">
        <v>20120.650000000001</v>
      </c>
      <c r="H2132" s="1" t="s">
        <v>17</v>
      </c>
      <c r="I2132" t="s">
        <v>13</v>
      </c>
      <c r="J2132" t="s">
        <v>14</v>
      </c>
    </row>
    <row r="2133" spans="1:10" x14ac:dyDescent="0.35">
      <c r="A2133">
        <v>2132</v>
      </c>
      <c r="B2133" s="1" t="s">
        <v>10</v>
      </c>
      <c r="C2133">
        <v>2020</v>
      </c>
      <c r="D2133" s="4">
        <v>2.4</v>
      </c>
      <c r="E2133" s="5">
        <v>247439</v>
      </c>
      <c r="F2133" s="1" t="s">
        <v>15</v>
      </c>
      <c r="G2133" s="10">
        <v>6433.36</v>
      </c>
      <c r="H2133" s="1" t="s">
        <v>12</v>
      </c>
      <c r="I2133" t="s">
        <v>13</v>
      </c>
      <c r="J2133" t="s">
        <v>14</v>
      </c>
    </row>
    <row r="2134" spans="1:10" x14ac:dyDescent="0.35">
      <c r="A2134">
        <v>2133</v>
      </c>
      <c r="B2134" s="1" t="s">
        <v>25</v>
      </c>
      <c r="C2134">
        <v>2023</v>
      </c>
      <c r="D2134" s="4">
        <v>2.5</v>
      </c>
      <c r="E2134" s="5">
        <v>120403</v>
      </c>
      <c r="F2134" s="1" t="s">
        <v>11</v>
      </c>
      <c r="G2134" s="10">
        <v>47677.53</v>
      </c>
      <c r="H2134" s="1" t="s">
        <v>41</v>
      </c>
      <c r="I2134" t="s">
        <v>53</v>
      </c>
      <c r="J2134" t="s">
        <v>22</v>
      </c>
    </row>
    <row r="2135" spans="1:10" x14ac:dyDescent="0.35">
      <c r="A2135">
        <v>2134</v>
      </c>
      <c r="B2135" s="1" t="s">
        <v>25</v>
      </c>
      <c r="C2135">
        <v>2009</v>
      </c>
      <c r="D2135" s="4">
        <v>5.9</v>
      </c>
      <c r="E2135" s="5">
        <v>95287</v>
      </c>
      <c r="F2135" s="1" t="s">
        <v>11</v>
      </c>
      <c r="G2135" s="10">
        <v>46049.78</v>
      </c>
      <c r="H2135" s="1" t="s">
        <v>41</v>
      </c>
      <c r="I2135" t="s">
        <v>52</v>
      </c>
      <c r="J2135" t="s">
        <v>22</v>
      </c>
    </row>
    <row r="2136" spans="1:10" x14ac:dyDescent="0.35">
      <c r="A2136">
        <v>2135</v>
      </c>
      <c r="B2136" s="1" t="s">
        <v>23</v>
      </c>
      <c r="C2136">
        <v>2007</v>
      </c>
      <c r="D2136" s="4">
        <v>4.2</v>
      </c>
      <c r="E2136" s="5">
        <v>119574</v>
      </c>
      <c r="F2136" s="1" t="s">
        <v>15</v>
      </c>
      <c r="G2136" s="10">
        <v>57430.62</v>
      </c>
      <c r="H2136" s="1" t="s">
        <v>42</v>
      </c>
      <c r="I2136" t="s">
        <v>52</v>
      </c>
      <c r="J2136" t="s">
        <v>14</v>
      </c>
    </row>
    <row r="2137" spans="1:10" x14ac:dyDescent="0.35">
      <c r="A2137">
        <v>2136</v>
      </c>
      <c r="B2137" s="1" t="s">
        <v>27</v>
      </c>
      <c r="C2137">
        <v>2001</v>
      </c>
      <c r="D2137" s="4">
        <v>4.5999999999999996</v>
      </c>
      <c r="E2137" s="5">
        <v>256463</v>
      </c>
      <c r="F2137" s="1" t="s">
        <v>15</v>
      </c>
      <c r="G2137" s="10">
        <v>84156.07</v>
      </c>
      <c r="H2137" s="1" t="s">
        <v>40</v>
      </c>
      <c r="I2137" t="s">
        <v>51</v>
      </c>
      <c r="J2137" t="s">
        <v>22</v>
      </c>
    </row>
    <row r="2138" spans="1:10" x14ac:dyDescent="0.35">
      <c r="A2138">
        <v>2137</v>
      </c>
      <c r="B2138" s="1" t="s">
        <v>20</v>
      </c>
      <c r="C2138">
        <v>2022</v>
      </c>
      <c r="D2138" s="4">
        <v>5.9</v>
      </c>
      <c r="E2138" s="5">
        <v>121509</v>
      </c>
      <c r="F2138" s="1" t="s">
        <v>11</v>
      </c>
      <c r="G2138" s="10">
        <v>81224.25</v>
      </c>
      <c r="H2138" s="1" t="s">
        <v>33</v>
      </c>
      <c r="I2138" t="s">
        <v>52</v>
      </c>
      <c r="J2138" t="s">
        <v>14</v>
      </c>
    </row>
    <row r="2139" spans="1:10" x14ac:dyDescent="0.35">
      <c r="A2139">
        <v>2138</v>
      </c>
      <c r="B2139" s="1" t="s">
        <v>10</v>
      </c>
      <c r="C2139">
        <v>2007</v>
      </c>
      <c r="D2139" s="4">
        <v>2.9</v>
      </c>
      <c r="E2139" s="5">
        <v>248505</v>
      </c>
      <c r="F2139" s="1" t="s">
        <v>15</v>
      </c>
      <c r="G2139" s="10">
        <v>14504.11</v>
      </c>
      <c r="H2139" s="1" t="s">
        <v>17</v>
      </c>
      <c r="I2139" t="s">
        <v>13</v>
      </c>
      <c r="J2139" t="s">
        <v>14</v>
      </c>
    </row>
    <row r="2140" spans="1:10" x14ac:dyDescent="0.35">
      <c r="A2140">
        <v>2139</v>
      </c>
      <c r="B2140" s="1" t="s">
        <v>29</v>
      </c>
      <c r="C2140">
        <v>2015</v>
      </c>
      <c r="D2140" s="4">
        <v>5</v>
      </c>
      <c r="E2140" s="5">
        <v>192589</v>
      </c>
      <c r="F2140" s="1" t="s">
        <v>16</v>
      </c>
      <c r="G2140" s="10">
        <v>93729.56</v>
      </c>
      <c r="H2140" s="1" t="s">
        <v>30</v>
      </c>
      <c r="I2140" t="s">
        <v>13</v>
      </c>
      <c r="J2140" t="s">
        <v>22</v>
      </c>
    </row>
    <row r="2141" spans="1:10" x14ac:dyDescent="0.35">
      <c r="A2141">
        <v>2140</v>
      </c>
      <c r="B2141" s="1" t="s">
        <v>27</v>
      </c>
      <c r="C2141">
        <v>2021</v>
      </c>
      <c r="D2141" s="4">
        <v>3.2</v>
      </c>
      <c r="E2141" s="5">
        <v>289531</v>
      </c>
      <c r="F2141" s="1" t="s">
        <v>11</v>
      </c>
      <c r="G2141" s="10">
        <v>15489.37</v>
      </c>
      <c r="H2141" s="1" t="s">
        <v>28</v>
      </c>
      <c r="I2141" t="s">
        <v>51</v>
      </c>
      <c r="J2141" t="s">
        <v>14</v>
      </c>
    </row>
    <row r="2142" spans="1:10" x14ac:dyDescent="0.35">
      <c r="A2142">
        <v>2141</v>
      </c>
      <c r="B2142" s="1" t="s">
        <v>29</v>
      </c>
      <c r="C2142">
        <v>2004</v>
      </c>
      <c r="D2142" s="4">
        <v>5.3</v>
      </c>
      <c r="E2142" s="5">
        <v>4090</v>
      </c>
      <c r="F2142" s="1" t="s">
        <v>16</v>
      </c>
      <c r="G2142" s="10">
        <v>65284.2</v>
      </c>
      <c r="H2142" s="1" t="s">
        <v>43</v>
      </c>
      <c r="I2142" t="s">
        <v>51</v>
      </c>
      <c r="J2142" t="s">
        <v>22</v>
      </c>
    </row>
    <row r="2143" spans="1:10" x14ac:dyDescent="0.35">
      <c r="A2143">
        <v>2142</v>
      </c>
      <c r="B2143" s="1" t="s">
        <v>23</v>
      </c>
      <c r="C2143">
        <v>2002</v>
      </c>
      <c r="D2143" s="4">
        <v>1.9</v>
      </c>
      <c r="E2143" s="5">
        <v>3743</v>
      </c>
      <c r="F2143" s="1" t="s">
        <v>11</v>
      </c>
      <c r="G2143" s="10">
        <v>68878.600000000006</v>
      </c>
      <c r="H2143" s="1" t="s">
        <v>32</v>
      </c>
      <c r="I2143" t="s">
        <v>53</v>
      </c>
      <c r="J2143" t="s">
        <v>22</v>
      </c>
    </row>
    <row r="2144" spans="1:10" x14ac:dyDescent="0.35">
      <c r="A2144">
        <v>2143</v>
      </c>
      <c r="B2144" s="1" t="s">
        <v>23</v>
      </c>
      <c r="C2144">
        <v>2011</v>
      </c>
      <c r="D2144" s="4">
        <v>5.7</v>
      </c>
      <c r="E2144" s="5">
        <v>30924</v>
      </c>
      <c r="F2144" s="1" t="s">
        <v>16</v>
      </c>
      <c r="G2144" s="10">
        <v>69588.36</v>
      </c>
      <c r="H2144" s="1" t="s">
        <v>42</v>
      </c>
      <c r="I2144" t="s">
        <v>52</v>
      </c>
      <c r="J2144" t="s">
        <v>14</v>
      </c>
    </row>
    <row r="2145" spans="1:10" x14ac:dyDescent="0.35">
      <c r="A2145">
        <v>2144</v>
      </c>
      <c r="B2145" s="1" t="s">
        <v>23</v>
      </c>
      <c r="C2145">
        <v>2012</v>
      </c>
      <c r="D2145" s="4">
        <v>2.1</v>
      </c>
      <c r="E2145" s="5">
        <v>141268</v>
      </c>
      <c r="F2145" s="1" t="s">
        <v>16</v>
      </c>
      <c r="G2145" s="10">
        <v>30208.36</v>
      </c>
      <c r="H2145" s="1" t="s">
        <v>42</v>
      </c>
      <c r="I2145" t="s">
        <v>53</v>
      </c>
      <c r="J2145" t="s">
        <v>14</v>
      </c>
    </row>
    <row r="2146" spans="1:10" x14ac:dyDescent="0.35">
      <c r="A2146">
        <v>2145</v>
      </c>
      <c r="B2146" s="1" t="s">
        <v>35</v>
      </c>
      <c r="C2146">
        <v>2012</v>
      </c>
      <c r="D2146" s="4">
        <v>2.6</v>
      </c>
      <c r="E2146" s="5">
        <v>105312</v>
      </c>
      <c r="F2146" s="1" t="s">
        <v>15</v>
      </c>
      <c r="G2146" s="10">
        <v>36382.78</v>
      </c>
      <c r="H2146" s="1" t="s">
        <v>50</v>
      </c>
      <c r="I2146" t="s">
        <v>53</v>
      </c>
      <c r="J2146" t="s">
        <v>14</v>
      </c>
    </row>
    <row r="2147" spans="1:10" x14ac:dyDescent="0.35">
      <c r="A2147">
        <v>2146</v>
      </c>
      <c r="B2147" s="1" t="s">
        <v>29</v>
      </c>
      <c r="C2147">
        <v>2009</v>
      </c>
      <c r="D2147" s="4">
        <v>4.8</v>
      </c>
      <c r="E2147" s="5">
        <v>216249</v>
      </c>
      <c r="F2147" s="1" t="s">
        <v>11</v>
      </c>
      <c r="G2147" s="10">
        <v>57124.3</v>
      </c>
      <c r="H2147" s="1" t="s">
        <v>30</v>
      </c>
      <c r="I2147" t="s">
        <v>13</v>
      </c>
      <c r="J2147" t="s">
        <v>22</v>
      </c>
    </row>
    <row r="2148" spans="1:10" x14ac:dyDescent="0.35">
      <c r="A2148">
        <v>2147</v>
      </c>
      <c r="B2148" s="1" t="s">
        <v>27</v>
      </c>
      <c r="C2148">
        <v>2003</v>
      </c>
      <c r="D2148" s="4">
        <v>3</v>
      </c>
      <c r="E2148" s="5">
        <v>224090</v>
      </c>
      <c r="F2148" s="1" t="s">
        <v>15</v>
      </c>
      <c r="G2148" s="10">
        <v>23960.81</v>
      </c>
      <c r="H2148" s="1" t="s">
        <v>28</v>
      </c>
      <c r="I2148" t="s">
        <v>13</v>
      </c>
      <c r="J2148" t="s">
        <v>14</v>
      </c>
    </row>
    <row r="2149" spans="1:10" x14ac:dyDescent="0.35">
      <c r="A2149">
        <v>2148</v>
      </c>
      <c r="B2149" s="1" t="s">
        <v>27</v>
      </c>
      <c r="C2149">
        <v>2008</v>
      </c>
      <c r="D2149" s="4">
        <v>4</v>
      </c>
      <c r="E2149" s="5">
        <v>229602</v>
      </c>
      <c r="F2149" s="1" t="s">
        <v>15</v>
      </c>
      <c r="G2149" s="10">
        <v>6929.49</v>
      </c>
      <c r="H2149" s="1" t="s">
        <v>48</v>
      </c>
      <c r="I2149" t="s">
        <v>13</v>
      </c>
      <c r="J2149" t="s">
        <v>22</v>
      </c>
    </row>
    <row r="2150" spans="1:10" x14ac:dyDescent="0.35">
      <c r="A2150">
        <v>2149</v>
      </c>
      <c r="B2150" s="1" t="s">
        <v>25</v>
      </c>
      <c r="C2150">
        <v>2021</v>
      </c>
      <c r="D2150" s="4">
        <v>3.2</v>
      </c>
      <c r="E2150" s="5">
        <v>103976</v>
      </c>
      <c r="F2150" s="1" t="s">
        <v>11</v>
      </c>
      <c r="G2150" s="10">
        <v>58403.72</v>
      </c>
      <c r="H2150" s="1" t="s">
        <v>41</v>
      </c>
      <c r="I2150" t="s">
        <v>13</v>
      </c>
      <c r="J2150" t="s">
        <v>22</v>
      </c>
    </row>
    <row r="2151" spans="1:10" x14ac:dyDescent="0.35">
      <c r="A2151">
        <v>2150</v>
      </c>
      <c r="B2151" s="1" t="s">
        <v>25</v>
      </c>
      <c r="C2151">
        <v>2023</v>
      </c>
      <c r="D2151" s="4">
        <v>4.7</v>
      </c>
      <c r="E2151" s="5">
        <v>155183</v>
      </c>
      <c r="F2151" s="1" t="s">
        <v>16</v>
      </c>
      <c r="G2151" s="10">
        <v>49201.46</v>
      </c>
      <c r="H2151" s="1" t="s">
        <v>49</v>
      </c>
      <c r="I2151" t="s">
        <v>53</v>
      </c>
      <c r="J2151" t="s">
        <v>22</v>
      </c>
    </row>
    <row r="2152" spans="1:10" x14ac:dyDescent="0.35">
      <c r="A2152">
        <v>2151</v>
      </c>
      <c r="B2152" s="1" t="s">
        <v>10</v>
      </c>
      <c r="C2152">
        <v>2022</v>
      </c>
      <c r="D2152" s="4">
        <v>2.1</v>
      </c>
      <c r="E2152" s="5">
        <v>113566</v>
      </c>
      <c r="F2152" s="1" t="s">
        <v>11</v>
      </c>
      <c r="G2152" s="10">
        <v>67389.460000000006</v>
      </c>
      <c r="H2152" s="1" t="s">
        <v>12</v>
      </c>
      <c r="I2152" t="s">
        <v>13</v>
      </c>
      <c r="J2152" t="s">
        <v>14</v>
      </c>
    </row>
    <row r="2153" spans="1:10" x14ac:dyDescent="0.35">
      <c r="A2153">
        <v>2152</v>
      </c>
      <c r="B2153" s="1" t="s">
        <v>25</v>
      </c>
      <c r="C2153">
        <v>2001</v>
      </c>
      <c r="D2153" s="4">
        <v>1.3</v>
      </c>
      <c r="E2153" s="5">
        <v>257443</v>
      </c>
      <c r="F2153" s="1" t="s">
        <v>11</v>
      </c>
      <c r="G2153" s="10">
        <v>18936.55</v>
      </c>
      <c r="H2153" s="1" t="s">
        <v>49</v>
      </c>
      <c r="I2153" t="s">
        <v>52</v>
      </c>
      <c r="J2153" t="s">
        <v>22</v>
      </c>
    </row>
    <row r="2154" spans="1:10" x14ac:dyDescent="0.35">
      <c r="A2154">
        <v>2153</v>
      </c>
      <c r="B2154" s="1" t="s">
        <v>23</v>
      </c>
      <c r="C2154">
        <v>2018</v>
      </c>
      <c r="D2154" s="4">
        <v>2.5</v>
      </c>
      <c r="E2154" s="5">
        <v>119968</v>
      </c>
      <c r="F2154" s="1" t="s">
        <v>11</v>
      </c>
      <c r="G2154" s="10">
        <v>84887.86</v>
      </c>
      <c r="H2154" s="1" t="s">
        <v>34</v>
      </c>
      <c r="I2154" t="s">
        <v>13</v>
      </c>
      <c r="J2154" t="s">
        <v>14</v>
      </c>
    </row>
    <row r="2155" spans="1:10" x14ac:dyDescent="0.35">
      <c r="A2155">
        <v>2154</v>
      </c>
      <c r="B2155" s="1" t="s">
        <v>27</v>
      </c>
      <c r="C2155">
        <v>2000</v>
      </c>
      <c r="D2155" s="4">
        <v>3.4</v>
      </c>
      <c r="E2155" s="5">
        <v>61600</v>
      </c>
      <c r="F2155" s="1" t="s">
        <v>15</v>
      </c>
      <c r="G2155" s="10">
        <v>18891.04</v>
      </c>
      <c r="H2155" s="1" t="s">
        <v>40</v>
      </c>
      <c r="I2155" t="s">
        <v>13</v>
      </c>
      <c r="J2155" t="s">
        <v>22</v>
      </c>
    </row>
    <row r="2156" spans="1:10" x14ac:dyDescent="0.35">
      <c r="A2156">
        <v>2155</v>
      </c>
      <c r="B2156" s="1" t="s">
        <v>29</v>
      </c>
      <c r="C2156">
        <v>2006</v>
      </c>
      <c r="D2156" s="4">
        <v>1.8</v>
      </c>
      <c r="E2156" s="5">
        <v>50022</v>
      </c>
      <c r="F2156" s="1" t="s">
        <v>11</v>
      </c>
      <c r="G2156" s="10">
        <v>89677.64</v>
      </c>
      <c r="H2156" s="1" t="s">
        <v>43</v>
      </c>
      <c r="I2156" t="s">
        <v>13</v>
      </c>
      <c r="J2156" t="s">
        <v>14</v>
      </c>
    </row>
    <row r="2157" spans="1:10" x14ac:dyDescent="0.35">
      <c r="A2157">
        <v>2156</v>
      </c>
      <c r="B2157" s="1" t="s">
        <v>23</v>
      </c>
      <c r="C2157">
        <v>2016</v>
      </c>
      <c r="D2157" s="4">
        <v>2.8</v>
      </c>
      <c r="E2157" s="5">
        <v>134271</v>
      </c>
      <c r="F2157" s="1" t="s">
        <v>11</v>
      </c>
      <c r="G2157" s="10">
        <v>47704.51</v>
      </c>
      <c r="H2157" s="1" t="s">
        <v>34</v>
      </c>
      <c r="I2157" t="s">
        <v>51</v>
      </c>
      <c r="J2157" t="s">
        <v>22</v>
      </c>
    </row>
    <row r="2158" spans="1:10" x14ac:dyDescent="0.35">
      <c r="A2158">
        <v>2157</v>
      </c>
      <c r="B2158" s="1" t="s">
        <v>35</v>
      </c>
      <c r="C2158">
        <v>2002</v>
      </c>
      <c r="D2158" s="4">
        <v>3</v>
      </c>
      <c r="E2158" s="5">
        <v>123323</v>
      </c>
      <c r="F2158" s="1" t="s">
        <v>11</v>
      </c>
      <c r="G2158" s="10">
        <v>57231.5</v>
      </c>
      <c r="H2158" s="1" t="s">
        <v>36</v>
      </c>
      <c r="I2158" t="s">
        <v>52</v>
      </c>
      <c r="J2158" t="s">
        <v>22</v>
      </c>
    </row>
    <row r="2159" spans="1:10" x14ac:dyDescent="0.35">
      <c r="A2159">
        <v>2158</v>
      </c>
      <c r="B2159" s="1" t="s">
        <v>25</v>
      </c>
      <c r="C2159">
        <v>2019</v>
      </c>
      <c r="D2159" s="4">
        <v>1.3</v>
      </c>
      <c r="E2159" s="5">
        <v>186110</v>
      </c>
      <c r="F2159" s="1" t="s">
        <v>16</v>
      </c>
      <c r="G2159" s="10">
        <v>90175.23</v>
      </c>
      <c r="H2159" s="1" t="s">
        <v>49</v>
      </c>
      <c r="I2159" t="s">
        <v>52</v>
      </c>
      <c r="J2159" t="s">
        <v>14</v>
      </c>
    </row>
    <row r="2160" spans="1:10" x14ac:dyDescent="0.35">
      <c r="A2160">
        <v>2159</v>
      </c>
      <c r="B2160" s="1" t="s">
        <v>23</v>
      </c>
      <c r="C2160">
        <v>2019</v>
      </c>
      <c r="D2160" s="4">
        <v>3.9</v>
      </c>
      <c r="E2160" s="5">
        <v>120278</v>
      </c>
      <c r="F2160" s="1" t="s">
        <v>16</v>
      </c>
      <c r="G2160" s="10">
        <v>33491.74</v>
      </c>
      <c r="H2160" s="1" t="s">
        <v>24</v>
      </c>
      <c r="I2160" t="s">
        <v>53</v>
      </c>
      <c r="J2160" t="s">
        <v>22</v>
      </c>
    </row>
    <row r="2161" spans="1:10" x14ac:dyDescent="0.35">
      <c r="A2161">
        <v>2160</v>
      </c>
      <c r="B2161" s="1" t="s">
        <v>23</v>
      </c>
      <c r="C2161">
        <v>2020</v>
      </c>
      <c r="D2161" s="4">
        <v>5.4</v>
      </c>
      <c r="E2161" s="5">
        <v>270041</v>
      </c>
      <c r="F2161" s="1" t="s">
        <v>16</v>
      </c>
      <c r="G2161" s="10">
        <v>22273.56</v>
      </c>
      <c r="H2161" s="1" t="s">
        <v>24</v>
      </c>
      <c r="I2161" t="s">
        <v>53</v>
      </c>
      <c r="J2161" t="s">
        <v>14</v>
      </c>
    </row>
    <row r="2162" spans="1:10" x14ac:dyDescent="0.35">
      <c r="A2162">
        <v>2161</v>
      </c>
      <c r="B2162" s="1" t="s">
        <v>35</v>
      </c>
      <c r="C2162">
        <v>2002</v>
      </c>
      <c r="D2162" s="4">
        <v>1.8</v>
      </c>
      <c r="E2162" s="5">
        <v>64541</v>
      </c>
      <c r="F2162" s="1" t="s">
        <v>16</v>
      </c>
      <c r="G2162" s="10">
        <v>47346.400000000001</v>
      </c>
      <c r="H2162" s="1" t="s">
        <v>45</v>
      </c>
      <c r="I2162" t="s">
        <v>13</v>
      </c>
      <c r="J2162" t="s">
        <v>22</v>
      </c>
    </row>
    <row r="2163" spans="1:10" x14ac:dyDescent="0.35">
      <c r="A2163">
        <v>2162</v>
      </c>
      <c r="B2163" s="1" t="s">
        <v>20</v>
      </c>
      <c r="C2163">
        <v>2002</v>
      </c>
      <c r="D2163" s="4">
        <v>4</v>
      </c>
      <c r="E2163" s="5">
        <v>106968</v>
      </c>
      <c r="F2163" s="1" t="s">
        <v>15</v>
      </c>
      <c r="G2163" s="10">
        <v>28214.89</v>
      </c>
      <c r="H2163" s="1" t="s">
        <v>33</v>
      </c>
      <c r="I2163" t="s">
        <v>51</v>
      </c>
      <c r="J2163" t="s">
        <v>22</v>
      </c>
    </row>
    <row r="2164" spans="1:10" x14ac:dyDescent="0.35">
      <c r="A2164">
        <v>2163</v>
      </c>
      <c r="B2164" s="1" t="s">
        <v>27</v>
      </c>
      <c r="C2164">
        <v>2016</v>
      </c>
      <c r="D2164" s="4">
        <v>4.3</v>
      </c>
      <c r="E2164" s="5">
        <v>14892</v>
      </c>
      <c r="F2164" s="1" t="s">
        <v>15</v>
      </c>
      <c r="G2164" s="10">
        <v>55145.17</v>
      </c>
      <c r="H2164" s="1" t="s">
        <v>28</v>
      </c>
      <c r="I2164" t="s">
        <v>53</v>
      </c>
      <c r="J2164" t="s">
        <v>14</v>
      </c>
    </row>
    <row r="2165" spans="1:10" x14ac:dyDescent="0.35">
      <c r="A2165">
        <v>2164</v>
      </c>
      <c r="B2165" s="1" t="s">
        <v>29</v>
      </c>
      <c r="C2165">
        <v>2006</v>
      </c>
      <c r="D2165" s="4">
        <v>3.1</v>
      </c>
      <c r="E2165" s="5">
        <v>24815</v>
      </c>
      <c r="F2165" s="1" t="s">
        <v>11</v>
      </c>
      <c r="G2165" s="10">
        <v>31149.5</v>
      </c>
      <c r="H2165" s="1" t="s">
        <v>38</v>
      </c>
      <c r="I2165" t="s">
        <v>53</v>
      </c>
      <c r="J2165" t="s">
        <v>22</v>
      </c>
    </row>
    <row r="2166" spans="1:10" x14ac:dyDescent="0.35">
      <c r="A2166">
        <v>2165</v>
      </c>
      <c r="B2166" s="1" t="s">
        <v>10</v>
      </c>
      <c r="C2166">
        <v>2013</v>
      </c>
      <c r="D2166" s="4">
        <v>4.5</v>
      </c>
      <c r="E2166" s="5">
        <v>278411</v>
      </c>
      <c r="F2166" s="1" t="s">
        <v>15</v>
      </c>
      <c r="G2166" s="10">
        <v>87126.51</v>
      </c>
      <c r="H2166" s="1" t="s">
        <v>12</v>
      </c>
      <c r="I2166" t="s">
        <v>13</v>
      </c>
      <c r="J2166" t="s">
        <v>14</v>
      </c>
    </row>
    <row r="2167" spans="1:10" x14ac:dyDescent="0.35">
      <c r="A2167">
        <v>2166</v>
      </c>
      <c r="B2167" s="1" t="s">
        <v>20</v>
      </c>
      <c r="C2167">
        <v>2016</v>
      </c>
      <c r="D2167" s="4">
        <v>3.1</v>
      </c>
      <c r="E2167" s="5">
        <v>280412</v>
      </c>
      <c r="F2167" s="1" t="s">
        <v>16</v>
      </c>
      <c r="G2167" s="10">
        <v>62695.839999999997</v>
      </c>
      <c r="H2167" s="1" t="s">
        <v>21</v>
      </c>
      <c r="I2167" t="s">
        <v>13</v>
      </c>
      <c r="J2167" t="s">
        <v>22</v>
      </c>
    </row>
    <row r="2168" spans="1:10" x14ac:dyDescent="0.35">
      <c r="A2168">
        <v>2167</v>
      </c>
      <c r="B2168" s="1" t="s">
        <v>25</v>
      </c>
      <c r="C2168">
        <v>2017</v>
      </c>
      <c r="D2168" s="4">
        <v>3.5</v>
      </c>
      <c r="E2168" s="5">
        <v>114463</v>
      </c>
      <c r="F2168" s="1" t="s">
        <v>11</v>
      </c>
      <c r="G2168" s="10">
        <v>5022.8599999999997</v>
      </c>
      <c r="H2168" s="1" t="s">
        <v>49</v>
      </c>
      <c r="I2168" t="s">
        <v>53</v>
      </c>
      <c r="J2168" t="s">
        <v>22</v>
      </c>
    </row>
    <row r="2169" spans="1:10" x14ac:dyDescent="0.35">
      <c r="A2169">
        <v>2168</v>
      </c>
      <c r="B2169" s="1" t="s">
        <v>23</v>
      </c>
      <c r="C2169">
        <v>2012</v>
      </c>
      <c r="D2169" s="4">
        <v>1</v>
      </c>
      <c r="E2169" s="5">
        <v>190732</v>
      </c>
      <c r="F2169" s="1" t="s">
        <v>11</v>
      </c>
      <c r="G2169" s="10">
        <v>81520</v>
      </c>
      <c r="H2169" s="1" t="s">
        <v>42</v>
      </c>
      <c r="I2169" t="s">
        <v>53</v>
      </c>
      <c r="J2169" t="s">
        <v>22</v>
      </c>
    </row>
    <row r="2170" spans="1:10" x14ac:dyDescent="0.35">
      <c r="A2170">
        <v>2169</v>
      </c>
      <c r="B2170" s="1" t="s">
        <v>35</v>
      </c>
      <c r="C2170">
        <v>2019</v>
      </c>
      <c r="D2170" s="4">
        <v>4.5</v>
      </c>
      <c r="E2170" s="5">
        <v>196599</v>
      </c>
      <c r="F2170" s="1" t="s">
        <v>16</v>
      </c>
      <c r="G2170" s="10">
        <v>36370.17</v>
      </c>
      <c r="H2170" s="1" t="s">
        <v>36</v>
      </c>
      <c r="I2170" t="s">
        <v>52</v>
      </c>
      <c r="J2170" t="s">
        <v>22</v>
      </c>
    </row>
    <row r="2171" spans="1:10" x14ac:dyDescent="0.35">
      <c r="A2171">
        <v>2170</v>
      </c>
      <c r="B2171" s="1" t="s">
        <v>35</v>
      </c>
      <c r="C2171">
        <v>2019</v>
      </c>
      <c r="D2171" s="4">
        <v>4.3</v>
      </c>
      <c r="E2171" s="5">
        <v>194451</v>
      </c>
      <c r="F2171" s="1" t="s">
        <v>16</v>
      </c>
      <c r="G2171" s="10">
        <v>35419.760000000002</v>
      </c>
      <c r="H2171" s="1" t="s">
        <v>47</v>
      </c>
      <c r="I2171" t="s">
        <v>51</v>
      </c>
      <c r="J2171" t="s">
        <v>22</v>
      </c>
    </row>
    <row r="2172" spans="1:10" x14ac:dyDescent="0.35">
      <c r="A2172">
        <v>2171</v>
      </c>
      <c r="B2172" s="1" t="s">
        <v>27</v>
      </c>
      <c r="C2172">
        <v>2020</v>
      </c>
      <c r="D2172" s="4">
        <v>1.2</v>
      </c>
      <c r="E2172" s="5">
        <v>172343</v>
      </c>
      <c r="F2172" s="1" t="s">
        <v>16</v>
      </c>
      <c r="G2172" s="10">
        <v>41390.97</v>
      </c>
      <c r="H2172" s="1" t="s">
        <v>28</v>
      </c>
      <c r="I2172" t="s">
        <v>52</v>
      </c>
      <c r="J2172" t="s">
        <v>22</v>
      </c>
    </row>
    <row r="2173" spans="1:10" x14ac:dyDescent="0.35">
      <c r="A2173">
        <v>2172</v>
      </c>
      <c r="B2173" s="1" t="s">
        <v>20</v>
      </c>
      <c r="C2173">
        <v>2017</v>
      </c>
      <c r="D2173" s="4">
        <v>2.8</v>
      </c>
      <c r="E2173" s="5">
        <v>138307</v>
      </c>
      <c r="F2173" s="1" t="s">
        <v>15</v>
      </c>
      <c r="G2173" s="10">
        <v>64874.94</v>
      </c>
      <c r="H2173" s="1" t="s">
        <v>46</v>
      </c>
      <c r="I2173" t="s">
        <v>53</v>
      </c>
      <c r="J2173" t="s">
        <v>22</v>
      </c>
    </row>
    <row r="2174" spans="1:10" x14ac:dyDescent="0.35">
      <c r="A2174">
        <v>2173</v>
      </c>
      <c r="B2174" s="1" t="s">
        <v>10</v>
      </c>
      <c r="C2174">
        <v>2003</v>
      </c>
      <c r="D2174" s="4">
        <v>5.9</v>
      </c>
      <c r="E2174" s="5">
        <v>88757</v>
      </c>
      <c r="F2174" s="1" t="s">
        <v>11</v>
      </c>
      <c r="G2174" s="10">
        <v>46995.77</v>
      </c>
      <c r="H2174" s="1" t="s">
        <v>19</v>
      </c>
      <c r="I2174" t="s">
        <v>13</v>
      </c>
      <c r="J2174" t="s">
        <v>14</v>
      </c>
    </row>
    <row r="2175" spans="1:10" x14ac:dyDescent="0.35">
      <c r="A2175">
        <v>2174</v>
      </c>
      <c r="B2175" s="1" t="s">
        <v>27</v>
      </c>
      <c r="C2175">
        <v>2000</v>
      </c>
      <c r="D2175" s="4">
        <v>3.1</v>
      </c>
      <c r="E2175" s="5">
        <v>296753</v>
      </c>
      <c r="F2175" s="1" t="s">
        <v>16</v>
      </c>
      <c r="G2175" s="10">
        <v>64720.38</v>
      </c>
      <c r="H2175" s="1" t="s">
        <v>37</v>
      </c>
      <c r="I2175" t="s">
        <v>52</v>
      </c>
      <c r="J2175" t="s">
        <v>22</v>
      </c>
    </row>
    <row r="2176" spans="1:10" x14ac:dyDescent="0.35">
      <c r="A2176">
        <v>2175</v>
      </c>
      <c r="B2176" s="1" t="s">
        <v>23</v>
      </c>
      <c r="C2176">
        <v>2017</v>
      </c>
      <c r="D2176" s="4">
        <v>3.5</v>
      </c>
      <c r="E2176" s="5">
        <v>254200</v>
      </c>
      <c r="F2176" s="1" t="s">
        <v>11</v>
      </c>
      <c r="G2176" s="10">
        <v>18944.169999999998</v>
      </c>
      <c r="H2176" s="1" t="s">
        <v>42</v>
      </c>
      <c r="I2176" t="s">
        <v>53</v>
      </c>
      <c r="J2176" t="s">
        <v>22</v>
      </c>
    </row>
    <row r="2177" spans="1:10" x14ac:dyDescent="0.35">
      <c r="A2177">
        <v>2176</v>
      </c>
      <c r="B2177" s="1" t="s">
        <v>27</v>
      </c>
      <c r="C2177">
        <v>2000</v>
      </c>
      <c r="D2177" s="4">
        <v>5.5</v>
      </c>
      <c r="E2177" s="5">
        <v>23645</v>
      </c>
      <c r="F2177" s="1" t="s">
        <v>11</v>
      </c>
      <c r="G2177" s="10">
        <v>97165.62</v>
      </c>
      <c r="H2177" s="1" t="s">
        <v>28</v>
      </c>
      <c r="I2177" t="s">
        <v>13</v>
      </c>
      <c r="J2177" t="s">
        <v>14</v>
      </c>
    </row>
    <row r="2178" spans="1:10" x14ac:dyDescent="0.35">
      <c r="A2178">
        <v>2177</v>
      </c>
      <c r="B2178" s="1" t="s">
        <v>29</v>
      </c>
      <c r="C2178">
        <v>2012</v>
      </c>
      <c r="D2178" s="4">
        <v>4.5999999999999996</v>
      </c>
      <c r="E2178" s="5">
        <v>195630</v>
      </c>
      <c r="F2178" s="1" t="s">
        <v>15</v>
      </c>
      <c r="G2178" s="10">
        <v>74312.600000000006</v>
      </c>
      <c r="H2178" s="1" t="s">
        <v>38</v>
      </c>
      <c r="I2178" t="s">
        <v>53</v>
      </c>
      <c r="J2178" t="s">
        <v>14</v>
      </c>
    </row>
    <row r="2179" spans="1:10" x14ac:dyDescent="0.35">
      <c r="A2179">
        <v>2178</v>
      </c>
      <c r="B2179" s="1" t="s">
        <v>35</v>
      </c>
      <c r="C2179">
        <v>2019</v>
      </c>
      <c r="D2179" s="4">
        <v>3.9</v>
      </c>
      <c r="E2179" s="5">
        <v>154473</v>
      </c>
      <c r="F2179" s="1" t="s">
        <v>11</v>
      </c>
      <c r="G2179" s="10">
        <v>28769.68</v>
      </c>
      <c r="H2179" s="1" t="s">
        <v>36</v>
      </c>
      <c r="I2179" t="s">
        <v>13</v>
      </c>
      <c r="J2179" t="s">
        <v>14</v>
      </c>
    </row>
    <row r="2180" spans="1:10" x14ac:dyDescent="0.35">
      <c r="A2180">
        <v>2179</v>
      </c>
      <c r="B2180" s="1" t="s">
        <v>35</v>
      </c>
      <c r="C2180">
        <v>2019</v>
      </c>
      <c r="D2180" s="4">
        <v>5</v>
      </c>
      <c r="E2180" s="5">
        <v>269915</v>
      </c>
      <c r="F2180" s="1" t="s">
        <v>16</v>
      </c>
      <c r="G2180" s="10">
        <v>73796.14</v>
      </c>
      <c r="H2180" s="1" t="s">
        <v>47</v>
      </c>
      <c r="I2180" t="s">
        <v>53</v>
      </c>
      <c r="J2180" t="s">
        <v>22</v>
      </c>
    </row>
    <row r="2181" spans="1:10" x14ac:dyDescent="0.35">
      <c r="A2181">
        <v>2180</v>
      </c>
      <c r="B2181" s="1" t="s">
        <v>25</v>
      </c>
      <c r="C2181">
        <v>2022</v>
      </c>
      <c r="D2181" s="4">
        <v>5.3</v>
      </c>
      <c r="E2181" s="5">
        <v>151460</v>
      </c>
      <c r="F2181" s="1" t="s">
        <v>16</v>
      </c>
      <c r="G2181" s="10">
        <v>59627.42</v>
      </c>
      <c r="H2181" s="1" t="s">
        <v>44</v>
      </c>
      <c r="I2181" t="s">
        <v>53</v>
      </c>
      <c r="J2181" t="s">
        <v>22</v>
      </c>
    </row>
    <row r="2182" spans="1:10" x14ac:dyDescent="0.35">
      <c r="A2182">
        <v>2181</v>
      </c>
      <c r="B2182" s="1" t="s">
        <v>25</v>
      </c>
      <c r="C2182">
        <v>2009</v>
      </c>
      <c r="D2182" s="4">
        <v>3.3</v>
      </c>
      <c r="E2182" s="5">
        <v>83251</v>
      </c>
      <c r="F2182" s="1" t="s">
        <v>11</v>
      </c>
      <c r="G2182" s="10">
        <v>15372.95</v>
      </c>
      <c r="H2182" s="1" t="s">
        <v>49</v>
      </c>
      <c r="I2182" t="s">
        <v>53</v>
      </c>
      <c r="J2182" t="s">
        <v>22</v>
      </c>
    </row>
    <row r="2183" spans="1:10" x14ac:dyDescent="0.35">
      <c r="A2183">
        <v>2182</v>
      </c>
      <c r="B2183" s="1" t="s">
        <v>10</v>
      </c>
      <c r="C2183">
        <v>2010</v>
      </c>
      <c r="D2183" s="4">
        <v>3.4</v>
      </c>
      <c r="E2183" s="5">
        <v>57042</v>
      </c>
      <c r="F2183" s="1" t="s">
        <v>11</v>
      </c>
      <c r="G2183" s="10">
        <v>21928.66</v>
      </c>
      <c r="H2183" s="1" t="s">
        <v>18</v>
      </c>
      <c r="I2183" t="s">
        <v>13</v>
      </c>
      <c r="J2183" t="s">
        <v>14</v>
      </c>
    </row>
    <row r="2184" spans="1:10" x14ac:dyDescent="0.35">
      <c r="A2184">
        <v>2183</v>
      </c>
      <c r="B2184" s="1" t="s">
        <v>23</v>
      </c>
      <c r="C2184">
        <v>2008</v>
      </c>
      <c r="D2184" s="4">
        <v>2.9</v>
      </c>
      <c r="E2184" s="5">
        <v>196945</v>
      </c>
      <c r="F2184" s="1" t="s">
        <v>15</v>
      </c>
      <c r="G2184" s="10">
        <v>8924.27</v>
      </c>
      <c r="H2184" s="1" t="s">
        <v>42</v>
      </c>
      <c r="I2184" t="s">
        <v>13</v>
      </c>
      <c r="J2184" t="s">
        <v>22</v>
      </c>
    </row>
    <row r="2185" spans="1:10" x14ac:dyDescent="0.35">
      <c r="A2185">
        <v>2184</v>
      </c>
      <c r="B2185" s="1" t="s">
        <v>29</v>
      </c>
      <c r="C2185">
        <v>2008</v>
      </c>
      <c r="D2185" s="4">
        <v>5.8</v>
      </c>
      <c r="E2185" s="5">
        <v>47024</v>
      </c>
      <c r="F2185" s="1" t="s">
        <v>16</v>
      </c>
      <c r="G2185" s="10">
        <v>81877.62</v>
      </c>
      <c r="H2185" s="1" t="s">
        <v>38</v>
      </c>
      <c r="I2185" t="s">
        <v>51</v>
      </c>
      <c r="J2185" t="s">
        <v>14</v>
      </c>
    </row>
    <row r="2186" spans="1:10" x14ac:dyDescent="0.35">
      <c r="A2186">
        <v>2185</v>
      </c>
      <c r="B2186" s="1" t="s">
        <v>20</v>
      </c>
      <c r="C2186">
        <v>2004</v>
      </c>
      <c r="D2186" s="4">
        <v>4.5</v>
      </c>
      <c r="E2186" s="5">
        <v>154522</v>
      </c>
      <c r="F2186" s="1" t="s">
        <v>16</v>
      </c>
      <c r="G2186" s="10">
        <v>57411.95</v>
      </c>
      <c r="H2186" s="1" t="s">
        <v>33</v>
      </c>
      <c r="I2186" t="s">
        <v>53</v>
      </c>
      <c r="J2186" t="s">
        <v>22</v>
      </c>
    </row>
    <row r="2187" spans="1:10" x14ac:dyDescent="0.35">
      <c r="A2187">
        <v>2186</v>
      </c>
      <c r="B2187" s="1" t="s">
        <v>27</v>
      </c>
      <c r="C2187">
        <v>2000</v>
      </c>
      <c r="D2187" s="4">
        <v>1.4</v>
      </c>
      <c r="E2187" s="5">
        <v>56965</v>
      </c>
      <c r="F2187" s="1" t="s">
        <v>11</v>
      </c>
      <c r="G2187" s="10">
        <v>35091.120000000003</v>
      </c>
      <c r="H2187" s="1" t="s">
        <v>48</v>
      </c>
      <c r="I2187" t="s">
        <v>52</v>
      </c>
      <c r="J2187" t="s">
        <v>14</v>
      </c>
    </row>
    <row r="2188" spans="1:10" x14ac:dyDescent="0.35">
      <c r="A2188">
        <v>2187</v>
      </c>
      <c r="B2188" s="1" t="s">
        <v>10</v>
      </c>
      <c r="C2188">
        <v>2016</v>
      </c>
      <c r="D2188" s="4">
        <v>5.3</v>
      </c>
      <c r="E2188" s="5">
        <v>272201</v>
      </c>
      <c r="F2188" s="1" t="s">
        <v>11</v>
      </c>
      <c r="G2188" s="10">
        <v>17002.77</v>
      </c>
      <c r="H2188" s="1" t="s">
        <v>12</v>
      </c>
      <c r="I2188" t="s">
        <v>13</v>
      </c>
      <c r="J2188" t="s">
        <v>14</v>
      </c>
    </row>
    <row r="2189" spans="1:10" x14ac:dyDescent="0.35">
      <c r="A2189">
        <v>2188</v>
      </c>
      <c r="B2189" s="1" t="s">
        <v>23</v>
      </c>
      <c r="C2189">
        <v>2021</v>
      </c>
      <c r="D2189" s="4">
        <v>3.4</v>
      </c>
      <c r="E2189" s="5">
        <v>224321</v>
      </c>
      <c r="F2189" s="1" t="s">
        <v>11</v>
      </c>
      <c r="G2189" s="10">
        <v>50984.36</v>
      </c>
      <c r="H2189" s="1" t="s">
        <v>42</v>
      </c>
      <c r="I2189" t="s">
        <v>13</v>
      </c>
      <c r="J2189" t="s">
        <v>22</v>
      </c>
    </row>
    <row r="2190" spans="1:10" x14ac:dyDescent="0.35">
      <c r="A2190">
        <v>2189</v>
      </c>
      <c r="B2190" s="1" t="s">
        <v>25</v>
      </c>
      <c r="C2190">
        <v>2001</v>
      </c>
      <c r="D2190" s="4">
        <v>1.3</v>
      </c>
      <c r="E2190" s="5">
        <v>271127</v>
      </c>
      <c r="F2190" s="1" t="s">
        <v>16</v>
      </c>
      <c r="G2190" s="10">
        <v>54899.83</v>
      </c>
      <c r="H2190" s="1" t="s">
        <v>41</v>
      </c>
      <c r="I2190" t="s">
        <v>53</v>
      </c>
      <c r="J2190" t="s">
        <v>22</v>
      </c>
    </row>
    <row r="2191" spans="1:10" x14ac:dyDescent="0.35">
      <c r="A2191">
        <v>2190</v>
      </c>
      <c r="B2191" s="1" t="s">
        <v>27</v>
      </c>
      <c r="C2191">
        <v>2023</v>
      </c>
      <c r="D2191" s="4">
        <v>3.7</v>
      </c>
      <c r="E2191" s="5">
        <v>19995</v>
      </c>
      <c r="F2191" s="1" t="s">
        <v>11</v>
      </c>
      <c r="G2191" s="10">
        <v>71685.11</v>
      </c>
      <c r="H2191" s="1" t="s">
        <v>37</v>
      </c>
      <c r="I2191" t="s">
        <v>51</v>
      </c>
      <c r="J2191" t="s">
        <v>22</v>
      </c>
    </row>
    <row r="2192" spans="1:10" x14ac:dyDescent="0.35">
      <c r="A2192">
        <v>2191</v>
      </c>
      <c r="B2192" s="1" t="s">
        <v>25</v>
      </c>
      <c r="C2192">
        <v>2012</v>
      </c>
      <c r="D2192" s="4">
        <v>3.1</v>
      </c>
      <c r="E2192" s="5">
        <v>114587</v>
      </c>
      <c r="F2192" s="1" t="s">
        <v>15</v>
      </c>
      <c r="G2192" s="10">
        <v>97144.03</v>
      </c>
      <c r="H2192" s="1" t="s">
        <v>44</v>
      </c>
      <c r="I2192" t="s">
        <v>52</v>
      </c>
      <c r="J2192" t="s">
        <v>22</v>
      </c>
    </row>
    <row r="2193" spans="1:10" x14ac:dyDescent="0.35">
      <c r="A2193">
        <v>2192</v>
      </c>
      <c r="B2193" s="1" t="s">
        <v>27</v>
      </c>
      <c r="C2193">
        <v>2008</v>
      </c>
      <c r="D2193" s="4">
        <v>5.4</v>
      </c>
      <c r="E2193" s="5">
        <v>233076</v>
      </c>
      <c r="F2193" s="1" t="s">
        <v>15</v>
      </c>
      <c r="G2193" s="10">
        <v>46319.83</v>
      </c>
      <c r="H2193" s="1" t="s">
        <v>40</v>
      </c>
      <c r="I2193" t="s">
        <v>51</v>
      </c>
      <c r="J2193" t="s">
        <v>22</v>
      </c>
    </row>
    <row r="2194" spans="1:10" x14ac:dyDescent="0.35">
      <c r="A2194">
        <v>2193</v>
      </c>
      <c r="B2194" s="1" t="s">
        <v>20</v>
      </c>
      <c r="C2194">
        <v>2003</v>
      </c>
      <c r="D2194" s="4">
        <v>2</v>
      </c>
      <c r="E2194" s="5">
        <v>222700</v>
      </c>
      <c r="F2194" s="1" t="s">
        <v>11</v>
      </c>
      <c r="G2194" s="10">
        <v>43573.25</v>
      </c>
      <c r="H2194" s="1" t="s">
        <v>39</v>
      </c>
      <c r="I2194" t="s">
        <v>13</v>
      </c>
      <c r="J2194" t="s">
        <v>22</v>
      </c>
    </row>
    <row r="2195" spans="1:10" x14ac:dyDescent="0.35">
      <c r="A2195">
        <v>2194</v>
      </c>
      <c r="B2195" s="1" t="s">
        <v>23</v>
      </c>
      <c r="C2195">
        <v>2004</v>
      </c>
      <c r="D2195" s="4">
        <v>5.0999999999999996</v>
      </c>
      <c r="E2195" s="5">
        <v>38886</v>
      </c>
      <c r="F2195" s="1" t="s">
        <v>15</v>
      </c>
      <c r="G2195" s="10">
        <v>40143.35</v>
      </c>
      <c r="H2195" s="1" t="s">
        <v>34</v>
      </c>
      <c r="I2195" t="s">
        <v>51</v>
      </c>
      <c r="J2195" t="s">
        <v>22</v>
      </c>
    </row>
    <row r="2196" spans="1:10" x14ac:dyDescent="0.35">
      <c r="A2196">
        <v>2195</v>
      </c>
      <c r="B2196" s="1" t="s">
        <v>27</v>
      </c>
      <c r="C2196">
        <v>2010</v>
      </c>
      <c r="D2196" s="4">
        <v>3.8</v>
      </c>
      <c r="E2196" s="5">
        <v>95149</v>
      </c>
      <c r="F2196" s="1" t="s">
        <v>15</v>
      </c>
      <c r="G2196" s="10">
        <v>83557.77</v>
      </c>
      <c r="H2196" s="1" t="s">
        <v>48</v>
      </c>
      <c r="I2196" t="s">
        <v>52</v>
      </c>
      <c r="J2196" t="s">
        <v>14</v>
      </c>
    </row>
    <row r="2197" spans="1:10" x14ac:dyDescent="0.35">
      <c r="A2197">
        <v>2196</v>
      </c>
      <c r="B2197" s="1" t="s">
        <v>29</v>
      </c>
      <c r="C2197">
        <v>2023</v>
      </c>
      <c r="D2197" s="4">
        <v>1.3</v>
      </c>
      <c r="E2197" s="5">
        <v>94020</v>
      </c>
      <c r="F2197" s="1" t="s">
        <v>15</v>
      </c>
      <c r="G2197" s="10">
        <v>19850.14</v>
      </c>
      <c r="H2197" s="1" t="s">
        <v>31</v>
      </c>
      <c r="I2197" t="s">
        <v>52</v>
      </c>
      <c r="J2197" t="s">
        <v>22</v>
      </c>
    </row>
    <row r="2198" spans="1:10" x14ac:dyDescent="0.35">
      <c r="A2198">
        <v>2197</v>
      </c>
      <c r="B2198" s="1" t="s">
        <v>10</v>
      </c>
      <c r="C2198">
        <v>2018</v>
      </c>
      <c r="D2198" s="4">
        <v>5.9</v>
      </c>
      <c r="E2198" s="5">
        <v>2673</v>
      </c>
      <c r="F2198" s="1" t="s">
        <v>15</v>
      </c>
      <c r="G2198" s="10">
        <v>37662.230000000003</v>
      </c>
      <c r="H2198" s="1" t="s">
        <v>17</v>
      </c>
      <c r="I2198" t="s">
        <v>13</v>
      </c>
      <c r="J2198" t="s">
        <v>14</v>
      </c>
    </row>
    <row r="2199" spans="1:10" x14ac:dyDescent="0.35">
      <c r="A2199">
        <v>2198</v>
      </c>
      <c r="B2199" s="1" t="s">
        <v>35</v>
      </c>
      <c r="C2199">
        <v>2020</v>
      </c>
      <c r="D2199" s="4">
        <v>3.6</v>
      </c>
      <c r="E2199" s="5">
        <v>23466</v>
      </c>
      <c r="F2199" s="1" t="s">
        <v>15</v>
      </c>
      <c r="G2199" s="10">
        <v>73872.23</v>
      </c>
      <c r="H2199" s="1" t="s">
        <v>45</v>
      </c>
      <c r="I2199" t="s">
        <v>52</v>
      </c>
      <c r="J2199" t="s">
        <v>14</v>
      </c>
    </row>
    <row r="2200" spans="1:10" x14ac:dyDescent="0.35">
      <c r="A2200">
        <v>2199</v>
      </c>
      <c r="B2200" s="1" t="s">
        <v>29</v>
      </c>
      <c r="C2200">
        <v>2002</v>
      </c>
      <c r="D2200" s="4">
        <v>2.5</v>
      </c>
      <c r="E2200" s="5">
        <v>237626</v>
      </c>
      <c r="F2200" s="1" t="s">
        <v>16</v>
      </c>
      <c r="G2200" s="10">
        <v>6491.02</v>
      </c>
      <c r="H2200" s="1" t="s">
        <v>43</v>
      </c>
      <c r="I2200" t="s">
        <v>53</v>
      </c>
      <c r="J2200" t="s">
        <v>22</v>
      </c>
    </row>
    <row r="2201" spans="1:10" x14ac:dyDescent="0.35">
      <c r="A2201">
        <v>2200</v>
      </c>
      <c r="B2201" s="1" t="s">
        <v>29</v>
      </c>
      <c r="C2201">
        <v>2011</v>
      </c>
      <c r="D2201" s="4">
        <v>3.3</v>
      </c>
      <c r="E2201" s="5">
        <v>50406</v>
      </c>
      <c r="F2201" s="1" t="s">
        <v>11</v>
      </c>
      <c r="G2201" s="10">
        <v>32491.17</v>
      </c>
      <c r="H2201" s="1" t="s">
        <v>31</v>
      </c>
      <c r="I2201" t="s">
        <v>52</v>
      </c>
      <c r="J2201" t="s">
        <v>22</v>
      </c>
    </row>
    <row r="2202" spans="1:10" x14ac:dyDescent="0.35">
      <c r="A2202">
        <v>2201</v>
      </c>
      <c r="B2202" s="1" t="s">
        <v>10</v>
      </c>
      <c r="C2202">
        <v>2018</v>
      </c>
      <c r="D2202" s="4">
        <v>5.3</v>
      </c>
      <c r="E2202" s="5">
        <v>69284</v>
      </c>
      <c r="F2202" s="1" t="s">
        <v>15</v>
      </c>
      <c r="G2202" s="10">
        <v>65937.48</v>
      </c>
      <c r="H2202" s="1" t="s">
        <v>12</v>
      </c>
      <c r="I2202" t="s">
        <v>13</v>
      </c>
      <c r="J2202" t="s">
        <v>14</v>
      </c>
    </row>
    <row r="2203" spans="1:10" x14ac:dyDescent="0.35">
      <c r="A2203">
        <v>2202</v>
      </c>
      <c r="B2203" s="1" t="s">
        <v>35</v>
      </c>
      <c r="C2203">
        <v>2018</v>
      </c>
      <c r="D2203" s="4">
        <v>2.5</v>
      </c>
      <c r="E2203" s="5">
        <v>235718</v>
      </c>
      <c r="F2203" s="1" t="s">
        <v>11</v>
      </c>
      <c r="G2203" s="10">
        <v>22665.45</v>
      </c>
      <c r="H2203" s="1" t="s">
        <v>45</v>
      </c>
      <c r="I2203" t="s">
        <v>51</v>
      </c>
      <c r="J2203" t="s">
        <v>22</v>
      </c>
    </row>
    <row r="2204" spans="1:10" x14ac:dyDescent="0.35">
      <c r="A2204">
        <v>2203</v>
      </c>
      <c r="B2204" s="1" t="s">
        <v>29</v>
      </c>
      <c r="C2204">
        <v>2012</v>
      </c>
      <c r="D2204" s="4">
        <v>2</v>
      </c>
      <c r="E2204" s="5">
        <v>13665</v>
      </c>
      <c r="F2204" s="1" t="s">
        <v>15</v>
      </c>
      <c r="G2204" s="10">
        <v>33757.5</v>
      </c>
      <c r="H2204" s="1" t="s">
        <v>38</v>
      </c>
      <c r="I2204" t="s">
        <v>53</v>
      </c>
      <c r="J2204" t="s">
        <v>14</v>
      </c>
    </row>
    <row r="2205" spans="1:10" x14ac:dyDescent="0.35">
      <c r="A2205">
        <v>2204</v>
      </c>
      <c r="B2205" s="1" t="s">
        <v>27</v>
      </c>
      <c r="C2205">
        <v>2006</v>
      </c>
      <c r="D2205" s="4">
        <v>1.6</v>
      </c>
      <c r="E2205" s="5">
        <v>20641</v>
      </c>
      <c r="F2205" s="1" t="s">
        <v>16</v>
      </c>
      <c r="G2205" s="10">
        <v>51174.28</v>
      </c>
      <c r="H2205" s="1" t="s">
        <v>48</v>
      </c>
      <c r="I2205" t="s">
        <v>53</v>
      </c>
      <c r="J2205" t="s">
        <v>14</v>
      </c>
    </row>
    <row r="2206" spans="1:10" x14ac:dyDescent="0.35">
      <c r="A2206">
        <v>2205</v>
      </c>
      <c r="B2206" s="1" t="s">
        <v>27</v>
      </c>
      <c r="C2206">
        <v>2014</v>
      </c>
      <c r="D2206" s="4">
        <v>2.5</v>
      </c>
      <c r="E2206" s="5">
        <v>35797</v>
      </c>
      <c r="F2206" s="1" t="s">
        <v>16</v>
      </c>
      <c r="G2206" s="10">
        <v>45092.24</v>
      </c>
      <c r="H2206" s="1" t="s">
        <v>40</v>
      </c>
      <c r="I2206" t="s">
        <v>51</v>
      </c>
      <c r="J2206" t="s">
        <v>22</v>
      </c>
    </row>
    <row r="2207" spans="1:10" x14ac:dyDescent="0.35">
      <c r="A2207">
        <v>2206</v>
      </c>
      <c r="B2207" s="1" t="s">
        <v>27</v>
      </c>
      <c r="C2207">
        <v>2022</v>
      </c>
      <c r="D2207" s="4">
        <v>4.9000000000000004</v>
      </c>
      <c r="E2207" s="5">
        <v>215838</v>
      </c>
      <c r="F2207" s="1" t="s">
        <v>15</v>
      </c>
      <c r="G2207" s="10">
        <v>15072.58</v>
      </c>
      <c r="H2207" s="1" t="s">
        <v>28</v>
      </c>
      <c r="I2207" t="s">
        <v>52</v>
      </c>
      <c r="J2207" t="s">
        <v>22</v>
      </c>
    </row>
    <row r="2208" spans="1:10" x14ac:dyDescent="0.35">
      <c r="A2208">
        <v>2207</v>
      </c>
      <c r="B2208" s="1" t="s">
        <v>35</v>
      </c>
      <c r="C2208">
        <v>2006</v>
      </c>
      <c r="D2208" s="4">
        <v>3.4</v>
      </c>
      <c r="E2208" s="5">
        <v>102339</v>
      </c>
      <c r="F2208" s="1" t="s">
        <v>15</v>
      </c>
      <c r="G2208" s="10">
        <v>94132.36</v>
      </c>
      <c r="H2208" s="1" t="s">
        <v>50</v>
      </c>
      <c r="I2208" t="s">
        <v>53</v>
      </c>
      <c r="J2208" t="s">
        <v>14</v>
      </c>
    </row>
    <row r="2209" spans="1:10" x14ac:dyDescent="0.35">
      <c r="A2209">
        <v>2208</v>
      </c>
      <c r="B2209" s="1" t="s">
        <v>29</v>
      </c>
      <c r="C2209">
        <v>2007</v>
      </c>
      <c r="D2209" s="4">
        <v>2.1</v>
      </c>
      <c r="E2209" s="5">
        <v>113431</v>
      </c>
      <c r="F2209" s="1" t="s">
        <v>15</v>
      </c>
      <c r="G2209" s="10">
        <v>9207.81</v>
      </c>
      <c r="H2209" s="1" t="s">
        <v>31</v>
      </c>
      <c r="I2209" t="s">
        <v>52</v>
      </c>
      <c r="J2209" t="s">
        <v>22</v>
      </c>
    </row>
    <row r="2210" spans="1:10" x14ac:dyDescent="0.35">
      <c r="A2210">
        <v>2209</v>
      </c>
      <c r="B2210" s="1" t="s">
        <v>35</v>
      </c>
      <c r="C2210">
        <v>2004</v>
      </c>
      <c r="D2210" s="4">
        <v>1.8</v>
      </c>
      <c r="E2210" s="5">
        <v>232275</v>
      </c>
      <c r="F2210" s="1" t="s">
        <v>16</v>
      </c>
      <c r="G2210" s="10">
        <v>76225.56</v>
      </c>
      <c r="H2210" s="1" t="s">
        <v>36</v>
      </c>
      <c r="I2210" t="s">
        <v>51</v>
      </c>
      <c r="J2210" t="s">
        <v>14</v>
      </c>
    </row>
    <row r="2211" spans="1:10" x14ac:dyDescent="0.35">
      <c r="A2211">
        <v>2210</v>
      </c>
      <c r="B2211" s="1" t="s">
        <v>27</v>
      </c>
      <c r="C2211">
        <v>2020</v>
      </c>
      <c r="D2211" s="4">
        <v>2.7</v>
      </c>
      <c r="E2211" s="5">
        <v>283317</v>
      </c>
      <c r="F2211" s="1" t="s">
        <v>16</v>
      </c>
      <c r="G2211" s="10">
        <v>11785.16</v>
      </c>
      <c r="H2211" s="1" t="s">
        <v>48</v>
      </c>
      <c r="I2211" t="s">
        <v>13</v>
      </c>
      <c r="J2211" t="s">
        <v>14</v>
      </c>
    </row>
    <row r="2212" spans="1:10" x14ac:dyDescent="0.35">
      <c r="A2212">
        <v>2211</v>
      </c>
      <c r="B2212" s="1" t="s">
        <v>10</v>
      </c>
      <c r="C2212">
        <v>2013</v>
      </c>
      <c r="D2212" s="4">
        <v>5.7</v>
      </c>
      <c r="E2212" s="5">
        <v>144294</v>
      </c>
      <c r="F2212" s="1" t="s">
        <v>11</v>
      </c>
      <c r="G2212" s="10">
        <v>49393.1</v>
      </c>
      <c r="H2212" s="1" t="s">
        <v>12</v>
      </c>
      <c r="I2212" t="s">
        <v>13</v>
      </c>
      <c r="J2212" t="s">
        <v>14</v>
      </c>
    </row>
    <row r="2213" spans="1:10" x14ac:dyDescent="0.35">
      <c r="A2213">
        <v>2212</v>
      </c>
      <c r="B2213" s="1" t="s">
        <v>29</v>
      </c>
      <c r="C2213">
        <v>2003</v>
      </c>
      <c r="D2213" s="4">
        <v>2.7</v>
      </c>
      <c r="E2213" s="5">
        <v>181136</v>
      </c>
      <c r="F2213" s="1" t="s">
        <v>16</v>
      </c>
      <c r="G2213" s="10">
        <v>21664.07</v>
      </c>
      <c r="H2213" s="1" t="s">
        <v>31</v>
      </c>
      <c r="I2213" t="s">
        <v>52</v>
      </c>
      <c r="J2213" t="s">
        <v>22</v>
      </c>
    </row>
    <row r="2214" spans="1:10" x14ac:dyDescent="0.35">
      <c r="A2214">
        <v>2213</v>
      </c>
      <c r="B2214" s="1" t="s">
        <v>29</v>
      </c>
      <c r="C2214">
        <v>2022</v>
      </c>
      <c r="D2214" s="4">
        <v>5.9</v>
      </c>
      <c r="E2214" s="5">
        <v>168082</v>
      </c>
      <c r="F2214" s="1" t="s">
        <v>15</v>
      </c>
      <c r="G2214" s="10">
        <v>18404.29</v>
      </c>
      <c r="H2214" s="1" t="s">
        <v>43</v>
      </c>
      <c r="I2214" t="s">
        <v>13</v>
      </c>
      <c r="J2214" t="s">
        <v>22</v>
      </c>
    </row>
    <row r="2215" spans="1:10" x14ac:dyDescent="0.35">
      <c r="A2215">
        <v>2214</v>
      </c>
      <c r="B2215" s="1" t="s">
        <v>25</v>
      </c>
      <c r="C2215">
        <v>2009</v>
      </c>
      <c r="D2215" s="4">
        <v>3.4</v>
      </c>
      <c r="E2215" s="5">
        <v>253301</v>
      </c>
      <c r="F2215" s="1" t="s">
        <v>11</v>
      </c>
      <c r="G2215" s="10">
        <v>16960.310000000001</v>
      </c>
      <c r="H2215" s="1" t="s">
        <v>44</v>
      </c>
      <c r="I2215" t="s">
        <v>13</v>
      </c>
      <c r="J2215" t="s">
        <v>22</v>
      </c>
    </row>
    <row r="2216" spans="1:10" x14ac:dyDescent="0.35">
      <c r="A2216">
        <v>2215</v>
      </c>
      <c r="B2216" s="1" t="s">
        <v>25</v>
      </c>
      <c r="C2216">
        <v>2019</v>
      </c>
      <c r="D2216" s="4">
        <v>1.9</v>
      </c>
      <c r="E2216" s="5">
        <v>18095</v>
      </c>
      <c r="F2216" s="1" t="s">
        <v>16</v>
      </c>
      <c r="G2216" s="10">
        <v>48014.73</v>
      </c>
      <c r="H2216" s="1" t="s">
        <v>49</v>
      </c>
      <c r="I2216" t="s">
        <v>51</v>
      </c>
      <c r="J2216" t="s">
        <v>14</v>
      </c>
    </row>
    <row r="2217" spans="1:10" x14ac:dyDescent="0.35">
      <c r="A2217">
        <v>2216</v>
      </c>
      <c r="B2217" s="1" t="s">
        <v>20</v>
      </c>
      <c r="C2217">
        <v>2014</v>
      </c>
      <c r="D2217" s="4">
        <v>5.5</v>
      </c>
      <c r="E2217" s="5">
        <v>123554</v>
      </c>
      <c r="F2217" s="1" t="s">
        <v>16</v>
      </c>
      <c r="G2217" s="10">
        <v>53971.07</v>
      </c>
      <c r="H2217" s="1" t="s">
        <v>39</v>
      </c>
      <c r="I2217" t="s">
        <v>52</v>
      </c>
      <c r="J2217" t="s">
        <v>22</v>
      </c>
    </row>
    <row r="2218" spans="1:10" x14ac:dyDescent="0.35">
      <c r="A2218">
        <v>2217</v>
      </c>
      <c r="B2218" s="1" t="s">
        <v>23</v>
      </c>
      <c r="C2218">
        <v>2017</v>
      </c>
      <c r="D2218" s="4">
        <v>3.3</v>
      </c>
      <c r="E2218" s="5">
        <v>234989</v>
      </c>
      <c r="F2218" s="1" t="s">
        <v>15</v>
      </c>
      <c r="G2218" s="10">
        <v>17671.53</v>
      </c>
      <c r="H2218" s="1" t="s">
        <v>24</v>
      </c>
      <c r="I2218" t="s">
        <v>52</v>
      </c>
      <c r="J2218" t="s">
        <v>22</v>
      </c>
    </row>
    <row r="2219" spans="1:10" x14ac:dyDescent="0.35">
      <c r="A2219">
        <v>2218</v>
      </c>
      <c r="B2219" s="1" t="s">
        <v>25</v>
      </c>
      <c r="C2219">
        <v>2019</v>
      </c>
      <c r="D2219" s="4">
        <v>4.5</v>
      </c>
      <c r="E2219" s="5">
        <v>89023</v>
      </c>
      <c r="F2219" s="1" t="s">
        <v>11</v>
      </c>
      <c r="G2219" s="10">
        <v>98042.59</v>
      </c>
      <c r="H2219" s="1" t="s">
        <v>26</v>
      </c>
      <c r="I2219" t="s">
        <v>51</v>
      </c>
      <c r="J2219" t="s">
        <v>14</v>
      </c>
    </row>
    <row r="2220" spans="1:10" x14ac:dyDescent="0.35">
      <c r="A2220">
        <v>2219</v>
      </c>
      <c r="B2220" s="1" t="s">
        <v>35</v>
      </c>
      <c r="C2220">
        <v>2012</v>
      </c>
      <c r="D2220" s="4">
        <v>5.9</v>
      </c>
      <c r="E2220" s="5">
        <v>107181</v>
      </c>
      <c r="F2220" s="1" t="s">
        <v>16</v>
      </c>
      <c r="G2220" s="10">
        <v>29487.759999999998</v>
      </c>
      <c r="H2220" s="1" t="s">
        <v>45</v>
      </c>
      <c r="I2220" t="s">
        <v>52</v>
      </c>
      <c r="J2220" t="s">
        <v>22</v>
      </c>
    </row>
    <row r="2221" spans="1:10" x14ac:dyDescent="0.35">
      <c r="A2221">
        <v>2220</v>
      </c>
      <c r="B2221" s="1" t="s">
        <v>25</v>
      </c>
      <c r="C2221">
        <v>2007</v>
      </c>
      <c r="D2221" s="4">
        <v>1.3</v>
      </c>
      <c r="E2221" s="5">
        <v>222310</v>
      </c>
      <c r="F2221" s="1" t="s">
        <v>16</v>
      </c>
      <c r="G2221" s="10">
        <v>48589.93</v>
      </c>
      <c r="H2221" s="1" t="s">
        <v>49</v>
      </c>
      <c r="I2221" t="s">
        <v>53</v>
      </c>
      <c r="J2221" t="s">
        <v>22</v>
      </c>
    </row>
    <row r="2222" spans="1:10" x14ac:dyDescent="0.35">
      <c r="A2222">
        <v>2221</v>
      </c>
      <c r="B2222" s="1" t="s">
        <v>20</v>
      </c>
      <c r="C2222">
        <v>2008</v>
      </c>
      <c r="D2222" s="4">
        <v>1.5</v>
      </c>
      <c r="E2222" s="5">
        <v>282744</v>
      </c>
      <c r="F2222" s="1" t="s">
        <v>15</v>
      </c>
      <c r="G2222" s="10">
        <v>25545.61</v>
      </c>
      <c r="H2222" s="1" t="s">
        <v>33</v>
      </c>
      <c r="I2222" t="s">
        <v>53</v>
      </c>
      <c r="J2222" t="s">
        <v>22</v>
      </c>
    </row>
    <row r="2223" spans="1:10" x14ac:dyDescent="0.35">
      <c r="A2223">
        <v>2222</v>
      </c>
      <c r="B2223" s="1" t="s">
        <v>29</v>
      </c>
      <c r="C2223">
        <v>2015</v>
      </c>
      <c r="D2223" s="4">
        <v>4.5999999999999996</v>
      </c>
      <c r="E2223" s="5">
        <v>264610</v>
      </c>
      <c r="F2223" s="1" t="s">
        <v>11</v>
      </c>
      <c r="G2223" s="10">
        <v>51922.65</v>
      </c>
      <c r="H2223" s="1" t="s">
        <v>43</v>
      </c>
      <c r="I2223" t="s">
        <v>53</v>
      </c>
      <c r="J2223" t="s">
        <v>14</v>
      </c>
    </row>
    <row r="2224" spans="1:10" x14ac:dyDescent="0.35">
      <c r="A2224">
        <v>2223</v>
      </c>
      <c r="B2224" s="1" t="s">
        <v>20</v>
      </c>
      <c r="C2224">
        <v>2018</v>
      </c>
      <c r="D2224" s="4">
        <v>2.4</v>
      </c>
      <c r="E2224" s="5">
        <v>256349</v>
      </c>
      <c r="F2224" s="1" t="s">
        <v>11</v>
      </c>
      <c r="G2224" s="10">
        <v>76821.58</v>
      </c>
      <c r="H2224" s="1" t="s">
        <v>21</v>
      </c>
      <c r="I2224" t="s">
        <v>52</v>
      </c>
      <c r="J2224" t="s">
        <v>22</v>
      </c>
    </row>
    <row r="2225" spans="1:10" x14ac:dyDescent="0.35">
      <c r="A2225">
        <v>2224</v>
      </c>
      <c r="B2225" s="1" t="s">
        <v>29</v>
      </c>
      <c r="C2225">
        <v>2015</v>
      </c>
      <c r="D2225" s="4">
        <v>1.9</v>
      </c>
      <c r="E2225" s="5">
        <v>176169</v>
      </c>
      <c r="F2225" s="1" t="s">
        <v>11</v>
      </c>
      <c r="G2225" s="10">
        <v>54504.69</v>
      </c>
      <c r="H2225" s="1" t="s">
        <v>30</v>
      </c>
      <c r="I2225" t="s">
        <v>53</v>
      </c>
      <c r="J2225" t="s">
        <v>14</v>
      </c>
    </row>
    <row r="2226" spans="1:10" x14ac:dyDescent="0.35">
      <c r="A2226">
        <v>2225</v>
      </c>
      <c r="B2226" s="1" t="s">
        <v>10</v>
      </c>
      <c r="C2226">
        <v>2006</v>
      </c>
      <c r="D2226" s="4">
        <v>1.2</v>
      </c>
      <c r="E2226" s="5">
        <v>53276</v>
      </c>
      <c r="F2226" s="1" t="s">
        <v>11</v>
      </c>
      <c r="G2226" s="10">
        <v>32136.639999999999</v>
      </c>
      <c r="H2226" s="1" t="s">
        <v>12</v>
      </c>
      <c r="I2226" t="s">
        <v>13</v>
      </c>
      <c r="J2226" t="s">
        <v>14</v>
      </c>
    </row>
    <row r="2227" spans="1:10" x14ac:dyDescent="0.35">
      <c r="A2227">
        <v>2226</v>
      </c>
      <c r="B2227" s="1" t="s">
        <v>10</v>
      </c>
      <c r="C2227">
        <v>2013</v>
      </c>
      <c r="D2227" s="4">
        <v>1.1000000000000001</v>
      </c>
      <c r="E2227" s="5">
        <v>269072</v>
      </c>
      <c r="F2227" s="1" t="s">
        <v>15</v>
      </c>
      <c r="G2227" s="10">
        <v>28597.68</v>
      </c>
      <c r="H2227" s="1" t="s">
        <v>18</v>
      </c>
      <c r="I2227" t="s">
        <v>13</v>
      </c>
      <c r="J2227" t="s">
        <v>14</v>
      </c>
    </row>
    <row r="2228" spans="1:10" x14ac:dyDescent="0.35">
      <c r="A2228">
        <v>2227</v>
      </c>
      <c r="B2228" s="1" t="s">
        <v>29</v>
      </c>
      <c r="C2228">
        <v>2013</v>
      </c>
      <c r="D2228" s="4">
        <v>4.9000000000000004</v>
      </c>
      <c r="E2228" s="5">
        <v>205719</v>
      </c>
      <c r="F2228" s="1" t="s">
        <v>16</v>
      </c>
      <c r="G2228" s="10">
        <v>77098.77</v>
      </c>
      <c r="H2228" s="1" t="s">
        <v>31</v>
      </c>
      <c r="I2228" t="s">
        <v>51</v>
      </c>
      <c r="J2228" t="s">
        <v>22</v>
      </c>
    </row>
    <row r="2229" spans="1:10" x14ac:dyDescent="0.35">
      <c r="A2229">
        <v>2228</v>
      </c>
      <c r="B2229" s="1" t="s">
        <v>23</v>
      </c>
      <c r="C2229">
        <v>2003</v>
      </c>
      <c r="D2229" s="4">
        <v>1.7</v>
      </c>
      <c r="E2229" s="5">
        <v>171960</v>
      </c>
      <c r="F2229" s="1" t="s">
        <v>16</v>
      </c>
      <c r="G2229" s="10">
        <v>16232.63</v>
      </c>
      <c r="H2229" s="1" t="s">
        <v>24</v>
      </c>
      <c r="I2229" t="s">
        <v>13</v>
      </c>
      <c r="J2229" t="s">
        <v>22</v>
      </c>
    </row>
    <row r="2230" spans="1:10" x14ac:dyDescent="0.35">
      <c r="A2230">
        <v>2229</v>
      </c>
      <c r="B2230" s="1" t="s">
        <v>25</v>
      </c>
      <c r="C2230">
        <v>2014</v>
      </c>
      <c r="D2230" s="4">
        <v>3.3</v>
      </c>
      <c r="E2230" s="5">
        <v>226097</v>
      </c>
      <c r="F2230" s="1" t="s">
        <v>11</v>
      </c>
      <c r="G2230" s="10">
        <v>40146.82</v>
      </c>
      <c r="H2230" s="1" t="s">
        <v>26</v>
      </c>
      <c r="I2230" t="s">
        <v>13</v>
      </c>
      <c r="J2230" t="s">
        <v>22</v>
      </c>
    </row>
    <row r="2231" spans="1:10" x14ac:dyDescent="0.35">
      <c r="A2231">
        <v>2230</v>
      </c>
      <c r="B2231" s="1" t="s">
        <v>35</v>
      </c>
      <c r="C2231">
        <v>2002</v>
      </c>
      <c r="D2231" s="4">
        <v>4</v>
      </c>
      <c r="E2231" s="5">
        <v>174904</v>
      </c>
      <c r="F2231" s="1" t="s">
        <v>11</v>
      </c>
      <c r="G2231" s="10">
        <v>19390.86</v>
      </c>
      <c r="H2231" s="1" t="s">
        <v>36</v>
      </c>
      <c r="I2231" t="s">
        <v>13</v>
      </c>
      <c r="J2231" t="s">
        <v>14</v>
      </c>
    </row>
    <row r="2232" spans="1:10" x14ac:dyDescent="0.35">
      <c r="A2232">
        <v>2231</v>
      </c>
      <c r="B2232" s="1" t="s">
        <v>35</v>
      </c>
      <c r="C2232">
        <v>2004</v>
      </c>
      <c r="D2232" s="4">
        <v>3.1</v>
      </c>
      <c r="E2232" s="5">
        <v>116196</v>
      </c>
      <c r="F2232" s="1" t="s">
        <v>11</v>
      </c>
      <c r="G2232" s="10">
        <v>29507.7</v>
      </c>
      <c r="H2232" s="1" t="s">
        <v>47</v>
      </c>
      <c r="I2232" t="s">
        <v>13</v>
      </c>
      <c r="J2232" t="s">
        <v>14</v>
      </c>
    </row>
    <row r="2233" spans="1:10" x14ac:dyDescent="0.35">
      <c r="A2233">
        <v>2232</v>
      </c>
      <c r="B2233" s="1" t="s">
        <v>27</v>
      </c>
      <c r="C2233">
        <v>2000</v>
      </c>
      <c r="D2233" s="4">
        <v>1.1000000000000001</v>
      </c>
      <c r="E2233" s="5">
        <v>9404</v>
      </c>
      <c r="F2233" s="1" t="s">
        <v>16</v>
      </c>
      <c r="G2233" s="10">
        <v>19504.91</v>
      </c>
      <c r="H2233" s="1" t="s">
        <v>40</v>
      </c>
      <c r="I2233" t="s">
        <v>51</v>
      </c>
      <c r="J2233" t="s">
        <v>22</v>
      </c>
    </row>
    <row r="2234" spans="1:10" x14ac:dyDescent="0.35">
      <c r="A2234">
        <v>2233</v>
      </c>
      <c r="B2234" s="1" t="s">
        <v>29</v>
      </c>
      <c r="C2234">
        <v>2002</v>
      </c>
      <c r="D2234" s="4">
        <v>4.9000000000000004</v>
      </c>
      <c r="E2234" s="5">
        <v>209190</v>
      </c>
      <c r="F2234" s="1" t="s">
        <v>16</v>
      </c>
      <c r="G2234" s="10">
        <v>89243.39</v>
      </c>
      <c r="H2234" s="1" t="s">
        <v>30</v>
      </c>
      <c r="I2234" t="s">
        <v>51</v>
      </c>
      <c r="J2234" t="s">
        <v>14</v>
      </c>
    </row>
    <row r="2235" spans="1:10" x14ac:dyDescent="0.35">
      <c r="A2235">
        <v>2234</v>
      </c>
      <c r="B2235" s="1" t="s">
        <v>35</v>
      </c>
      <c r="C2235">
        <v>2014</v>
      </c>
      <c r="D2235" s="4">
        <v>1.1000000000000001</v>
      </c>
      <c r="E2235" s="5">
        <v>113187</v>
      </c>
      <c r="F2235" s="1" t="s">
        <v>11</v>
      </c>
      <c r="G2235" s="10">
        <v>74530.899999999994</v>
      </c>
      <c r="H2235" s="1" t="s">
        <v>36</v>
      </c>
      <c r="I2235" t="s">
        <v>51</v>
      </c>
      <c r="J2235" t="s">
        <v>22</v>
      </c>
    </row>
    <row r="2236" spans="1:10" x14ac:dyDescent="0.35">
      <c r="A2236">
        <v>2235</v>
      </c>
      <c r="B2236" s="1" t="s">
        <v>23</v>
      </c>
      <c r="C2236">
        <v>2023</v>
      </c>
      <c r="D2236" s="4">
        <v>4.8</v>
      </c>
      <c r="E2236" s="5">
        <v>27684</v>
      </c>
      <c r="F2236" s="1" t="s">
        <v>15</v>
      </c>
      <c r="G2236" s="10">
        <v>58288.09</v>
      </c>
      <c r="H2236" s="1" t="s">
        <v>42</v>
      </c>
      <c r="I2236" t="s">
        <v>53</v>
      </c>
      <c r="J2236" t="s">
        <v>22</v>
      </c>
    </row>
    <row r="2237" spans="1:10" x14ac:dyDescent="0.35">
      <c r="A2237">
        <v>2236</v>
      </c>
      <c r="B2237" s="1" t="s">
        <v>29</v>
      </c>
      <c r="C2237">
        <v>2007</v>
      </c>
      <c r="D2237" s="4">
        <v>5.5</v>
      </c>
      <c r="E2237" s="5">
        <v>68591</v>
      </c>
      <c r="F2237" s="1" t="s">
        <v>16</v>
      </c>
      <c r="G2237" s="10">
        <v>26320.400000000001</v>
      </c>
      <c r="H2237" s="1" t="s">
        <v>43</v>
      </c>
      <c r="I2237" t="s">
        <v>53</v>
      </c>
      <c r="J2237" t="s">
        <v>22</v>
      </c>
    </row>
    <row r="2238" spans="1:10" x14ac:dyDescent="0.35">
      <c r="A2238">
        <v>2237</v>
      </c>
      <c r="B2238" s="1" t="s">
        <v>23</v>
      </c>
      <c r="C2238">
        <v>2003</v>
      </c>
      <c r="D2238" s="4">
        <v>3.2</v>
      </c>
      <c r="E2238" s="5">
        <v>208794</v>
      </c>
      <c r="F2238" s="1" t="s">
        <v>16</v>
      </c>
      <c r="G2238" s="10">
        <v>53471.55</v>
      </c>
      <c r="H2238" s="1" t="s">
        <v>42</v>
      </c>
      <c r="I2238" t="s">
        <v>13</v>
      </c>
      <c r="J2238" t="s">
        <v>22</v>
      </c>
    </row>
    <row r="2239" spans="1:10" x14ac:dyDescent="0.35">
      <c r="A2239">
        <v>2238</v>
      </c>
      <c r="B2239" s="1" t="s">
        <v>35</v>
      </c>
      <c r="C2239">
        <v>2001</v>
      </c>
      <c r="D2239" s="4">
        <v>3.7</v>
      </c>
      <c r="E2239" s="5">
        <v>264826</v>
      </c>
      <c r="F2239" s="1" t="s">
        <v>11</v>
      </c>
      <c r="G2239" s="10">
        <v>54479.15</v>
      </c>
      <c r="H2239" s="1" t="s">
        <v>50</v>
      </c>
      <c r="I2239" t="s">
        <v>53</v>
      </c>
      <c r="J2239" t="s">
        <v>22</v>
      </c>
    </row>
    <row r="2240" spans="1:10" x14ac:dyDescent="0.35">
      <c r="A2240">
        <v>2239</v>
      </c>
      <c r="B2240" s="1" t="s">
        <v>35</v>
      </c>
      <c r="C2240">
        <v>2023</v>
      </c>
      <c r="D2240" s="4">
        <v>3.4</v>
      </c>
      <c r="E2240" s="5">
        <v>111186</v>
      </c>
      <c r="F2240" s="1" t="s">
        <v>15</v>
      </c>
      <c r="G2240" s="10">
        <v>61088.35</v>
      </c>
      <c r="H2240" s="1" t="s">
        <v>45</v>
      </c>
      <c r="I2240" t="s">
        <v>52</v>
      </c>
      <c r="J2240" t="s">
        <v>22</v>
      </c>
    </row>
    <row r="2241" spans="1:10" x14ac:dyDescent="0.35">
      <c r="A2241">
        <v>2240</v>
      </c>
      <c r="B2241" s="1" t="s">
        <v>27</v>
      </c>
      <c r="C2241">
        <v>2023</v>
      </c>
      <c r="D2241" s="4">
        <v>2.9</v>
      </c>
      <c r="E2241" s="5">
        <v>243181</v>
      </c>
      <c r="F2241" s="1" t="s">
        <v>11</v>
      </c>
      <c r="G2241" s="10">
        <v>10708.09</v>
      </c>
      <c r="H2241" s="1" t="s">
        <v>37</v>
      </c>
      <c r="I2241" t="s">
        <v>51</v>
      </c>
      <c r="J2241" t="s">
        <v>22</v>
      </c>
    </row>
    <row r="2242" spans="1:10" x14ac:dyDescent="0.35">
      <c r="A2242">
        <v>2241</v>
      </c>
      <c r="B2242" s="1" t="s">
        <v>35</v>
      </c>
      <c r="C2242">
        <v>2009</v>
      </c>
      <c r="D2242" s="4">
        <v>5.4</v>
      </c>
      <c r="E2242" s="5">
        <v>21832</v>
      </c>
      <c r="F2242" s="1" t="s">
        <v>11</v>
      </c>
      <c r="G2242" s="10">
        <v>97425.69</v>
      </c>
      <c r="H2242" s="1" t="s">
        <v>36</v>
      </c>
      <c r="I2242" t="s">
        <v>13</v>
      </c>
      <c r="J2242" t="s">
        <v>14</v>
      </c>
    </row>
    <row r="2243" spans="1:10" x14ac:dyDescent="0.35">
      <c r="A2243">
        <v>2242</v>
      </c>
      <c r="B2243" s="1" t="s">
        <v>29</v>
      </c>
      <c r="C2243">
        <v>2003</v>
      </c>
      <c r="D2243" s="4">
        <v>5.5</v>
      </c>
      <c r="E2243" s="5">
        <v>16997</v>
      </c>
      <c r="F2243" s="1" t="s">
        <v>15</v>
      </c>
      <c r="G2243" s="10">
        <v>49216.7</v>
      </c>
      <c r="H2243" s="1" t="s">
        <v>38</v>
      </c>
      <c r="I2243" t="s">
        <v>13</v>
      </c>
      <c r="J2243" t="s">
        <v>22</v>
      </c>
    </row>
    <row r="2244" spans="1:10" x14ac:dyDescent="0.35">
      <c r="A2244">
        <v>2243</v>
      </c>
      <c r="B2244" s="1" t="s">
        <v>10</v>
      </c>
      <c r="C2244">
        <v>2002</v>
      </c>
      <c r="D2244" s="4">
        <v>2.7</v>
      </c>
      <c r="E2244" s="5">
        <v>296784</v>
      </c>
      <c r="F2244" s="1" t="s">
        <v>15</v>
      </c>
      <c r="G2244" s="10">
        <v>93020.52</v>
      </c>
      <c r="H2244" s="1" t="s">
        <v>17</v>
      </c>
      <c r="I2244" t="s">
        <v>13</v>
      </c>
      <c r="J2244" t="s">
        <v>14</v>
      </c>
    </row>
    <row r="2245" spans="1:10" x14ac:dyDescent="0.35">
      <c r="A2245">
        <v>2244</v>
      </c>
      <c r="B2245" s="1" t="s">
        <v>29</v>
      </c>
      <c r="C2245">
        <v>2001</v>
      </c>
      <c r="D2245" s="4">
        <v>4.0999999999999996</v>
      </c>
      <c r="E2245" s="5">
        <v>40491</v>
      </c>
      <c r="F2245" s="1" t="s">
        <v>15</v>
      </c>
      <c r="G2245" s="10">
        <v>5931.77</v>
      </c>
      <c r="H2245" s="1" t="s">
        <v>30</v>
      </c>
      <c r="I2245" t="s">
        <v>53</v>
      </c>
      <c r="J2245" t="s">
        <v>14</v>
      </c>
    </row>
    <row r="2246" spans="1:10" x14ac:dyDescent="0.35">
      <c r="A2246">
        <v>2245</v>
      </c>
      <c r="B2246" s="1" t="s">
        <v>29</v>
      </c>
      <c r="C2246">
        <v>2016</v>
      </c>
      <c r="D2246" s="4">
        <v>5.6</v>
      </c>
      <c r="E2246" s="5">
        <v>63043</v>
      </c>
      <c r="F2246" s="1" t="s">
        <v>16</v>
      </c>
      <c r="G2246" s="10">
        <v>28518.05</v>
      </c>
      <c r="H2246" s="1" t="s">
        <v>30</v>
      </c>
      <c r="I2246" t="s">
        <v>13</v>
      </c>
      <c r="J2246" t="s">
        <v>22</v>
      </c>
    </row>
    <row r="2247" spans="1:10" x14ac:dyDescent="0.35">
      <c r="A2247">
        <v>2246</v>
      </c>
      <c r="B2247" s="1" t="s">
        <v>27</v>
      </c>
      <c r="C2247">
        <v>2022</v>
      </c>
      <c r="D2247" s="4">
        <v>5.8</v>
      </c>
      <c r="E2247" s="5">
        <v>128568</v>
      </c>
      <c r="F2247" s="1" t="s">
        <v>11</v>
      </c>
      <c r="G2247" s="10">
        <v>14879.58</v>
      </c>
      <c r="H2247" s="1" t="s">
        <v>37</v>
      </c>
      <c r="I2247" t="s">
        <v>53</v>
      </c>
      <c r="J2247" t="s">
        <v>14</v>
      </c>
    </row>
    <row r="2248" spans="1:10" x14ac:dyDescent="0.35">
      <c r="A2248">
        <v>2247</v>
      </c>
      <c r="B2248" s="1" t="s">
        <v>27</v>
      </c>
      <c r="C2248">
        <v>2020</v>
      </c>
      <c r="D2248" s="4">
        <v>3.5</v>
      </c>
      <c r="E2248" s="5">
        <v>72725</v>
      </c>
      <c r="F2248" s="1" t="s">
        <v>16</v>
      </c>
      <c r="G2248" s="10">
        <v>78113.539999999994</v>
      </c>
      <c r="H2248" s="1" t="s">
        <v>37</v>
      </c>
      <c r="I2248" t="s">
        <v>53</v>
      </c>
      <c r="J2248" t="s">
        <v>14</v>
      </c>
    </row>
    <row r="2249" spans="1:10" x14ac:dyDescent="0.35">
      <c r="A2249">
        <v>2248</v>
      </c>
      <c r="B2249" s="1" t="s">
        <v>35</v>
      </c>
      <c r="C2249">
        <v>2023</v>
      </c>
      <c r="D2249" s="4">
        <v>3.3</v>
      </c>
      <c r="E2249" s="5">
        <v>128131</v>
      </c>
      <c r="F2249" s="1" t="s">
        <v>15</v>
      </c>
      <c r="G2249" s="10">
        <v>35411.879999999997</v>
      </c>
      <c r="H2249" s="1" t="s">
        <v>50</v>
      </c>
      <c r="I2249" t="s">
        <v>52</v>
      </c>
      <c r="J2249" t="s">
        <v>14</v>
      </c>
    </row>
    <row r="2250" spans="1:10" x14ac:dyDescent="0.35">
      <c r="A2250">
        <v>2249</v>
      </c>
      <c r="B2250" s="1" t="s">
        <v>20</v>
      </c>
      <c r="C2250">
        <v>2019</v>
      </c>
      <c r="D2250" s="4">
        <v>2.4</v>
      </c>
      <c r="E2250" s="5">
        <v>45520</v>
      </c>
      <c r="F2250" s="1" t="s">
        <v>16</v>
      </c>
      <c r="G2250" s="10">
        <v>84846.79</v>
      </c>
      <c r="H2250" s="1" t="s">
        <v>46</v>
      </c>
      <c r="I2250" t="s">
        <v>13</v>
      </c>
      <c r="J2250" t="s">
        <v>22</v>
      </c>
    </row>
    <row r="2251" spans="1:10" x14ac:dyDescent="0.35">
      <c r="A2251">
        <v>2250</v>
      </c>
      <c r="B2251" s="1" t="s">
        <v>20</v>
      </c>
      <c r="C2251">
        <v>2022</v>
      </c>
      <c r="D2251" s="4">
        <v>5.8</v>
      </c>
      <c r="E2251" s="5">
        <v>109869</v>
      </c>
      <c r="F2251" s="1" t="s">
        <v>15</v>
      </c>
      <c r="G2251" s="10">
        <v>84076.61</v>
      </c>
      <c r="H2251" s="1" t="s">
        <v>21</v>
      </c>
      <c r="I2251" t="s">
        <v>53</v>
      </c>
      <c r="J2251" t="s">
        <v>22</v>
      </c>
    </row>
    <row r="2252" spans="1:10" x14ac:dyDescent="0.35">
      <c r="A2252">
        <v>2251</v>
      </c>
      <c r="B2252" s="1" t="s">
        <v>27</v>
      </c>
      <c r="C2252">
        <v>2012</v>
      </c>
      <c r="D2252" s="4">
        <v>1.7</v>
      </c>
      <c r="E2252" s="5">
        <v>64442</v>
      </c>
      <c r="F2252" s="1" t="s">
        <v>15</v>
      </c>
      <c r="G2252" s="10">
        <v>68440.509999999995</v>
      </c>
      <c r="H2252" s="1" t="s">
        <v>28</v>
      </c>
      <c r="I2252" t="s">
        <v>53</v>
      </c>
      <c r="J2252" t="s">
        <v>22</v>
      </c>
    </row>
    <row r="2253" spans="1:10" x14ac:dyDescent="0.35">
      <c r="A2253">
        <v>2252</v>
      </c>
      <c r="B2253" s="1" t="s">
        <v>35</v>
      </c>
      <c r="C2253">
        <v>2004</v>
      </c>
      <c r="D2253" s="4">
        <v>3.9</v>
      </c>
      <c r="E2253" s="5">
        <v>261025</v>
      </c>
      <c r="F2253" s="1" t="s">
        <v>11</v>
      </c>
      <c r="G2253" s="10">
        <v>68249.27</v>
      </c>
      <c r="H2253" s="1" t="s">
        <v>47</v>
      </c>
      <c r="I2253" t="s">
        <v>52</v>
      </c>
      <c r="J2253" t="s">
        <v>22</v>
      </c>
    </row>
    <row r="2254" spans="1:10" x14ac:dyDescent="0.35">
      <c r="A2254">
        <v>2253</v>
      </c>
      <c r="B2254" s="1" t="s">
        <v>20</v>
      </c>
      <c r="C2254">
        <v>2020</v>
      </c>
      <c r="D2254" s="4">
        <v>2.4</v>
      </c>
      <c r="E2254" s="5">
        <v>152842</v>
      </c>
      <c r="F2254" s="1" t="s">
        <v>11</v>
      </c>
      <c r="G2254" s="10">
        <v>71515.17</v>
      </c>
      <c r="H2254" s="1" t="s">
        <v>33</v>
      </c>
      <c r="I2254" t="s">
        <v>52</v>
      </c>
      <c r="J2254" t="s">
        <v>22</v>
      </c>
    </row>
    <row r="2255" spans="1:10" x14ac:dyDescent="0.35">
      <c r="A2255">
        <v>2254</v>
      </c>
      <c r="B2255" s="1" t="s">
        <v>35</v>
      </c>
      <c r="C2255">
        <v>2008</v>
      </c>
      <c r="D2255" s="4">
        <v>2.4</v>
      </c>
      <c r="E2255" s="5">
        <v>178570</v>
      </c>
      <c r="F2255" s="1" t="s">
        <v>11</v>
      </c>
      <c r="G2255" s="10">
        <v>69007.56</v>
      </c>
      <c r="H2255" s="1" t="s">
        <v>45</v>
      </c>
      <c r="I2255" t="s">
        <v>53</v>
      </c>
      <c r="J2255" t="s">
        <v>14</v>
      </c>
    </row>
    <row r="2256" spans="1:10" x14ac:dyDescent="0.35">
      <c r="A2256">
        <v>2255</v>
      </c>
      <c r="B2256" s="1" t="s">
        <v>35</v>
      </c>
      <c r="C2256">
        <v>2021</v>
      </c>
      <c r="D2256" s="4">
        <v>3</v>
      </c>
      <c r="E2256" s="5">
        <v>123447</v>
      </c>
      <c r="F2256" s="1" t="s">
        <v>16</v>
      </c>
      <c r="G2256" s="10">
        <v>41756.29</v>
      </c>
      <c r="H2256" s="1" t="s">
        <v>50</v>
      </c>
      <c r="I2256" t="s">
        <v>52</v>
      </c>
      <c r="J2256" t="s">
        <v>14</v>
      </c>
    </row>
    <row r="2257" spans="1:10" x14ac:dyDescent="0.35">
      <c r="A2257">
        <v>2256</v>
      </c>
      <c r="B2257" s="1" t="s">
        <v>35</v>
      </c>
      <c r="C2257">
        <v>2005</v>
      </c>
      <c r="D2257" s="4">
        <v>6</v>
      </c>
      <c r="E2257" s="5">
        <v>61477</v>
      </c>
      <c r="F2257" s="1" t="s">
        <v>11</v>
      </c>
      <c r="G2257" s="10">
        <v>69868.63</v>
      </c>
      <c r="H2257" s="1" t="s">
        <v>45</v>
      </c>
      <c r="I2257" t="s">
        <v>53</v>
      </c>
      <c r="J2257" t="s">
        <v>22</v>
      </c>
    </row>
    <row r="2258" spans="1:10" x14ac:dyDescent="0.35">
      <c r="A2258">
        <v>2257</v>
      </c>
      <c r="B2258" s="1" t="s">
        <v>25</v>
      </c>
      <c r="C2258">
        <v>2004</v>
      </c>
      <c r="D2258" s="4">
        <v>1.3</v>
      </c>
      <c r="E2258" s="5">
        <v>244</v>
      </c>
      <c r="F2258" s="1" t="s">
        <v>15</v>
      </c>
      <c r="G2258" s="10">
        <v>90253.66</v>
      </c>
      <c r="H2258" s="1" t="s">
        <v>26</v>
      </c>
      <c r="I2258" t="s">
        <v>13</v>
      </c>
      <c r="J2258" t="s">
        <v>14</v>
      </c>
    </row>
    <row r="2259" spans="1:10" x14ac:dyDescent="0.35">
      <c r="A2259">
        <v>2258</v>
      </c>
      <c r="B2259" s="1" t="s">
        <v>29</v>
      </c>
      <c r="C2259">
        <v>2009</v>
      </c>
      <c r="D2259" s="4">
        <v>3.9</v>
      </c>
      <c r="E2259" s="5">
        <v>177561</v>
      </c>
      <c r="F2259" s="1" t="s">
        <v>11</v>
      </c>
      <c r="G2259" s="10">
        <v>36594.480000000003</v>
      </c>
      <c r="H2259" s="1" t="s">
        <v>43</v>
      </c>
      <c r="I2259" t="s">
        <v>51</v>
      </c>
      <c r="J2259" t="s">
        <v>14</v>
      </c>
    </row>
    <row r="2260" spans="1:10" x14ac:dyDescent="0.35">
      <c r="A2260">
        <v>2259</v>
      </c>
      <c r="B2260" s="1" t="s">
        <v>35</v>
      </c>
      <c r="C2260">
        <v>2007</v>
      </c>
      <c r="D2260" s="4">
        <v>1.4</v>
      </c>
      <c r="E2260" s="5">
        <v>290534</v>
      </c>
      <c r="F2260" s="1" t="s">
        <v>16</v>
      </c>
      <c r="G2260" s="10">
        <v>94764.46</v>
      </c>
      <c r="H2260" s="1" t="s">
        <v>47</v>
      </c>
      <c r="I2260" t="s">
        <v>52</v>
      </c>
      <c r="J2260" t="s">
        <v>14</v>
      </c>
    </row>
    <row r="2261" spans="1:10" x14ac:dyDescent="0.35">
      <c r="A2261">
        <v>2260</v>
      </c>
      <c r="B2261" s="1" t="s">
        <v>25</v>
      </c>
      <c r="C2261">
        <v>2006</v>
      </c>
      <c r="D2261" s="4">
        <v>1.8</v>
      </c>
      <c r="E2261" s="5">
        <v>10247</v>
      </c>
      <c r="F2261" s="1" t="s">
        <v>11</v>
      </c>
      <c r="G2261" s="10">
        <v>6290.25</v>
      </c>
      <c r="H2261" s="1" t="s">
        <v>26</v>
      </c>
      <c r="I2261" t="s">
        <v>51</v>
      </c>
      <c r="J2261" t="s">
        <v>14</v>
      </c>
    </row>
    <row r="2262" spans="1:10" x14ac:dyDescent="0.35">
      <c r="A2262">
        <v>2261</v>
      </c>
      <c r="B2262" s="1" t="s">
        <v>27</v>
      </c>
      <c r="C2262">
        <v>2006</v>
      </c>
      <c r="D2262" s="4">
        <v>3.2</v>
      </c>
      <c r="E2262" s="5">
        <v>200123</v>
      </c>
      <c r="F2262" s="1" t="s">
        <v>11</v>
      </c>
      <c r="G2262" s="10">
        <v>38162.839999999997</v>
      </c>
      <c r="H2262" s="1" t="s">
        <v>37</v>
      </c>
      <c r="I2262" t="s">
        <v>53</v>
      </c>
      <c r="J2262" t="s">
        <v>22</v>
      </c>
    </row>
    <row r="2263" spans="1:10" x14ac:dyDescent="0.35">
      <c r="A2263">
        <v>2262</v>
      </c>
      <c r="B2263" s="1" t="s">
        <v>20</v>
      </c>
      <c r="C2263">
        <v>2005</v>
      </c>
      <c r="D2263" s="4">
        <v>3.6</v>
      </c>
      <c r="E2263" s="5">
        <v>190791</v>
      </c>
      <c r="F2263" s="1" t="s">
        <v>11</v>
      </c>
      <c r="G2263" s="10">
        <v>17549.349999999999</v>
      </c>
      <c r="H2263" s="1" t="s">
        <v>39</v>
      </c>
      <c r="I2263" t="s">
        <v>53</v>
      </c>
      <c r="J2263" t="s">
        <v>22</v>
      </c>
    </row>
    <row r="2264" spans="1:10" x14ac:dyDescent="0.35">
      <c r="A2264">
        <v>2263</v>
      </c>
      <c r="B2264" s="1" t="s">
        <v>29</v>
      </c>
      <c r="C2264">
        <v>2020</v>
      </c>
      <c r="D2264" s="4">
        <v>2.2999999999999998</v>
      </c>
      <c r="E2264" s="5">
        <v>207358</v>
      </c>
      <c r="F2264" s="1" t="s">
        <v>16</v>
      </c>
      <c r="G2264" s="10">
        <v>17028.88</v>
      </c>
      <c r="H2264" s="1" t="s">
        <v>43</v>
      </c>
      <c r="I2264" t="s">
        <v>53</v>
      </c>
      <c r="J2264" t="s">
        <v>22</v>
      </c>
    </row>
    <row r="2265" spans="1:10" x14ac:dyDescent="0.35">
      <c r="A2265">
        <v>2264</v>
      </c>
      <c r="B2265" s="1" t="s">
        <v>10</v>
      </c>
      <c r="C2265">
        <v>2019</v>
      </c>
      <c r="D2265" s="4">
        <v>2.6</v>
      </c>
      <c r="E2265" s="5">
        <v>291727</v>
      </c>
      <c r="F2265" s="1" t="s">
        <v>15</v>
      </c>
      <c r="G2265" s="10">
        <v>82465.8</v>
      </c>
      <c r="H2265" s="1" t="s">
        <v>19</v>
      </c>
      <c r="I2265" t="s">
        <v>13</v>
      </c>
      <c r="J2265" t="s">
        <v>14</v>
      </c>
    </row>
    <row r="2266" spans="1:10" x14ac:dyDescent="0.35">
      <c r="A2266">
        <v>2265</v>
      </c>
      <c r="B2266" s="1" t="s">
        <v>20</v>
      </c>
      <c r="C2266">
        <v>2002</v>
      </c>
      <c r="D2266" s="4">
        <v>1.4</v>
      </c>
      <c r="E2266" s="5">
        <v>139148</v>
      </c>
      <c r="F2266" s="1" t="s">
        <v>15</v>
      </c>
      <c r="G2266" s="10">
        <v>92244.99</v>
      </c>
      <c r="H2266" s="1" t="s">
        <v>39</v>
      </c>
      <c r="I2266" t="s">
        <v>53</v>
      </c>
      <c r="J2266" t="s">
        <v>14</v>
      </c>
    </row>
    <row r="2267" spans="1:10" x14ac:dyDescent="0.35">
      <c r="A2267">
        <v>2266</v>
      </c>
      <c r="B2267" s="1" t="s">
        <v>29</v>
      </c>
      <c r="C2267">
        <v>2018</v>
      </c>
      <c r="D2267" s="4">
        <v>2.5</v>
      </c>
      <c r="E2267" s="5">
        <v>146123</v>
      </c>
      <c r="F2267" s="1" t="s">
        <v>15</v>
      </c>
      <c r="G2267" s="10">
        <v>78887.03</v>
      </c>
      <c r="H2267" s="1" t="s">
        <v>30</v>
      </c>
      <c r="I2267" t="s">
        <v>52</v>
      </c>
      <c r="J2267" t="s">
        <v>22</v>
      </c>
    </row>
    <row r="2268" spans="1:10" x14ac:dyDescent="0.35">
      <c r="A2268">
        <v>2267</v>
      </c>
      <c r="B2268" s="1" t="s">
        <v>10</v>
      </c>
      <c r="C2268">
        <v>2021</v>
      </c>
      <c r="D2268" s="4">
        <v>5.8</v>
      </c>
      <c r="E2268" s="5">
        <v>28670</v>
      </c>
      <c r="F2268" s="1" t="s">
        <v>11</v>
      </c>
      <c r="G2268" s="10">
        <v>97778.49</v>
      </c>
      <c r="H2268" s="1" t="s">
        <v>17</v>
      </c>
      <c r="I2268" t="s">
        <v>13</v>
      </c>
      <c r="J2268" t="s">
        <v>14</v>
      </c>
    </row>
    <row r="2269" spans="1:10" x14ac:dyDescent="0.35">
      <c r="A2269">
        <v>2268</v>
      </c>
      <c r="B2269" s="1" t="s">
        <v>20</v>
      </c>
      <c r="C2269">
        <v>2014</v>
      </c>
      <c r="D2269" s="4">
        <v>5.7</v>
      </c>
      <c r="E2269" s="5">
        <v>10236</v>
      </c>
      <c r="F2269" s="1" t="s">
        <v>11</v>
      </c>
      <c r="G2269" s="10">
        <v>25551.25</v>
      </c>
      <c r="H2269" s="1" t="s">
        <v>21</v>
      </c>
      <c r="I2269" t="s">
        <v>13</v>
      </c>
      <c r="J2269" t="s">
        <v>14</v>
      </c>
    </row>
    <row r="2270" spans="1:10" x14ac:dyDescent="0.35">
      <c r="A2270">
        <v>2269</v>
      </c>
      <c r="B2270" s="1" t="s">
        <v>29</v>
      </c>
      <c r="C2270">
        <v>2003</v>
      </c>
      <c r="D2270" s="4">
        <v>2.7</v>
      </c>
      <c r="E2270" s="5">
        <v>35568</v>
      </c>
      <c r="F2270" s="1" t="s">
        <v>16</v>
      </c>
      <c r="G2270" s="10">
        <v>18375.990000000002</v>
      </c>
      <c r="H2270" s="1" t="s">
        <v>30</v>
      </c>
      <c r="I2270" t="s">
        <v>52</v>
      </c>
      <c r="J2270" t="s">
        <v>22</v>
      </c>
    </row>
    <row r="2271" spans="1:10" x14ac:dyDescent="0.35">
      <c r="A2271">
        <v>2270</v>
      </c>
      <c r="B2271" s="1" t="s">
        <v>20</v>
      </c>
      <c r="C2271">
        <v>2011</v>
      </c>
      <c r="D2271" s="4">
        <v>3.9</v>
      </c>
      <c r="E2271" s="5">
        <v>107327</v>
      </c>
      <c r="F2271" s="1" t="s">
        <v>15</v>
      </c>
      <c r="G2271" s="10">
        <v>54466.86</v>
      </c>
      <c r="H2271" s="1" t="s">
        <v>39</v>
      </c>
      <c r="I2271" t="s">
        <v>13</v>
      </c>
      <c r="J2271" t="s">
        <v>22</v>
      </c>
    </row>
    <row r="2272" spans="1:10" x14ac:dyDescent="0.35">
      <c r="A2272">
        <v>2271</v>
      </c>
      <c r="B2272" s="1" t="s">
        <v>20</v>
      </c>
      <c r="C2272">
        <v>2005</v>
      </c>
      <c r="D2272" s="4">
        <v>5.5</v>
      </c>
      <c r="E2272" s="5">
        <v>255745</v>
      </c>
      <c r="F2272" s="1" t="s">
        <v>11</v>
      </c>
      <c r="G2272" s="10">
        <v>83758.570000000007</v>
      </c>
      <c r="H2272" s="1" t="s">
        <v>46</v>
      </c>
      <c r="I2272" t="s">
        <v>51</v>
      </c>
      <c r="J2272" t="s">
        <v>14</v>
      </c>
    </row>
    <row r="2273" spans="1:10" x14ac:dyDescent="0.35">
      <c r="A2273">
        <v>2272</v>
      </c>
      <c r="B2273" s="1" t="s">
        <v>10</v>
      </c>
      <c r="C2273">
        <v>2018</v>
      </c>
      <c r="D2273" s="4">
        <v>1</v>
      </c>
      <c r="E2273" s="5">
        <v>278496</v>
      </c>
      <c r="F2273" s="1" t="s">
        <v>11</v>
      </c>
      <c r="G2273" s="10">
        <v>8784.7099999999991</v>
      </c>
      <c r="H2273" s="1" t="s">
        <v>17</v>
      </c>
      <c r="I2273" t="s">
        <v>13</v>
      </c>
      <c r="J2273" t="s">
        <v>14</v>
      </c>
    </row>
    <row r="2274" spans="1:10" x14ac:dyDescent="0.35">
      <c r="A2274">
        <v>2273</v>
      </c>
      <c r="B2274" s="1" t="s">
        <v>20</v>
      </c>
      <c r="C2274">
        <v>2003</v>
      </c>
      <c r="D2274" s="4">
        <v>5.0999999999999996</v>
      </c>
      <c r="E2274" s="5">
        <v>125721</v>
      </c>
      <c r="F2274" s="1" t="s">
        <v>11</v>
      </c>
      <c r="G2274" s="10">
        <v>99578.74</v>
      </c>
      <c r="H2274" s="1" t="s">
        <v>33</v>
      </c>
      <c r="I2274" t="s">
        <v>53</v>
      </c>
      <c r="J2274" t="s">
        <v>22</v>
      </c>
    </row>
    <row r="2275" spans="1:10" x14ac:dyDescent="0.35">
      <c r="A2275">
        <v>2274</v>
      </c>
      <c r="B2275" s="1" t="s">
        <v>20</v>
      </c>
      <c r="C2275">
        <v>2014</v>
      </c>
      <c r="D2275" s="4">
        <v>5.7</v>
      </c>
      <c r="E2275" s="5">
        <v>259291</v>
      </c>
      <c r="F2275" s="1" t="s">
        <v>16</v>
      </c>
      <c r="G2275" s="10">
        <v>62213.36</v>
      </c>
      <c r="H2275" s="1" t="s">
        <v>33</v>
      </c>
      <c r="I2275" t="s">
        <v>53</v>
      </c>
      <c r="J2275" t="s">
        <v>14</v>
      </c>
    </row>
    <row r="2276" spans="1:10" x14ac:dyDescent="0.35">
      <c r="A2276">
        <v>2275</v>
      </c>
      <c r="B2276" s="1" t="s">
        <v>10</v>
      </c>
      <c r="C2276">
        <v>2008</v>
      </c>
      <c r="D2276" s="4">
        <v>1.5</v>
      </c>
      <c r="E2276" s="5">
        <v>156228</v>
      </c>
      <c r="F2276" s="1" t="s">
        <v>15</v>
      </c>
      <c r="G2276" s="10">
        <v>97999.47</v>
      </c>
      <c r="H2276" s="1" t="s">
        <v>18</v>
      </c>
      <c r="I2276" t="s">
        <v>13</v>
      </c>
      <c r="J2276" t="s">
        <v>14</v>
      </c>
    </row>
    <row r="2277" spans="1:10" x14ac:dyDescent="0.35">
      <c r="A2277">
        <v>2276</v>
      </c>
      <c r="B2277" s="1" t="s">
        <v>27</v>
      </c>
      <c r="C2277">
        <v>2004</v>
      </c>
      <c r="D2277" s="4">
        <v>1.8</v>
      </c>
      <c r="E2277" s="5">
        <v>55904</v>
      </c>
      <c r="F2277" s="1" t="s">
        <v>16</v>
      </c>
      <c r="G2277" s="10">
        <v>39682.76</v>
      </c>
      <c r="H2277" s="1" t="s">
        <v>48</v>
      </c>
      <c r="I2277" t="s">
        <v>51</v>
      </c>
      <c r="J2277" t="s">
        <v>14</v>
      </c>
    </row>
    <row r="2278" spans="1:10" x14ac:dyDescent="0.35">
      <c r="A2278">
        <v>2277</v>
      </c>
      <c r="B2278" s="1" t="s">
        <v>35</v>
      </c>
      <c r="C2278">
        <v>2012</v>
      </c>
      <c r="D2278" s="4">
        <v>5.8</v>
      </c>
      <c r="E2278" s="5">
        <v>278252</v>
      </c>
      <c r="F2278" s="1" t="s">
        <v>15</v>
      </c>
      <c r="G2278" s="10">
        <v>48512.26</v>
      </c>
      <c r="H2278" s="1" t="s">
        <v>47</v>
      </c>
      <c r="I2278" t="s">
        <v>51</v>
      </c>
      <c r="J2278" t="s">
        <v>14</v>
      </c>
    </row>
    <row r="2279" spans="1:10" x14ac:dyDescent="0.35">
      <c r="A2279">
        <v>2278</v>
      </c>
      <c r="B2279" s="1" t="s">
        <v>23</v>
      </c>
      <c r="C2279">
        <v>2022</v>
      </c>
      <c r="D2279" s="4">
        <v>3.7</v>
      </c>
      <c r="E2279" s="5">
        <v>264997</v>
      </c>
      <c r="F2279" s="1" t="s">
        <v>15</v>
      </c>
      <c r="G2279" s="10">
        <v>76474.34</v>
      </c>
      <c r="H2279" s="1" t="s">
        <v>42</v>
      </c>
      <c r="I2279" t="s">
        <v>52</v>
      </c>
      <c r="J2279" t="s">
        <v>22</v>
      </c>
    </row>
    <row r="2280" spans="1:10" x14ac:dyDescent="0.35">
      <c r="A2280">
        <v>2279</v>
      </c>
      <c r="B2280" s="1" t="s">
        <v>25</v>
      </c>
      <c r="C2280">
        <v>2017</v>
      </c>
      <c r="D2280" s="4">
        <v>1.1000000000000001</v>
      </c>
      <c r="E2280" s="5">
        <v>266320</v>
      </c>
      <c r="F2280" s="1" t="s">
        <v>11</v>
      </c>
      <c r="G2280" s="10">
        <v>80306.539999999994</v>
      </c>
      <c r="H2280" s="1" t="s">
        <v>41</v>
      </c>
      <c r="I2280" t="s">
        <v>51</v>
      </c>
      <c r="J2280" t="s">
        <v>14</v>
      </c>
    </row>
    <row r="2281" spans="1:10" x14ac:dyDescent="0.35">
      <c r="A2281">
        <v>2280</v>
      </c>
      <c r="B2281" s="1" t="s">
        <v>23</v>
      </c>
      <c r="C2281">
        <v>2004</v>
      </c>
      <c r="D2281" s="4">
        <v>2.2999999999999998</v>
      </c>
      <c r="E2281" s="5">
        <v>100459</v>
      </c>
      <c r="F2281" s="1" t="s">
        <v>11</v>
      </c>
      <c r="G2281" s="10">
        <v>27138.14</v>
      </c>
      <c r="H2281" s="1" t="s">
        <v>24</v>
      </c>
      <c r="I2281" t="s">
        <v>13</v>
      </c>
      <c r="J2281" t="s">
        <v>22</v>
      </c>
    </row>
    <row r="2282" spans="1:10" x14ac:dyDescent="0.35">
      <c r="A2282">
        <v>2281</v>
      </c>
      <c r="B2282" s="1" t="s">
        <v>23</v>
      </c>
      <c r="C2282">
        <v>2015</v>
      </c>
      <c r="D2282" s="4">
        <v>3.2</v>
      </c>
      <c r="E2282" s="5">
        <v>185922</v>
      </c>
      <c r="F2282" s="1" t="s">
        <v>11</v>
      </c>
      <c r="G2282" s="10">
        <v>93331.1</v>
      </c>
      <c r="H2282" s="1" t="s">
        <v>32</v>
      </c>
      <c r="I2282" t="s">
        <v>52</v>
      </c>
      <c r="J2282" t="s">
        <v>14</v>
      </c>
    </row>
    <row r="2283" spans="1:10" x14ac:dyDescent="0.35">
      <c r="A2283">
        <v>2282</v>
      </c>
      <c r="B2283" s="1" t="s">
        <v>29</v>
      </c>
      <c r="C2283">
        <v>2018</v>
      </c>
      <c r="D2283" s="4">
        <v>4.5</v>
      </c>
      <c r="E2283" s="5">
        <v>137901</v>
      </c>
      <c r="F2283" s="1" t="s">
        <v>11</v>
      </c>
      <c r="G2283" s="10">
        <v>87405.2</v>
      </c>
      <c r="H2283" s="1" t="s">
        <v>30</v>
      </c>
      <c r="I2283" t="s">
        <v>52</v>
      </c>
      <c r="J2283" t="s">
        <v>22</v>
      </c>
    </row>
    <row r="2284" spans="1:10" x14ac:dyDescent="0.35">
      <c r="A2284">
        <v>2283</v>
      </c>
      <c r="B2284" s="1" t="s">
        <v>35</v>
      </c>
      <c r="C2284">
        <v>2013</v>
      </c>
      <c r="D2284" s="4">
        <v>4.7</v>
      </c>
      <c r="E2284" s="5">
        <v>123225</v>
      </c>
      <c r="F2284" s="1" t="s">
        <v>11</v>
      </c>
      <c r="G2284" s="10">
        <v>6729.5</v>
      </c>
      <c r="H2284" s="1" t="s">
        <v>50</v>
      </c>
      <c r="I2284" t="s">
        <v>52</v>
      </c>
      <c r="J2284" t="s">
        <v>14</v>
      </c>
    </row>
    <row r="2285" spans="1:10" x14ac:dyDescent="0.35">
      <c r="A2285">
        <v>2284</v>
      </c>
      <c r="B2285" s="1" t="s">
        <v>29</v>
      </c>
      <c r="C2285">
        <v>2015</v>
      </c>
      <c r="D2285" s="4">
        <v>6</v>
      </c>
      <c r="E2285" s="5">
        <v>235847</v>
      </c>
      <c r="F2285" s="1" t="s">
        <v>15</v>
      </c>
      <c r="G2285" s="10">
        <v>17213.97</v>
      </c>
      <c r="H2285" s="1" t="s">
        <v>43</v>
      </c>
      <c r="I2285" t="s">
        <v>51</v>
      </c>
      <c r="J2285" t="s">
        <v>14</v>
      </c>
    </row>
    <row r="2286" spans="1:10" x14ac:dyDescent="0.35">
      <c r="A2286">
        <v>2285</v>
      </c>
      <c r="B2286" s="1" t="s">
        <v>35</v>
      </c>
      <c r="C2286">
        <v>2014</v>
      </c>
      <c r="D2286" s="4">
        <v>2.4</v>
      </c>
      <c r="E2286" s="5">
        <v>221738</v>
      </c>
      <c r="F2286" s="1" t="s">
        <v>11</v>
      </c>
      <c r="G2286" s="10">
        <v>52129.23</v>
      </c>
      <c r="H2286" s="1" t="s">
        <v>45</v>
      </c>
      <c r="I2286" t="s">
        <v>52</v>
      </c>
      <c r="J2286" t="s">
        <v>22</v>
      </c>
    </row>
    <row r="2287" spans="1:10" x14ac:dyDescent="0.35">
      <c r="A2287">
        <v>2286</v>
      </c>
      <c r="B2287" s="1" t="s">
        <v>10</v>
      </c>
      <c r="C2287">
        <v>2021</v>
      </c>
      <c r="D2287" s="4">
        <v>3.7</v>
      </c>
      <c r="E2287" s="5">
        <v>110893</v>
      </c>
      <c r="F2287" s="1" t="s">
        <v>11</v>
      </c>
      <c r="G2287" s="10">
        <v>48790.77</v>
      </c>
      <c r="H2287" s="1" t="s">
        <v>19</v>
      </c>
      <c r="I2287" t="s">
        <v>13</v>
      </c>
      <c r="J2287" t="s">
        <v>14</v>
      </c>
    </row>
    <row r="2288" spans="1:10" x14ac:dyDescent="0.35">
      <c r="A2288">
        <v>2287</v>
      </c>
      <c r="B2288" s="1" t="s">
        <v>10</v>
      </c>
      <c r="C2288">
        <v>2003</v>
      </c>
      <c r="D2288" s="4">
        <v>3.7</v>
      </c>
      <c r="E2288" s="5">
        <v>242726</v>
      </c>
      <c r="F2288" s="1" t="s">
        <v>16</v>
      </c>
      <c r="G2288" s="10">
        <v>72297.13</v>
      </c>
      <c r="H2288" s="1" t="s">
        <v>12</v>
      </c>
      <c r="I2288" t="s">
        <v>13</v>
      </c>
      <c r="J2288" t="s">
        <v>14</v>
      </c>
    </row>
    <row r="2289" spans="1:10" x14ac:dyDescent="0.35">
      <c r="A2289">
        <v>2288</v>
      </c>
      <c r="B2289" s="1" t="s">
        <v>35</v>
      </c>
      <c r="C2289">
        <v>2006</v>
      </c>
      <c r="D2289" s="4">
        <v>3</v>
      </c>
      <c r="E2289" s="5">
        <v>196914</v>
      </c>
      <c r="F2289" s="1" t="s">
        <v>16</v>
      </c>
      <c r="G2289" s="10">
        <v>13522.58</v>
      </c>
      <c r="H2289" s="1" t="s">
        <v>47</v>
      </c>
      <c r="I2289" t="s">
        <v>52</v>
      </c>
      <c r="J2289" t="s">
        <v>14</v>
      </c>
    </row>
    <row r="2290" spans="1:10" x14ac:dyDescent="0.35">
      <c r="A2290">
        <v>2289</v>
      </c>
      <c r="B2290" s="1" t="s">
        <v>20</v>
      </c>
      <c r="C2290">
        <v>2015</v>
      </c>
      <c r="D2290" s="4">
        <v>1.8</v>
      </c>
      <c r="E2290" s="5">
        <v>181880</v>
      </c>
      <c r="F2290" s="1" t="s">
        <v>15</v>
      </c>
      <c r="G2290" s="10">
        <v>66261.25</v>
      </c>
      <c r="H2290" s="1" t="s">
        <v>21</v>
      </c>
      <c r="I2290" t="s">
        <v>53</v>
      </c>
      <c r="J2290" t="s">
        <v>14</v>
      </c>
    </row>
    <row r="2291" spans="1:10" x14ac:dyDescent="0.35">
      <c r="A2291">
        <v>2290</v>
      </c>
      <c r="B2291" s="1" t="s">
        <v>27</v>
      </c>
      <c r="C2291">
        <v>2023</v>
      </c>
      <c r="D2291" s="4">
        <v>5.9</v>
      </c>
      <c r="E2291" s="5">
        <v>6611</v>
      </c>
      <c r="F2291" s="1" t="s">
        <v>15</v>
      </c>
      <c r="G2291" s="10">
        <v>63555.14</v>
      </c>
      <c r="H2291" s="1" t="s">
        <v>37</v>
      </c>
      <c r="I2291" t="s">
        <v>53</v>
      </c>
      <c r="J2291" t="s">
        <v>22</v>
      </c>
    </row>
    <row r="2292" spans="1:10" x14ac:dyDescent="0.35">
      <c r="A2292">
        <v>2291</v>
      </c>
      <c r="B2292" s="1" t="s">
        <v>20</v>
      </c>
      <c r="C2292">
        <v>2021</v>
      </c>
      <c r="D2292" s="4">
        <v>5.3</v>
      </c>
      <c r="E2292" s="5">
        <v>247524</v>
      </c>
      <c r="F2292" s="1" t="s">
        <v>16</v>
      </c>
      <c r="G2292" s="10">
        <v>27193.86</v>
      </c>
      <c r="H2292" s="1" t="s">
        <v>33</v>
      </c>
      <c r="I2292" t="s">
        <v>52</v>
      </c>
      <c r="J2292" t="s">
        <v>14</v>
      </c>
    </row>
    <row r="2293" spans="1:10" x14ac:dyDescent="0.35">
      <c r="A2293">
        <v>2292</v>
      </c>
      <c r="B2293" s="1" t="s">
        <v>27</v>
      </c>
      <c r="C2293">
        <v>2020</v>
      </c>
      <c r="D2293" s="4">
        <v>3.5</v>
      </c>
      <c r="E2293" s="5">
        <v>295187</v>
      </c>
      <c r="F2293" s="1" t="s">
        <v>16</v>
      </c>
      <c r="G2293" s="10">
        <v>56527.43</v>
      </c>
      <c r="H2293" s="1" t="s">
        <v>48</v>
      </c>
      <c r="I2293" t="s">
        <v>53</v>
      </c>
      <c r="J2293" t="s">
        <v>14</v>
      </c>
    </row>
    <row r="2294" spans="1:10" x14ac:dyDescent="0.35">
      <c r="A2294">
        <v>2293</v>
      </c>
      <c r="B2294" s="1" t="s">
        <v>29</v>
      </c>
      <c r="C2294">
        <v>2021</v>
      </c>
      <c r="D2294" s="4">
        <v>4</v>
      </c>
      <c r="E2294" s="5">
        <v>136343</v>
      </c>
      <c r="F2294" s="1" t="s">
        <v>11</v>
      </c>
      <c r="G2294" s="10">
        <v>26109.68</v>
      </c>
      <c r="H2294" s="1" t="s">
        <v>30</v>
      </c>
      <c r="I2294" t="s">
        <v>13</v>
      </c>
      <c r="J2294" t="s">
        <v>22</v>
      </c>
    </row>
    <row r="2295" spans="1:10" x14ac:dyDescent="0.35">
      <c r="A2295">
        <v>2294</v>
      </c>
      <c r="B2295" s="1" t="s">
        <v>27</v>
      </c>
      <c r="C2295">
        <v>2020</v>
      </c>
      <c r="D2295" s="4">
        <v>2.1</v>
      </c>
      <c r="E2295" s="5">
        <v>190191</v>
      </c>
      <c r="F2295" s="1" t="s">
        <v>11</v>
      </c>
      <c r="G2295" s="10">
        <v>18957.689999999999</v>
      </c>
      <c r="H2295" s="1" t="s">
        <v>48</v>
      </c>
      <c r="I2295" t="s">
        <v>13</v>
      </c>
      <c r="J2295" t="s">
        <v>14</v>
      </c>
    </row>
    <row r="2296" spans="1:10" x14ac:dyDescent="0.35">
      <c r="A2296">
        <v>2295</v>
      </c>
      <c r="B2296" s="1" t="s">
        <v>29</v>
      </c>
      <c r="C2296">
        <v>2007</v>
      </c>
      <c r="D2296" s="4">
        <v>3.7</v>
      </c>
      <c r="E2296" s="5">
        <v>142645</v>
      </c>
      <c r="F2296" s="1" t="s">
        <v>15</v>
      </c>
      <c r="G2296" s="10">
        <v>59447.82</v>
      </c>
      <c r="H2296" s="1" t="s">
        <v>43</v>
      </c>
      <c r="I2296" t="s">
        <v>51</v>
      </c>
      <c r="J2296" t="s">
        <v>22</v>
      </c>
    </row>
    <row r="2297" spans="1:10" x14ac:dyDescent="0.35">
      <c r="A2297">
        <v>2296</v>
      </c>
      <c r="B2297" s="1" t="s">
        <v>10</v>
      </c>
      <c r="C2297">
        <v>2016</v>
      </c>
      <c r="D2297" s="4">
        <v>4.5</v>
      </c>
      <c r="E2297" s="5">
        <v>152481</v>
      </c>
      <c r="F2297" s="1" t="s">
        <v>16</v>
      </c>
      <c r="G2297" s="10">
        <v>97860.06</v>
      </c>
      <c r="H2297" s="1" t="s">
        <v>17</v>
      </c>
      <c r="I2297" t="s">
        <v>13</v>
      </c>
      <c r="J2297" t="s">
        <v>14</v>
      </c>
    </row>
    <row r="2298" spans="1:10" x14ac:dyDescent="0.35">
      <c r="A2298">
        <v>2297</v>
      </c>
      <c r="B2298" s="1" t="s">
        <v>23</v>
      </c>
      <c r="C2298">
        <v>2015</v>
      </c>
      <c r="D2298" s="4">
        <v>3.6</v>
      </c>
      <c r="E2298" s="5">
        <v>286608</v>
      </c>
      <c r="F2298" s="1" t="s">
        <v>15</v>
      </c>
      <c r="G2298" s="10">
        <v>27508.67</v>
      </c>
      <c r="H2298" s="1" t="s">
        <v>32</v>
      </c>
      <c r="I2298" t="s">
        <v>13</v>
      </c>
      <c r="J2298" t="s">
        <v>22</v>
      </c>
    </row>
    <row r="2299" spans="1:10" x14ac:dyDescent="0.35">
      <c r="A2299">
        <v>2298</v>
      </c>
      <c r="B2299" s="1" t="s">
        <v>10</v>
      </c>
      <c r="C2299">
        <v>2022</v>
      </c>
      <c r="D2299" s="4">
        <v>6</v>
      </c>
      <c r="E2299" s="5">
        <v>249220</v>
      </c>
      <c r="F2299" s="1" t="s">
        <v>11</v>
      </c>
      <c r="G2299" s="10">
        <v>38756.93</v>
      </c>
      <c r="H2299" s="1" t="s">
        <v>18</v>
      </c>
      <c r="I2299" t="s">
        <v>13</v>
      </c>
      <c r="J2299" t="s">
        <v>14</v>
      </c>
    </row>
    <row r="2300" spans="1:10" x14ac:dyDescent="0.35">
      <c r="A2300">
        <v>2299</v>
      </c>
      <c r="B2300" s="1" t="s">
        <v>10</v>
      </c>
      <c r="C2300">
        <v>2009</v>
      </c>
      <c r="D2300" s="4">
        <v>4.0999999999999996</v>
      </c>
      <c r="E2300" s="5">
        <v>118523</v>
      </c>
      <c r="F2300" s="1" t="s">
        <v>15</v>
      </c>
      <c r="G2300" s="10">
        <v>29374.46</v>
      </c>
      <c r="H2300" s="1" t="s">
        <v>18</v>
      </c>
      <c r="I2300" t="s">
        <v>13</v>
      </c>
      <c r="J2300" t="s">
        <v>14</v>
      </c>
    </row>
    <row r="2301" spans="1:10" x14ac:dyDescent="0.35">
      <c r="A2301">
        <v>2300</v>
      </c>
      <c r="B2301" s="1" t="s">
        <v>23</v>
      </c>
      <c r="C2301">
        <v>2009</v>
      </c>
      <c r="D2301" s="4">
        <v>2.9</v>
      </c>
      <c r="E2301" s="5">
        <v>20662</v>
      </c>
      <c r="F2301" s="1" t="s">
        <v>15</v>
      </c>
      <c r="G2301" s="10">
        <v>30313.68</v>
      </c>
      <c r="H2301" s="1" t="s">
        <v>24</v>
      </c>
      <c r="I2301" t="s">
        <v>13</v>
      </c>
      <c r="J2301" t="s">
        <v>22</v>
      </c>
    </row>
    <row r="2302" spans="1:10" x14ac:dyDescent="0.35">
      <c r="A2302">
        <v>2301</v>
      </c>
      <c r="B2302" s="1" t="s">
        <v>27</v>
      </c>
      <c r="C2302">
        <v>2001</v>
      </c>
      <c r="D2302" s="4">
        <v>4.9000000000000004</v>
      </c>
      <c r="E2302" s="5">
        <v>280372</v>
      </c>
      <c r="F2302" s="1" t="s">
        <v>15</v>
      </c>
      <c r="G2302" s="10">
        <v>43398.25</v>
      </c>
      <c r="H2302" s="1" t="s">
        <v>48</v>
      </c>
      <c r="I2302" t="s">
        <v>13</v>
      </c>
      <c r="J2302" t="s">
        <v>14</v>
      </c>
    </row>
    <row r="2303" spans="1:10" x14ac:dyDescent="0.35">
      <c r="A2303">
        <v>2302</v>
      </c>
      <c r="B2303" s="1" t="s">
        <v>27</v>
      </c>
      <c r="C2303">
        <v>2008</v>
      </c>
      <c r="D2303" s="4">
        <v>1.9</v>
      </c>
      <c r="E2303" s="5">
        <v>60721</v>
      </c>
      <c r="F2303" s="1" t="s">
        <v>11</v>
      </c>
      <c r="G2303" s="10">
        <v>71676.27</v>
      </c>
      <c r="H2303" s="1" t="s">
        <v>37</v>
      </c>
      <c r="I2303" t="s">
        <v>52</v>
      </c>
      <c r="J2303" t="s">
        <v>22</v>
      </c>
    </row>
    <row r="2304" spans="1:10" x14ac:dyDescent="0.35">
      <c r="A2304">
        <v>2303</v>
      </c>
      <c r="B2304" s="1" t="s">
        <v>29</v>
      </c>
      <c r="C2304">
        <v>2016</v>
      </c>
      <c r="D2304" s="4">
        <v>2.9</v>
      </c>
      <c r="E2304" s="5">
        <v>138458</v>
      </c>
      <c r="F2304" s="1" t="s">
        <v>15</v>
      </c>
      <c r="G2304" s="10">
        <v>8686.43</v>
      </c>
      <c r="H2304" s="1" t="s">
        <v>38</v>
      </c>
      <c r="I2304" t="s">
        <v>51</v>
      </c>
      <c r="J2304" t="s">
        <v>14</v>
      </c>
    </row>
    <row r="2305" spans="1:10" x14ac:dyDescent="0.35">
      <c r="A2305">
        <v>2304</v>
      </c>
      <c r="B2305" s="1" t="s">
        <v>20</v>
      </c>
      <c r="C2305">
        <v>2010</v>
      </c>
      <c r="D2305" s="4">
        <v>2.7</v>
      </c>
      <c r="E2305" s="5">
        <v>269006</v>
      </c>
      <c r="F2305" s="1" t="s">
        <v>11</v>
      </c>
      <c r="G2305" s="10">
        <v>95926.8</v>
      </c>
      <c r="H2305" s="1" t="s">
        <v>46</v>
      </c>
      <c r="I2305" t="s">
        <v>52</v>
      </c>
      <c r="J2305" t="s">
        <v>22</v>
      </c>
    </row>
    <row r="2306" spans="1:10" x14ac:dyDescent="0.35">
      <c r="A2306">
        <v>2305</v>
      </c>
      <c r="B2306" s="1" t="s">
        <v>29</v>
      </c>
      <c r="C2306">
        <v>2009</v>
      </c>
      <c r="D2306" s="4">
        <v>3.2</v>
      </c>
      <c r="E2306" s="5">
        <v>40108</v>
      </c>
      <c r="F2306" s="1" t="s">
        <v>16</v>
      </c>
      <c r="G2306" s="10">
        <v>9396.59</v>
      </c>
      <c r="H2306" s="1" t="s">
        <v>31</v>
      </c>
      <c r="I2306" t="s">
        <v>51</v>
      </c>
      <c r="J2306" t="s">
        <v>22</v>
      </c>
    </row>
    <row r="2307" spans="1:10" x14ac:dyDescent="0.35">
      <c r="A2307">
        <v>2306</v>
      </c>
      <c r="B2307" s="1" t="s">
        <v>20</v>
      </c>
      <c r="C2307">
        <v>2021</v>
      </c>
      <c r="D2307" s="4">
        <v>4.9000000000000004</v>
      </c>
      <c r="E2307" s="5">
        <v>91788</v>
      </c>
      <c r="F2307" s="1" t="s">
        <v>15</v>
      </c>
      <c r="G2307" s="10">
        <v>88719.05</v>
      </c>
      <c r="H2307" s="1" t="s">
        <v>21</v>
      </c>
      <c r="I2307" t="s">
        <v>13</v>
      </c>
      <c r="J2307" t="s">
        <v>14</v>
      </c>
    </row>
    <row r="2308" spans="1:10" x14ac:dyDescent="0.35">
      <c r="A2308">
        <v>2307</v>
      </c>
      <c r="B2308" s="1" t="s">
        <v>10</v>
      </c>
      <c r="C2308">
        <v>2016</v>
      </c>
      <c r="D2308" s="4">
        <v>3.4</v>
      </c>
      <c r="E2308" s="5">
        <v>244437</v>
      </c>
      <c r="F2308" s="1" t="s">
        <v>15</v>
      </c>
      <c r="G2308" s="10">
        <v>89965.92</v>
      </c>
      <c r="H2308" s="1" t="s">
        <v>17</v>
      </c>
      <c r="I2308" t="s">
        <v>13</v>
      </c>
      <c r="J2308" t="s">
        <v>14</v>
      </c>
    </row>
    <row r="2309" spans="1:10" x14ac:dyDescent="0.35">
      <c r="A2309">
        <v>2308</v>
      </c>
      <c r="B2309" s="1" t="s">
        <v>23</v>
      </c>
      <c r="C2309">
        <v>2003</v>
      </c>
      <c r="D2309" s="4">
        <v>5</v>
      </c>
      <c r="E2309" s="5">
        <v>237011</v>
      </c>
      <c r="F2309" s="1" t="s">
        <v>11</v>
      </c>
      <c r="G2309" s="10">
        <v>54826.47</v>
      </c>
      <c r="H2309" s="1" t="s">
        <v>34</v>
      </c>
      <c r="I2309" t="s">
        <v>13</v>
      </c>
      <c r="J2309" t="s">
        <v>22</v>
      </c>
    </row>
    <row r="2310" spans="1:10" x14ac:dyDescent="0.35">
      <c r="A2310">
        <v>2309</v>
      </c>
      <c r="B2310" s="1" t="s">
        <v>10</v>
      </c>
      <c r="C2310">
        <v>2015</v>
      </c>
      <c r="D2310" s="4">
        <v>3.9</v>
      </c>
      <c r="E2310" s="5">
        <v>158273</v>
      </c>
      <c r="F2310" s="1" t="s">
        <v>15</v>
      </c>
      <c r="G2310" s="10">
        <v>18014.7</v>
      </c>
      <c r="H2310" s="1" t="s">
        <v>19</v>
      </c>
      <c r="I2310" t="s">
        <v>13</v>
      </c>
      <c r="J2310" t="s">
        <v>14</v>
      </c>
    </row>
    <row r="2311" spans="1:10" x14ac:dyDescent="0.35">
      <c r="A2311">
        <v>2310</v>
      </c>
      <c r="B2311" s="1" t="s">
        <v>35</v>
      </c>
      <c r="C2311">
        <v>2019</v>
      </c>
      <c r="D2311" s="4">
        <v>2.7</v>
      </c>
      <c r="E2311" s="5">
        <v>49966</v>
      </c>
      <c r="F2311" s="1" t="s">
        <v>11</v>
      </c>
      <c r="G2311" s="10">
        <v>58688.87</v>
      </c>
      <c r="H2311" s="1" t="s">
        <v>47</v>
      </c>
      <c r="I2311" t="s">
        <v>53</v>
      </c>
      <c r="J2311" t="s">
        <v>22</v>
      </c>
    </row>
    <row r="2312" spans="1:10" x14ac:dyDescent="0.35">
      <c r="A2312">
        <v>2311</v>
      </c>
      <c r="B2312" s="1" t="s">
        <v>27</v>
      </c>
      <c r="C2312">
        <v>2014</v>
      </c>
      <c r="D2312" s="4">
        <v>5</v>
      </c>
      <c r="E2312" s="5">
        <v>185846</v>
      </c>
      <c r="F2312" s="1" t="s">
        <v>15</v>
      </c>
      <c r="G2312" s="10">
        <v>64720.06</v>
      </c>
      <c r="H2312" s="1" t="s">
        <v>37</v>
      </c>
      <c r="I2312" t="s">
        <v>51</v>
      </c>
      <c r="J2312" t="s">
        <v>22</v>
      </c>
    </row>
    <row r="2313" spans="1:10" x14ac:dyDescent="0.35">
      <c r="A2313">
        <v>2312</v>
      </c>
      <c r="B2313" s="1" t="s">
        <v>20</v>
      </c>
      <c r="C2313">
        <v>2020</v>
      </c>
      <c r="D2313" s="4">
        <v>2.2000000000000002</v>
      </c>
      <c r="E2313" s="5">
        <v>272530</v>
      </c>
      <c r="F2313" s="1" t="s">
        <v>16</v>
      </c>
      <c r="G2313" s="10">
        <v>86487.1</v>
      </c>
      <c r="H2313" s="1" t="s">
        <v>39</v>
      </c>
      <c r="I2313" t="s">
        <v>51</v>
      </c>
      <c r="J2313" t="s">
        <v>14</v>
      </c>
    </row>
    <row r="2314" spans="1:10" x14ac:dyDescent="0.35">
      <c r="A2314">
        <v>2313</v>
      </c>
      <c r="B2314" s="1" t="s">
        <v>29</v>
      </c>
      <c r="C2314">
        <v>2004</v>
      </c>
      <c r="D2314" s="4">
        <v>2.1</v>
      </c>
      <c r="E2314" s="5">
        <v>77228</v>
      </c>
      <c r="F2314" s="1" t="s">
        <v>16</v>
      </c>
      <c r="G2314" s="10">
        <v>57335.06</v>
      </c>
      <c r="H2314" s="1" t="s">
        <v>31</v>
      </c>
      <c r="I2314" t="s">
        <v>51</v>
      </c>
      <c r="J2314" t="s">
        <v>22</v>
      </c>
    </row>
    <row r="2315" spans="1:10" x14ac:dyDescent="0.35">
      <c r="A2315">
        <v>2314</v>
      </c>
      <c r="B2315" s="1" t="s">
        <v>23</v>
      </c>
      <c r="C2315">
        <v>2005</v>
      </c>
      <c r="D2315" s="4">
        <v>3.5</v>
      </c>
      <c r="E2315" s="5">
        <v>146297</v>
      </c>
      <c r="F2315" s="1" t="s">
        <v>16</v>
      </c>
      <c r="G2315" s="10">
        <v>44017.39</v>
      </c>
      <c r="H2315" s="1" t="s">
        <v>34</v>
      </c>
      <c r="I2315" t="s">
        <v>52</v>
      </c>
      <c r="J2315" t="s">
        <v>22</v>
      </c>
    </row>
    <row r="2316" spans="1:10" x14ac:dyDescent="0.35">
      <c r="A2316">
        <v>2315</v>
      </c>
      <c r="B2316" s="1" t="s">
        <v>20</v>
      </c>
      <c r="C2316">
        <v>2016</v>
      </c>
      <c r="D2316" s="4">
        <v>2.2999999999999998</v>
      </c>
      <c r="E2316" s="5">
        <v>43021</v>
      </c>
      <c r="F2316" s="1" t="s">
        <v>15</v>
      </c>
      <c r="G2316" s="10">
        <v>84637.66</v>
      </c>
      <c r="H2316" s="1" t="s">
        <v>46</v>
      </c>
      <c r="I2316" t="s">
        <v>53</v>
      </c>
      <c r="J2316" t="s">
        <v>22</v>
      </c>
    </row>
    <row r="2317" spans="1:10" x14ac:dyDescent="0.35">
      <c r="A2317">
        <v>2316</v>
      </c>
      <c r="B2317" s="1" t="s">
        <v>29</v>
      </c>
      <c r="C2317">
        <v>2000</v>
      </c>
      <c r="D2317" s="4">
        <v>1</v>
      </c>
      <c r="E2317" s="5">
        <v>149333</v>
      </c>
      <c r="F2317" s="1" t="s">
        <v>15</v>
      </c>
      <c r="G2317" s="10">
        <v>98190.42</v>
      </c>
      <c r="H2317" s="1" t="s">
        <v>30</v>
      </c>
      <c r="I2317" t="s">
        <v>53</v>
      </c>
      <c r="J2317" t="s">
        <v>22</v>
      </c>
    </row>
    <row r="2318" spans="1:10" x14ac:dyDescent="0.35">
      <c r="A2318">
        <v>2317</v>
      </c>
      <c r="B2318" s="1" t="s">
        <v>27</v>
      </c>
      <c r="C2318">
        <v>2018</v>
      </c>
      <c r="D2318" s="4">
        <v>4.2</v>
      </c>
      <c r="E2318" s="5">
        <v>252646</v>
      </c>
      <c r="F2318" s="1" t="s">
        <v>16</v>
      </c>
      <c r="G2318" s="10">
        <v>66284.800000000003</v>
      </c>
      <c r="H2318" s="1" t="s">
        <v>40</v>
      </c>
      <c r="I2318" t="s">
        <v>53</v>
      </c>
      <c r="J2318" t="s">
        <v>22</v>
      </c>
    </row>
    <row r="2319" spans="1:10" x14ac:dyDescent="0.35">
      <c r="A2319">
        <v>2318</v>
      </c>
      <c r="B2319" s="1" t="s">
        <v>10</v>
      </c>
      <c r="C2319">
        <v>2003</v>
      </c>
      <c r="D2319" s="4">
        <v>3.6</v>
      </c>
      <c r="E2319" s="5">
        <v>86755</v>
      </c>
      <c r="F2319" s="1" t="s">
        <v>16</v>
      </c>
      <c r="G2319" s="10">
        <v>88066.77</v>
      </c>
      <c r="H2319" s="1" t="s">
        <v>17</v>
      </c>
      <c r="I2319" t="s">
        <v>13</v>
      </c>
      <c r="J2319" t="s">
        <v>14</v>
      </c>
    </row>
    <row r="2320" spans="1:10" x14ac:dyDescent="0.35">
      <c r="A2320">
        <v>2319</v>
      </c>
      <c r="B2320" s="1" t="s">
        <v>27</v>
      </c>
      <c r="C2320">
        <v>2016</v>
      </c>
      <c r="D2320" s="4">
        <v>3.2</v>
      </c>
      <c r="E2320" s="5">
        <v>66330</v>
      </c>
      <c r="F2320" s="1" t="s">
        <v>11</v>
      </c>
      <c r="G2320" s="10">
        <v>61879.839999999997</v>
      </c>
      <c r="H2320" s="1" t="s">
        <v>37</v>
      </c>
      <c r="I2320" t="s">
        <v>51</v>
      </c>
      <c r="J2320" t="s">
        <v>22</v>
      </c>
    </row>
    <row r="2321" spans="1:10" x14ac:dyDescent="0.35">
      <c r="A2321">
        <v>2320</v>
      </c>
      <c r="B2321" s="1" t="s">
        <v>25</v>
      </c>
      <c r="C2321">
        <v>2008</v>
      </c>
      <c r="D2321" s="4">
        <v>5.8</v>
      </c>
      <c r="E2321" s="5">
        <v>178438</v>
      </c>
      <c r="F2321" s="1" t="s">
        <v>11</v>
      </c>
      <c r="G2321" s="10">
        <v>70529.86</v>
      </c>
      <c r="H2321" s="1" t="s">
        <v>49</v>
      </c>
      <c r="I2321" t="s">
        <v>51</v>
      </c>
      <c r="J2321" t="s">
        <v>22</v>
      </c>
    </row>
    <row r="2322" spans="1:10" x14ac:dyDescent="0.35">
      <c r="A2322">
        <v>2321</v>
      </c>
      <c r="B2322" s="1" t="s">
        <v>35</v>
      </c>
      <c r="C2322">
        <v>2023</v>
      </c>
      <c r="D2322" s="4">
        <v>3.9</v>
      </c>
      <c r="E2322" s="5">
        <v>45313</v>
      </c>
      <c r="F2322" s="1" t="s">
        <v>16</v>
      </c>
      <c r="G2322" s="10">
        <v>70375.88</v>
      </c>
      <c r="H2322" s="1" t="s">
        <v>36</v>
      </c>
      <c r="I2322" t="s">
        <v>51</v>
      </c>
      <c r="J2322" t="s">
        <v>14</v>
      </c>
    </row>
    <row r="2323" spans="1:10" x14ac:dyDescent="0.35">
      <c r="A2323">
        <v>2322</v>
      </c>
      <c r="B2323" s="1" t="s">
        <v>25</v>
      </c>
      <c r="C2323">
        <v>2001</v>
      </c>
      <c r="D2323" s="4">
        <v>5.3</v>
      </c>
      <c r="E2323" s="5">
        <v>234729</v>
      </c>
      <c r="F2323" s="1" t="s">
        <v>16</v>
      </c>
      <c r="G2323" s="10">
        <v>71954.759999999995</v>
      </c>
      <c r="H2323" s="1" t="s">
        <v>44</v>
      </c>
      <c r="I2323" t="s">
        <v>53</v>
      </c>
      <c r="J2323" t="s">
        <v>22</v>
      </c>
    </row>
    <row r="2324" spans="1:10" x14ac:dyDescent="0.35">
      <c r="A2324">
        <v>2323</v>
      </c>
      <c r="B2324" s="1" t="s">
        <v>23</v>
      </c>
      <c r="C2324">
        <v>2007</v>
      </c>
      <c r="D2324" s="4">
        <v>1.7</v>
      </c>
      <c r="E2324" s="5">
        <v>232783</v>
      </c>
      <c r="F2324" s="1" t="s">
        <v>15</v>
      </c>
      <c r="G2324" s="10">
        <v>35496.28</v>
      </c>
      <c r="H2324" s="1" t="s">
        <v>34</v>
      </c>
      <c r="I2324" t="s">
        <v>53</v>
      </c>
      <c r="J2324" t="s">
        <v>22</v>
      </c>
    </row>
    <row r="2325" spans="1:10" x14ac:dyDescent="0.35">
      <c r="A2325">
        <v>2324</v>
      </c>
      <c r="B2325" s="1" t="s">
        <v>20</v>
      </c>
      <c r="C2325">
        <v>2014</v>
      </c>
      <c r="D2325" s="4">
        <v>3.8</v>
      </c>
      <c r="E2325" s="5">
        <v>289176</v>
      </c>
      <c r="F2325" s="1" t="s">
        <v>16</v>
      </c>
      <c r="G2325" s="10">
        <v>59687.83</v>
      </c>
      <c r="H2325" s="1" t="s">
        <v>21</v>
      </c>
      <c r="I2325" t="s">
        <v>13</v>
      </c>
      <c r="J2325" t="s">
        <v>14</v>
      </c>
    </row>
    <row r="2326" spans="1:10" x14ac:dyDescent="0.35">
      <c r="A2326">
        <v>2325</v>
      </c>
      <c r="B2326" s="1" t="s">
        <v>23</v>
      </c>
      <c r="C2326">
        <v>2006</v>
      </c>
      <c r="D2326" s="4">
        <v>5.3</v>
      </c>
      <c r="E2326" s="5">
        <v>148430</v>
      </c>
      <c r="F2326" s="1" t="s">
        <v>11</v>
      </c>
      <c r="G2326" s="10">
        <v>61442.879999999997</v>
      </c>
      <c r="H2326" s="1" t="s">
        <v>34</v>
      </c>
      <c r="I2326" t="s">
        <v>52</v>
      </c>
      <c r="J2326" t="s">
        <v>22</v>
      </c>
    </row>
    <row r="2327" spans="1:10" x14ac:dyDescent="0.35">
      <c r="A2327">
        <v>2326</v>
      </c>
      <c r="B2327" s="1" t="s">
        <v>10</v>
      </c>
      <c r="C2327">
        <v>2005</v>
      </c>
      <c r="D2327" s="4">
        <v>3.9</v>
      </c>
      <c r="E2327" s="5">
        <v>28365</v>
      </c>
      <c r="F2327" s="1" t="s">
        <v>11</v>
      </c>
      <c r="G2327" s="10">
        <v>34931.800000000003</v>
      </c>
      <c r="H2327" s="1" t="s">
        <v>17</v>
      </c>
      <c r="I2327" t="s">
        <v>13</v>
      </c>
      <c r="J2327" t="s">
        <v>14</v>
      </c>
    </row>
    <row r="2328" spans="1:10" x14ac:dyDescent="0.35">
      <c r="A2328">
        <v>2327</v>
      </c>
      <c r="B2328" s="1" t="s">
        <v>29</v>
      </c>
      <c r="C2328">
        <v>2000</v>
      </c>
      <c r="D2328" s="4">
        <v>4.5999999999999996</v>
      </c>
      <c r="E2328" s="5">
        <v>275333</v>
      </c>
      <c r="F2328" s="1" t="s">
        <v>11</v>
      </c>
      <c r="G2328" s="10">
        <v>38235.97</v>
      </c>
      <c r="H2328" s="1" t="s">
        <v>38</v>
      </c>
      <c r="I2328" t="s">
        <v>53</v>
      </c>
      <c r="J2328" t="s">
        <v>22</v>
      </c>
    </row>
    <row r="2329" spans="1:10" x14ac:dyDescent="0.35">
      <c r="A2329">
        <v>2328</v>
      </c>
      <c r="B2329" s="1" t="s">
        <v>27</v>
      </c>
      <c r="C2329">
        <v>2014</v>
      </c>
      <c r="D2329" s="4">
        <v>2.9</v>
      </c>
      <c r="E2329" s="5">
        <v>7248</v>
      </c>
      <c r="F2329" s="1" t="s">
        <v>11</v>
      </c>
      <c r="G2329" s="10">
        <v>77413.440000000002</v>
      </c>
      <c r="H2329" s="1" t="s">
        <v>37</v>
      </c>
      <c r="I2329" t="s">
        <v>13</v>
      </c>
      <c r="J2329" t="s">
        <v>22</v>
      </c>
    </row>
    <row r="2330" spans="1:10" x14ac:dyDescent="0.35">
      <c r="A2330">
        <v>2329</v>
      </c>
      <c r="B2330" s="1" t="s">
        <v>25</v>
      </c>
      <c r="C2330">
        <v>2022</v>
      </c>
      <c r="D2330" s="4">
        <v>1.5</v>
      </c>
      <c r="E2330" s="5">
        <v>4369</v>
      </c>
      <c r="F2330" s="1" t="s">
        <v>11</v>
      </c>
      <c r="G2330" s="10">
        <v>60358.76</v>
      </c>
      <c r="H2330" s="1" t="s">
        <v>26</v>
      </c>
      <c r="I2330" t="s">
        <v>51</v>
      </c>
      <c r="J2330" t="s">
        <v>22</v>
      </c>
    </row>
    <row r="2331" spans="1:10" x14ac:dyDescent="0.35">
      <c r="A2331">
        <v>2330</v>
      </c>
      <c r="B2331" s="1" t="s">
        <v>25</v>
      </c>
      <c r="C2331">
        <v>2006</v>
      </c>
      <c r="D2331" s="4">
        <v>3.3</v>
      </c>
      <c r="E2331" s="5">
        <v>290749</v>
      </c>
      <c r="F2331" s="1" t="s">
        <v>11</v>
      </c>
      <c r="G2331" s="10">
        <v>19175.060000000001</v>
      </c>
      <c r="H2331" s="1" t="s">
        <v>49</v>
      </c>
      <c r="I2331" t="s">
        <v>53</v>
      </c>
      <c r="J2331" t="s">
        <v>22</v>
      </c>
    </row>
    <row r="2332" spans="1:10" x14ac:dyDescent="0.35">
      <c r="A2332">
        <v>2331</v>
      </c>
      <c r="B2332" s="1" t="s">
        <v>10</v>
      </c>
      <c r="C2332">
        <v>2016</v>
      </c>
      <c r="D2332" s="4">
        <v>3</v>
      </c>
      <c r="E2332" s="5">
        <v>171955</v>
      </c>
      <c r="F2332" s="1" t="s">
        <v>16</v>
      </c>
      <c r="G2332" s="10">
        <v>84575.51</v>
      </c>
      <c r="H2332" s="1" t="s">
        <v>12</v>
      </c>
      <c r="I2332" t="s">
        <v>13</v>
      </c>
      <c r="J2332" t="s">
        <v>14</v>
      </c>
    </row>
    <row r="2333" spans="1:10" x14ac:dyDescent="0.35">
      <c r="A2333">
        <v>2332</v>
      </c>
      <c r="B2333" s="1" t="s">
        <v>25</v>
      </c>
      <c r="C2333">
        <v>2001</v>
      </c>
      <c r="D2333" s="4">
        <v>5.3</v>
      </c>
      <c r="E2333" s="5">
        <v>33055</v>
      </c>
      <c r="F2333" s="1" t="s">
        <v>11</v>
      </c>
      <c r="G2333" s="10">
        <v>88895.86</v>
      </c>
      <c r="H2333" s="1" t="s">
        <v>44</v>
      </c>
      <c r="I2333" t="s">
        <v>52</v>
      </c>
      <c r="J2333" t="s">
        <v>14</v>
      </c>
    </row>
    <row r="2334" spans="1:10" x14ac:dyDescent="0.35">
      <c r="A2334">
        <v>2333</v>
      </c>
      <c r="B2334" s="1" t="s">
        <v>10</v>
      </c>
      <c r="C2334">
        <v>2008</v>
      </c>
      <c r="D2334" s="4">
        <v>2.2000000000000002</v>
      </c>
      <c r="E2334" s="5">
        <v>199803</v>
      </c>
      <c r="F2334" s="1" t="s">
        <v>11</v>
      </c>
      <c r="G2334" s="10">
        <v>49283.41</v>
      </c>
      <c r="H2334" s="1" t="s">
        <v>18</v>
      </c>
      <c r="I2334" t="s">
        <v>13</v>
      </c>
      <c r="J2334" t="s">
        <v>14</v>
      </c>
    </row>
    <row r="2335" spans="1:10" x14ac:dyDescent="0.35">
      <c r="A2335">
        <v>2334</v>
      </c>
      <c r="B2335" s="1" t="s">
        <v>23</v>
      </c>
      <c r="C2335">
        <v>2008</v>
      </c>
      <c r="D2335" s="4">
        <v>5.8</v>
      </c>
      <c r="E2335" s="5">
        <v>269594</v>
      </c>
      <c r="F2335" s="1" t="s">
        <v>11</v>
      </c>
      <c r="G2335" s="10">
        <v>24846.21</v>
      </c>
      <c r="H2335" s="1" t="s">
        <v>34</v>
      </c>
      <c r="I2335" t="s">
        <v>51</v>
      </c>
      <c r="J2335" t="s">
        <v>14</v>
      </c>
    </row>
    <row r="2336" spans="1:10" x14ac:dyDescent="0.35">
      <c r="A2336">
        <v>2335</v>
      </c>
      <c r="B2336" s="1" t="s">
        <v>27</v>
      </c>
      <c r="C2336">
        <v>2012</v>
      </c>
      <c r="D2336" s="4">
        <v>5.8</v>
      </c>
      <c r="E2336" s="5">
        <v>133997</v>
      </c>
      <c r="F2336" s="1" t="s">
        <v>11</v>
      </c>
      <c r="G2336" s="10">
        <v>95022.62</v>
      </c>
      <c r="H2336" s="1" t="s">
        <v>28</v>
      </c>
      <c r="I2336" t="s">
        <v>52</v>
      </c>
      <c r="J2336" t="s">
        <v>14</v>
      </c>
    </row>
    <row r="2337" spans="1:10" x14ac:dyDescent="0.35">
      <c r="A2337">
        <v>2336</v>
      </c>
      <c r="B2337" s="1" t="s">
        <v>20</v>
      </c>
      <c r="C2337">
        <v>2005</v>
      </c>
      <c r="D2337" s="4">
        <v>2.2000000000000002</v>
      </c>
      <c r="E2337" s="5">
        <v>50272</v>
      </c>
      <c r="F2337" s="1" t="s">
        <v>16</v>
      </c>
      <c r="G2337" s="10">
        <v>88815.61</v>
      </c>
      <c r="H2337" s="1" t="s">
        <v>21</v>
      </c>
      <c r="I2337" t="s">
        <v>51</v>
      </c>
      <c r="J2337" t="s">
        <v>22</v>
      </c>
    </row>
    <row r="2338" spans="1:10" x14ac:dyDescent="0.35">
      <c r="A2338">
        <v>2337</v>
      </c>
      <c r="B2338" s="1" t="s">
        <v>29</v>
      </c>
      <c r="C2338">
        <v>2005</v>
      </c>
      <c r="D2338" s="4">
        <v>2.7</v>
      </c>
      <c r="E2338" s="5">
        <v>5310</v>
      </c>
      <c r="F2338" s="1" t="s">
        <v>15</v>
      </c>
      <c r="G2338" s="10">
        <v>28216.27</v>
      </c>
      <c r="H2338" s="1" t="s">
        <v>43</v>
      </c>
      <c r="I2338" t="s">
        <v>51</v>
      </c>
      <c r="J2338" t="s">
        <v>22</v>
      </c>
    </row>
    <row r="2339" spans="1:10" x14ac:dyDescent="0.35">
      <c r="A2339">
        <v>2338</v>
      </c>
      <c r="B2339" s="1" t="s">
        <v>20</v>
      </c>
      <c r="C2339">
        <v>2019</v>
      </c>
      <c r="D2339" s="4">
        <v>5.5</v>
      </c>
      <c r="E2339" s="5">
        <v>31817</v>
      </c>
      <c r="F2339" s="1" t="s">
        <v>15</v>
      </c>
      <c r="G2339" s="10">
        <v>14081.4</v>
      </c>
      <c r="H2339" s="1" t="s">
        <v>46</v>
      </c>
      <c r="I2339" t="s">
        <v>51</v>
      </c>
      <c r="J2339" t="s">
        <v>22</v>
      </c>
    </row>
    <row r="2340" spans="1:10" x14ac:dyDescent="0.35">
      <c r="A2340">
        <v>2339</v>
      </c>
      <c r="B2340" s="1" t="s">
        <v>23</v>
      </c>
      <c r="C2340">
        <v>2019</v>
      </c>
      <c r="D2340" s="4">
        <v>5.8</v>
      </c>
      <c r="E2340" s="5">
        <v>215888</v>
      </c>
      <c r="F2340" s="1" t="s">
        <v>15</v>
      </c>
      <c r="G2340" s="10">
        <v>46862.09</v>
      </c>
      <c r="H2340" s="1" t="s">
        <v>32</v>
      </c>
      <c r="I2340" t="s">
        <v>53</v>
      </c>
      <c r="J2340" t="s">
        <v>22</v>
      </c>
    </row>
    <row r="2341" spans="1:10" x14ac:dyDescent="0.35">
      <c r="A2341">
        <v>2340</v>
      </c>
      <c r="B2341" s="1" t="s">
        <v>29</v>
      </c>
      <c r="C2341">
        <v>2020</v>
      </c>
      <c r="D2341" s="4">
        <v>3.2</v>
      </c>
      <c r="E2341" s="5">
        <v>82641</v>
      </c>
      <c r="F2341" s="1" t="s">
        <v>15</v>
      </c>
      <c r="G2341" s="10">
        <v>69257.710000000006</v>
      </c>
      <c r="H2341" s="1" t="s">
        <v>31</v>
      </c>
      <c r="I2341" t="s">
        <v>51</v>
      </c>
      <c r="J2341" t="s">
        <v>22</v>
      </c>
    </row>
    <row r="2342" spans="1:10" x14ac:dyDescent="0.35">
      <c r="A2342">
        <v>2341</v>
      </c>
      <c r="B2342" s="1" t="s">
        <v>25</v>
      </c>
      <c r="C2342">
        <v>2002</v>
      </c>
      <c r="D2342" s="4">
        <v>2.6</v>
      </c>
      <c r="E2342" s="5">
        <v>215155</v>
      </c>
      <c r="F2342" s="1" t="s">
        <v>11</v>
      </c>
      <c r="G2342" s="10">
        <v>21661.919999999998</v>
      </c>
      <c r="H2342" s="1" t="s">
        <v>26</v>
      </c>
      <c r="I2342" t="s">
        <v>13</v>
      </c>
      <c r="J2342" t="s">
        <v>14</v>
      </c>
    </row>
    <row r="2343" spans="1:10" x14ac:dyDescent="0.35">
      <c r="A2343">
        <v>2342</v>
      </c>
      <c r="B2343" s="1" t="s">
        <v>35</v>
      </c>
      <c r="C2343">
        <v>2016</v>
      </c>
      <c r="D2343" s="4">
        <v>3.6</v>
      </c>
      <c r="E2343" s="5">
        <v>207382</v>
      </c>
      <c r="F2343" s="1" t="s">
        <v>15</v>
      </c>
      <c r="G2343" s="10">
        <v>53755.199999999997</v>
      </c>
      <c r="H2343" s="1" t="s">
        <v>45</v>
      </c>
      <c r="I2343" t="s">
        <v>52</v>
      </c>
      <c r="J2343" t="s">
        <v>14</v>
      </c>
    </row>
    <row r="2344" spans="1:10" x14ac:dyDescent="0.35">
      <c r="A2344">
        <v>2343</v>
      </c>
      <c r="B2344" s="1" t="s">
        <v>23</v>
      </c>
      <c r="C2344">
        <v>2016</v>
      </c>
      <c r="D2344" s="4">
        <v>4.4000000000000004</v>
      </c>
      <c r="E2344" s="5">
        <v>15457</v>
      </c>
      <c r="F2344" s="1" t="s">
        <v>15</v>
      </c>
      <c r="G2344" s="10">
        <v>45414.47</v>
      </c>
      <c r="H2344" s="1" t="s">
        <v>24</v>
      </c>
      <c r="I2344" t="s">
        <v>53</v>
      </c>
      <c r="J2344" t="s">
        <v>22</v>
      </c>
    </row>
    <row r="2345" spans="1:10" x14ac:dyDescent="0.35">
      <c r="A2345">
        <v>2344</v>
      </c>
      <c r="B2345" s="1" t="s">
        <v>23</v>
      </c>
      <c r="C2345">
        <v>2011</v>
      </c>
      <c r="D2345" s="4">
        <v>2.4</v>
      </c>
      <c r="E2345" s="5">
        <v>42311</v>
      </c>
      <c r="F2345" s="1" t="s">
        <v>16</v>
      </c>
      <c r="G2345" s="10">
        <v>89602.36</v>
      </c>
      <c r="H2345" s="1" t="s">
        <v>32</v>
      </c>
      <c r="I2345" t="s">
        <v>52</v>
      </c>
      <c r="J2345" t="s">
        <v>22</v>
      </c>
    </row>
    <row r="2346" spans="1:10" x14ac:dyDescent="0.35">
      <c r="A2346">
        <v>2345</v>
      </c>
      <c r="B2346" s="1" t="s">
        <v>27</v>
      </c>
      <c r="C2346">
        <v>2015</v>
      </c>
      <c r="D2346" s="4">
        <v>4.7</v>
      </c>
      <c r="E2346" s="5">
        <v>151958</v>
      </c>
      <c r="F2346" s="1" t="s">
        <v>16</v>
      </c>
      <c r="G2346" s="10">
        <v>45808.83</v>
      </c>
      <c r="H2346" s="1" t="s">
        <v>40</v>
      </c>
      <c r="I2346" t="s">
        <v>51</v>
      </c>
      <c r="J2346" t="s">
        <v>22</v>
      </c>
    </row>
    <row r="2347" spans="1:10" x14ac:dyDescent="0.35">
      <c r="A2347">
        <v>2346</v>
      </c>
      <c r="B2347" s="1" t="s">
        <v>20</v>
      </c>
      <c r="C2347">
        <v>2014</v>
      </c>
      <c r="D2347" s="4">
        <v>1.3</v>
      </c>
      <c r="E2347" s="5">
        <v>123573</v>
      </c>
      <c r="F2347" s="1" t="s">
        <v>16</v>
      </c>
      <c r="G2347" s="10">
        <v>55708.76</v>
      </c>
      <c r="H2347" s="1" t="s">
        <v>39</v>
      </c>
      <c r="I2347" t="s">
        <v>53</v>
      </c>
      <c r="J2347" t="s">
        <v>14</v>
      </c>
    </row>
    <row r="2348" spans="1:10" x14ac:dyDescent="0.35">
      <c r="A2348">
        <v>2347</v>
      </c>
      <c r="B2348" s="1" t="s">
        <v>23</v>
      </c>
      <c r="C2348">
        <v>2012</v>
      </c>
      <c r="D2348" s="4">
        <v>1.2</v>
      </c>
      <c r="E2348" s="5">
        <v>298325</v>
      </c>
      <c r="F2348" s="1" t="s">
        <v>11</v>
      </c>
      <c r="G2348" s="10">
        <v>95752.19</v>
      </c>
      <c r="H2348" s="1" t="s">
        <v>42</v>
      </c>
      <c r="I2348" t="s">
        <v>13</v>
      </c>
      <c r="J2348" t="s">
        <v>14</v>
      </c>
    </row>
    <row r="2349" spans="1:10" x14ac:dyDescent="0.35">
      <c r="A2349">
        <v>2348</v>
      </c>
      <c r="B2349" s="1" t="s">
        <v>23</v>
      </c>
      <c r="C2349">
        <v>2022</v>
      </c>
      <c r="D2349" s="4">
        <v>2.9</v>
      </c>
      <c r="E2349" s="5">
        <v>164334</v>
      </c>
      <c r="F2349" s="1" t="s">
        <v>11</v>
      </c>
      <c r="G2349" s="10">
        <v>33470.720000000001</v>
      </c>
      <c r="H2349" s="1" t="s">
        <v>34</v>
      </c>
      <c r="I2349" t="s">
        <v>51</v>
      </c>
      <c r="J2349" t="s">
        <v>22</v>
      </c>
    </row>
    <row r="2350" spans="1:10" x14ac:dyDescent="0.35">
      <c r="A2350">
        <v>2349</v>
      </c>
      <c r="B2350" s="1" t="s">
        <v>25</v>
      </c>
      <c r="C2350">
        <v>2000</v>
      </c>
      <c r="D2350" s="4">
        <v>2.8</v>
      </c>
      <c r="E2350" s="5">
        <v>263272</v>
      </c>
      <c r="F2350" s="1" t="s">
        <v>11</v>
      </c>
      <c r="G2350" s="10">
        <v>32454.14</v>
      </c>
      <c r="H2350" s="1" t="s">
        <v>49</v>
      </c>
      <c r="I2350" t="s">
        <v>52</v>
      </c>
      <c r="J2350" t="s">
        <v>14</v>
      </c>
    </row>
    <row r="2351" spans="1:10" x14ac:dyDescent="0.35">
      <c r="A2351">
        <v>2350</v>
      </c>
      <c r="B2351" s="1" t="s">
        <v>25</v>
      </c>
      <c r="C2351">
        <v>2016</v>
      </c>
      <c r="D2351" s="4">
        <v>2.6</v>
      </c>
      <c r="E2351" s="5">
        <v>79522</v>
      </c>
      <c r="F2351" s="1" t="s">
        <v>16</v>
      </c>
      <c r="G2351" s="10">
        <v>80961.53</v>
      </c>
      <c r="H2351" s="1" t="s">
        <v>49</v>
      </c>
      <c r="I2351" t="s">
        <v>13</v>
      </c>
      <c r="J2351" t="s">
        <v>22</v>
      </c>
    </row>
    <row r="2352" spans="1:10" x14ac:dyDescent="0.35">
      <c r="A2352">
        <v>2351</v>
      </c>
      <c r="B2352" s="1" t="s">
        <v>29</v>
      </c>
      <c r="C2352">
        <v>2002</v>
      </c>
      <c r="D2352" s="4">
        <v>3.5</v>
      </c>
      <c r="E2352" s="5">
        <v>163394</v>
      </c>
      <c r="F2352" s="1" t="s">
        <v>15</v>
      </c>
      <c r="G2352" s="10">
        <v>31366.2</v>
      </c>
      <c r="H2352" s="1" t="s">
        <v>30</v>
      </c>
      <c r="I2352" t="s">
        <v>51</v>
      </c>
      <c r="J2352" t="s">
        <v>14</v>
      </c>
    </row>
    <row r="2353" spans="1:10" x14ac:dyDescent="0.35">
      <c r="A2353">
        <v>2352</v>
      </c>
      <c r="B2353" s="1" t="s">
        <v>10</v>
      </c>
      <c r="C2353">
        <v>2014</v>
      </c>
      <c r="D2353" s="4">
        <v>2.6</v>
      </c>
      <c r="E2353" s="5">
        <v>48929</v>
      </c>
      <c r="F2353" s="1" t="s">
        <v>16</v>
      </c>
      <c r="G2353" s="10">
        <v>84027.26</v>
      </c>
      <c r="H2353" s="1" t="s">
        <v>18</v>
      </c>
      <c r="I2353" t="s">
        <v>13</v>
      </c>
      <c r="J2353" t="s">
        <v>14</v>
      </c>
    </row>
    <row r="2354" spans="1:10" x14ac:dyDescent="0.35">
      <c r="A2354">
        <v>2353</v>
      </c>
      <c r="B2354" s="1" t="s">
        <v>10</v>
      </c>
      <c r="C2354">
        <v>2003</v>
      </c>
      <c r="D2354" s="4">
        <v>2</v>
      </c>
      <c r="E2354" s="5">
        <v>81696</v>
      </c>
      <c r="F2354" s="1" t="s">
        <v>11</v>
      </c>
      <c r="G2354" s="10">
        <v>14075.88</v>
      </c>
      <c r="H2354" s="1" t="s">
        <v>18</v>
      </c>
      <c r="I2354" t="s">
        <v>13</v>
      </c>
      <c r="J2354" t="s">
        <v>14</v>
      </c>
    </row>
    <row r="2355" spans="1:10" x14ac:dyDescent="0.35">
      <c r="A2355">
        <v>2354</v>
      </c>
      <c r="B2355" s="1" t="s">
        <v>35</v>
      </c>
      <c r="C2355">
        <v>2003</v>
      </c>
      <c r="D2355" s="4">
        <v>2.5</v>
      </c>
      <c r="E2355" s="5">
        <v>271952</v>
      </c>
      <c r="F2355" s="1" t="s">
        <v>16</v>
      </c>
      <c r="G2355" s="10">
        <v>15569.82</v>
      </c>
      <c r="H2355" s="1" t="s">
        <v>45</v>
      </c>
      <c r="I2355" t="s">
        <v>53</v>
      </c>
      <c r="J2355" t="s">
        <v>14</v>
      </c>
    </row>
    <row r="2356" spans="1:10" x14ac:dyDescent="0.35">
      <c r="A2356">
        <v>2355</v>
      </c>
      <c r="B2356" s="1" t="s">
        <v>10</v>
      </c>
      <c r="C2356">
        <v>2017</v>
      </c>
      <c r="D2356" s="4">
        <v>5.9</v>
      </c>
      <c r="E2356" s="5">
        <v>95148</v>
      </c>
      <c r="F2356" s="1" t="s">
        <v>15</v>
      </c>
      <c r="G2356" s="10">
        <v>90625.72</v>
      </c>
      <c r="H2356" s="1" t="s">
        <v>12</v>
      </c>
      <c r="I2356" t="s">
        <v>13</v>
      </c>
      <c r="J2356" t="s">
        <v>14</v>
      </c>
    </row>
    <row r="2357" spans="1:10" x14ac:dyDescent="0.35">
      <c r="A2357">
        <v>2356</v>
      </c>
      <c r="B2357" s="1" t="s">
        <v>27</v>
      </c>
      <c r="C2357">
        <v>2016</v>
      </c>
      <c r="D2357" s="4">
        <v>3.1</v>
      </c>
      <c r="E2357" s="5">
        <v>283869</v>
      </c>
      <c r="F2357" s="1" t="s">
        <v>11</v>
      </c>
      <c r="G2357" s="10">
        <v>56377.17</v>
      </c>
      <c r="H2357" s="1" t="s">
        <v>28</v>
      </c>
      <c r="I2357" t="s">
        <v>53</v>
      </c>
      <c r="J2357" t="s">
        <v>22</v>
      </c>
    </row>
    <row r="2358" spans="1:10" x14ac:dyDescent="0.35">
      <c r="A2358">
        <v>2357</v>
      </c>
      <c r="B2358" s="1" t="s">
        <v>35</v>
      </c>
      <c r="C2358">
        <v>2018</v>
      </c>
      <c r="D2358" s="4">
        <v>3.2</v>
      </c>
      <c r="E2358" s="5">
        <v>220026</v>
      </c>
      <c r="F2358" s="1" t="s">
        <v>15</v>
      </c>
      <c r="G2358" s="10">
        <v>73287.360000000001</v>
      </c>
      <c r="H2358" s="1" t="s">
        <v>47</v>
      </c>
      <c r="I2358" t="s">
        <v>51</v>
      </c>
      <c r="J2358" t="s">
        <v>14</v>
      </c>
    </row>
    <row r="2359" spans="1:10" x14ac:dyDescent="0.35">
      <c r="A2359">
        <v>2358</v>
      </c>
      <c r="B2359" s="1" t="s">
        <v>29</v>
      </c>
      <c r="C2359">
        <v>2010</v>
      </c>
      <c r="D2359" s="4">
        <v>3.9</v>
      </c>
      <c r="E2359" s="5">
        <v>83576</v>
      </c>
      <c r="F2359" s="1" t="s">
        <v>15</v>
      </c>
      <c r="G2359" s="10">
        <v>26402.44</v>
      </c>
      <c r="H2359" s="1" t="s">
        <v>31</v>
      </c>
      <c r="I2359" t="s">
        <v>51</v>
      </c>
      <c r="J2359" t="s">
        <v>22</v>
      </c>
    </row>
    <row r="2360" spans="1:10" x14ac:dyDescent="0.35">
      <c r="A2360">
        <v>2359</v>
      </c>
      <c r="B2360" s="1" t="s">
        <v>25</v>
      </c>
      <c r="C2360">
        <v>2019</v>
      </c>
      <c r="D2360" s="4">
        <v>5.9</v>
      </c>
      <c r="E2360" s="5">
        <v>20557</v>
      </c>
      <c r="F2360" s="1" t="s">
        <v>11</v>
      </c>
      <c r="G2360" s="10">
        <v>20796.060000000001</v>
      </c>
      <c r="H2360" s="1" t="s">
        <v>41</v>
      </c>
      <c r="I2360" t="s">
        <v>52</v>
      </c>
      <c r="J2360" t="s">
        <v>14</v>
      </c>
    </row>
    <row r="2361" spans="1:10" x14ac:dyDescent="0.35">
      <c r="A2361">
        <v>2360</v>
      </c>
      <c r="B2361" s="1" t="s">
        <v>10</v>
      </c>
      <c r="C2361">
        <v>2002</v>
      </c>
      <c r="D2361" s="4">
        <v>2.2000000000000002</v>
      </c>
      <c r="E2361" s="5">
        <v>21825</v>
      </c>
      <c r="F2361" s="1" t="s">
        <v>15</v>
      </c>
      <c r="G2361" s="10">
        <v>84320.65</v>
      </c>
      <c r="H2361" s="1" t="s">
        <v>17</v>
      </c>
      <c r="I2361" t="s">
        <v>13</v>
      </c>
      <c r="J2361" t="s">
        <v>14</v>
      </c>
    </row>
    <row r="2362" spans="1:10" x14ac:dyDescent="0.35">
      <c r="A2362">
        <v>2361</v>
      </c>
      <c r="B2362" s="1" t="s">
        <v>20</v>
      </c>
      <c r="C2362">
        <v>2007</v>
      </c>
      <c r="D2362" s="4">
        <v>4.4000000000000004</v>
      </c>
      <c r="E2362" s="5">
        <v>271142</v>
      </c>
      <c r="F2362" s="1" t="s">
        <v>16</v>
      </c>
      <c r="G2362" s="10">
        <v>39069.22</v>
      </c>
      <c r="H2362" s="1" t="s">
        <v>46</v>
      </c>
      <c r="I2362" t="s">
        <v>13</v>
      </c>
      <c r="J2362" t="s">
        <v>22</v>
      </c>
    </row>
    <row r="2363" spans="1:10" x14ac:dyDescent="0.35">
      <c r="A2363">
        <v>2362</v>
      </c>
      <c r="B2363" s="1" t="s">
        <v>25</v>
      </c>
      <c r="C2363">
        <v>2013</v>
      </c>
      <c r="D2363" s="4">
        <v>4.5999999999999996</v>
      </c>
      <c r="E2363" s="5">
        <v>36080</v>
      </c>
      <c r="F2363" s="1" t="s">
        <v>15</v>
      </c>
      <c r="G2363" s="10">
        <v>48228.1</v>
      </c>
      <c r="H2363" s="1" t="s">
        <v>49</v>
      </c>
      <c r="I2363" t="s">
        <v>13</v>
      </c>
      <c r="J2363" t="s">
        <v>14</v>
      </c>
    </row>
    <row r="2364" spans="1:10" x14ac:dyDescent="0.35">
      <c r="A2364">
        <v>2363</v>
      </c>
      <c r="B2364" s="1" t="s">
        <v>27</v>
      </c>
      <c r="C2364">
        <v>2000</v>
      </c>
      <c r="D2364" s="4">
        <v>4</v>
      </c>
      <c r="E2364" s="5">
        <v>258815</v>
      </c>
      <c r="F2364" s="1" t="s">
        <v>15</v>
      </c>
      <c r="G2364" s="10">
        <v>7657.33</v>
      </c>
      <c r="H2364" s="1" t="s">
        <v>40</v>
      </c>
      <c r="I2364" t="s">
        <v>51</v>
      </c>
      <c r="J2364" t="s">
        <v>14</v>
      </c>
    </row>
    <row r="2365" spans="1:10" x14ac:dyDescent="0.35">
      <c r="A2365">
        <v>2364</v>
      </c>
      <c r="B2365" s="1" t="s">
        <v>25</v>
      </c>
      <c r="C2365">
        <v>2013</v>
      </c>
      <c r="D2365" s="4">
        <v>1.4</v>
      </c>
      <c r="E2365" s="5">
        <v>188869</v>
      </c>
      <c r="F2365" s="1" t="s">
        <v>15</v>
      </c>
      <c r="G2365" s="10">
        <v>41658.67</v>
      </c>
      <c r="H2365" s="1" t="s">
        <v>44</v>
      </c>
      <c r="I2365" t="s">
        <v>51</v>
      </c>
      <c r="J2365" t="s">
        <v>22</v>
      </c>
    </row>
    <row r="2366" spans="1:10" x14ac:dyDescent="0.35">
      <c r="A2366">
        <v>2365</v>
      </c>
      <c r="B2366" s="1" t="s">
        <v>27</v>
      </c>
      <c r="C2366">
        <v>2001</v>
      </c>
      <c r="D2366" s="4">
        <v>4.4000000000000004</v>
      </c>
      <c r="E2366" s="5">
        <v>146874</v>
      </c>
      <c r="F2366" s="1" t="s">
        <v>16</v>
      </c>
      <c r="G2366" s="10">
        <v>78191.59</v>
      </c>
      <c r="H2366" s="1" t="s">
        <v>28</v>
      </c>
      <c r="I2366" t="s">
        <v>51</v>
      </c>
      <c r="J2366" t="s">
        <v>14</v>
      </c>
    </row>
    <row r="2367" spans="1:10" x14ac:dyDescent="0.35">
      <c r="A2367">
        <v>2366</v>
      </c>
      <c r="B2367" s="1" t="s">
        <v>27</v>
      </c>
      <c r="C2367">
        <v>2022</v>
      </c>
      <c r="D2367" s="4">
        <v>1.3</v>
      </c>
      <c r="E2367" s="5">
        <v>42407</v>
      </c>
      <c r="F2367" s="1" t="s">
        <v>15</v>
      </c>
      <c r="G2367" s="10">
        <v>83021.14</v>
      </c>
      <c r="H2367" s="1" t="s">
        <v>37</v>
      </c>
      <c r="I2367" t="s">
        <v>53</v>
      </c>
      <c r="J2367" t="s">
        <v>14</v>
      </c>
    </row>
    <row r="2368" spans="1:10" x14ac:dyDescent="0.35">
      <c r="A2368">
        <v>2367</v>
      </c>
      <c r="B2368" s="1" t="s">
        <v>27</v>
      </c>
      <c r="C2368">
        <v>2003</v>
      </c>
      <c r="D2368" s="4">
        <v>4</v>
      </c>
      <c r="E2368" s="5">
        <v>120283</v>
      </c>
      <c r="F2368" s="1" t="s">
        <v>15</v>
      </c>
      <c r="G2368" s="10">
        <v>71381.7</v>
      </c>
      <c r="H2368" s="1" t="s">
        <v>40</v>
      </c>
      <c r="I2368" t="s">
        <v>53</v>
      </c>
      <c r="J2368" t="s">
        <v>14</v>
      </c>
    </row>
    <row r="2369" spans="1:10" x14ac:dyDescent="0.35">
      <c r="A2369">
        <v>2368</v>
      </c>
      <c r="B2369" s="1" t="s">
        <v>29</v>
      </c>
      <c r="C2369">
        <v>2023</v>
      </c>
      <c r="D2369" s="4">
        <v>4.7</v>
      </c>
      <c r="E2369" s="5">
        <v>13338</v>
      </c>
      <c r="F2369" s="1" t="s">
        <v>16</v>
      </c>
      <c r="G2369" s="10">
        <v>70757.070000000007</v>
      </c>
      <c r="H2369" s="1" t="s">
        <v>38</v>
      </c>
      <c r="I2369" t="s">
        <v>52</v>
      </c>
      <c r="J2369" t="s">
        <v>22</v>
      </c>
    </row>
    <row r="2370" spans="1:10" x14ac:dyDescent="0.35">
      <c r="A2370">
        <v>2369</v>
      </c>
      <c r="B2370" s="1" t="s">
        <v>27</v>
      </c>
      <c r="C2370">
        <v>2018</v>
      </c>
      <c r="D2370" s="4">
        <v>2.1</v>
      </c>
      <c r="E2370" s="5">
        <v>76289</v>
      </c>
      <c r="F2370" s="1" t="s">
        <v>11</v>
      </c>
      <c r="G2370" s="10">
        <v>53092.73</v>
      </c>
      <c r="H2370" s="1" t="s">
        <v>40</v>
      </c>
      <c r="I2370" t="s">
        <v>51</v>
      </c>
      <c r="J2370" t="s">
        <v>22</v>
      </c>
    </row>
    <row r="2371" spans="1:10" x14ac:dyDescent="0.35">
      <c r="A2371">
        <v>2370</v>
      </c>
      <c r="B2371" s="1" t="s">
        <v>27</v>
      </c>
      <c r="C2371">
        <v>2005</v>
      </c>
      <c r="D2371" s="4">
        <v>5.2</v>
      </c>
      <c r="E2371" s="5">
        <v>149967</v>
      </c>
      <c r="F2371" s="1" t="s">
        <v>11</v>
      </c>
      <c r="G2371" s="10">
        <v>56141.29</v>
      </c>
      <c r="H2371" s="1" t="s">
        <v>48</v>
      </c>
      <c r="I2371" t="s">
        <v>13</v>
      </c>
      <c r="J2371" t="s">
        <v>22</v>
      </c>
    </row>
    <row r="2372" spans="1:10" x14ac:dyDescent="0.35">
      <c r="A2372">
        <v>2371</v>
      </c>
      <c r="B2372" s="1" t="s">
        <v>20</v>
      </c>
      <c r="C2372">
        <v>2000</v>
      </c>
      <c r="D2372" s="4">
        <v>1.2</v>
      </c>
      <c r="E2372" s="5">
        <v>178982</v>
      </c>
      <c r="F2372" s="1" t="s">
        <v>11</v>
      </c>
      <c r="G2372" s="10">
        <v>75550.02</v>
      </c>
      <c r="H2372" s="1" t="s">
        <v>33</v>
      </c>
      <c r="I2372" t="s">
        <v>13</v>
      </c>
      <c r="J2372" t="s">
        <v>14</v>
      </c>
    </row>
    <row r="2373" spans="1:10" x14ac:dyDescent="0.35">
      <c r="A2373">
        <v>2372</v>
      </c>
      <c r="B2373" s="1" t="s">
        <v>35</v>
      </c>
      <c r="C2373">
        <v>2016</v>
      </c>
      <c r="D2373" s="4">
        <v>5.2</v>
      </c>
      <c r="E2373" s="5">
        <v>109367</v>
      </c>
      <c r="F2373" s="1" t="s">
        <v>15</v>
      </c>
      <c r="G2373" s="10">
        <v>28493.67</v>
      </c>
      <c r="H2373" s="1" t="s">
        <v>47</v>
      </c>
      <c r="I2373" t="s">
        <v>52</v>
      </c>
      <c r="J2373" t="s">
        <v>14</v>
      </c>
    </row>
    <row r="2374" spans="1:10" x14ac:dyDescent="0.35">
      <c r="A2374">
        <v>2373</v>
      </c>
      <c r="B2374" s="1" t="s">
        <v>23</v>
      </c>
      <c r="C2374">
        <v>2007</v>
      </c>
      <c r="D2374" s="4">
        <v>3.3</v>
      </c>
      <c r="E2374" s="5">
        <v>117486</v>
      </c>
      <c r="F2374" s="1" t="s">
        <v>11</v>
      </c>
      <c r="G2374" s="10">
        <v>26994.12</v>
      </c>
      <c r="H2374" s="1" t="s">
        <v>42</v>
      </c>
      <c r="I2374" t="s">
        <v>13</v>
      </c>
      <c r="J2374" t="s">
        <v>22</v>
      </c>
    </row>
    <row r="2375" spans="1:10" x14ac:dyDescent="0.35">
      <c r="A2375">
        <v>2374</v>
      </c>
      <c r="B2375" s="1" t="s">
        <v>35</v>
      </c>
      <c r="C2375">
        <v>2018</v>
      </c>
      <c r="D2375" s="4">
        <v>2.1</v>
      </c>
      <c r="E2375" s="5">
        <v>214209</v>
      </c>
      <c r="F2375" s="1" t="s">
        <v>16</v>
      </c>
      <c r="G2375" s="10">
        <v>95242.86</v>
      </c>
      <c r="H2375" s="1" t="s">
        <v>45</v>
      </c>
      <c r="I2375" t="s">
        <v>52</v>
      </c>
      <c r="J2375" t="s">
        <v>22</v>
      </c>
    </row>
    <row r="2376" spans="1:10" x14ac:dyDescent="0.35">
      <c r="A2376">
        <v>2375</v>
      </c>
      <c r="B2376" s="1" t="s">
        <v>27</v>
      </c>
      <c r="C2376">
        <v>2020</v>
      </c>
      <c r="D2376" s="4">
        <v>1.7</v>
      </c>
      <c r="E2376" s="5">
        <v>256055</v>
      </c>
      <c r="F2376" s="1" t="s">
        <v>15</v>
      </c>
      <c r="G2376" s="10">
        <v>7630.54</v>
      </c>
      <c r="H2376" s="1" t="s">
        <v>37</v>
      </c>
      <c r="I2376" t="s">
        <v>51</v>
      </c>
      <c r="J2376" t="s">
        <v>14</v>
      </c>
    </row>
    <row r="2377" spans="1:10" x14ac:dyDescent="0.35">
      <c r="A2377">
        <v>2376</v>
      </c>
      <c r="B2377" s="1" t="s">
        <v>20</v>
      </c>
      <c r="C2377">
        <v>2000</v>
      </c>
      <c r="D2377" s="4">
        <v>5.8</v>
      </c>
      <c r="E2377" s="5">
        <v>136421</v>
      </c>
      <c r="F2377" s="1" t="s">
        <v>15</v>
      </c>
      <c r="G2377" s="10">
        <v>18249.22</v>
      </c>
      <c r="H2377" s="1" t="s">
        <v>46</v>
      </c>
      <c r="I2377" t="s">
        <v>13</v>
      </c>
      <c r="J2377" t="s">
        <v>14</v>
      </c>
    </row>
    <row r="2378" spans="1:10" x14ac:dyDescent="0.35">
      <c r="A2378">
        <v>2377</v>
      </c>
      <c r="B2378" s="1" t="s">
        <v>25</v>
      </c>
      <c r="C2378">
        <v>2004</v>
      </c>
      <c r="D2378" s="4">
        <v>1.4</v>
      </c>
      <c r="E2378" s="5">
        <v>153535</v>
      </c>
      <c r="F2378" s="1" t="s">
        <v>15</v>
      </c>
      <c r="G2378" s="10">
        <v>59181.58</v>
      </c>
      <c r="H2378" s="1" t="s">
        <v>44</v>
      </c>
      <c r="I2378" t="s">
        <v>51</v>
      </c>
      <c r="J2378" t="s">
        <v>14</v>
      </c>
    </row>
    <row r="2379" spans="1:10" x14ac:dyDescent="0.35">
      <c r="A2379">
        <v>2378</v>
      </c>
      <c r="B2379" s="1" t="s">
        <v>20</v>
      </c>
      <c r="C2379">
        <v>2015</v>
      </c>
      <c r="D2379" s="4">
        <v>2</v>
      </c>
      <c r="E2379" s="5">
        <v>74935</v>
      </c>
      <c r="F2379" s="1" t="s">
        <v>11</v>
      </c>
      <c r="G2379" s="10">
        <v>75094.31</v>
      </c>
      <c r="H2379" s="1" t="s">
        <v>46</v>
      </c>
      <c r="I2379" t="s">
        <v>53</v>
      </c>
      <c r="J2379" t="s">
        <v>14</v>
      </c>
    </row>
    <row r="2380" spans="1:10" x14ac:dyDescent="0.35">
      <c r="A2380">
        <v>2379</v>
      </c>
      <c r="B2380" s="1" t="s">
        <v>27</v>
      </c>
      <c r="C2380">
        <v>2005</v>
      </c>
      <c r="D2380" s="4">
        <v>2.7</v>
      </c>
      <c r="E2380" s="5">
        <v>189864</v>
      </c>
      <c r="F2380" s="1" t="s">
        <v>11</v>
      </c>
      <c r="G2380" s="10">
        <v>56099.65</v>
      </c>
      <c r="H2380" s="1" t="s">
        <v>48</v>
      </c>
      <c r="I2380" t="s">
        <v>13</v>
      </c>
      <c r="J2380" t="s">
        <v>22</v>
      </c>
    </row>
    <row r="2381" spans="1:10" x14ac:dyDescent="0.35">
      <c r="A2381">
        <v>2380</v>
      </c>
      <c r="B2381" s="1" t="s">
        <v>20</v>
      </c>
      <c r="C2381">
        <v>2007</v>
      </c>
      <c r="D2381" s="4">
        <v>4.0999999999999996</v>
      </c>
      <c r="E2381" s="5">
        <v>275830</v>
      </c>
      <c r="F2381" s="1" t="s">
        <v>11</v>
      </c>
      <c r="G2381" s="10">
        <v>38731.08</v>
      </c>
      <c r="H2381" s="1" t="s">
        <v>21</v>
      </c>
      <c r="I2381" t="s">
        <v>53</v>
      </c>
      <c r="J2381" t="s">
        <v>14</v>
      </c>
    </row>
    <row r="2382" spans="1:10" x14ac:dyDescent="0.35">
      <c r="A2382">
        <v>2381</v>
      </c>
      <c r="B2382" s="1" t="s">
        <v>10</v>
      </c>
      <c r="C2382">
        <v>2012</v>
      </c>
      <c r="D2382" s="4">
        <v>3.7</v>
      </c>
      <c r="E2382" s="5">
        <v>63528</v>
      </c>
      <c r="F2382" s="1" t="s">
        <v>15</v>
      </c>
      <c r="G2382" s="10">
        <v>97907.73</v>
      </c>
      <c r="H2382" s="1" t="s">
        <v>19</v>
      </c>
      <c r="I2382" t="s">
        <v>13</v>
      </c>
      <c r="J2382" t="s">
        <v>14</v>
      </c>
    </row>
    <row r="2383" spans="1:10" x14ac:dyDescent="0.35">
      <c r="A2383">
        <v>2382</v>
      </c>
      <c r="B2383" s="1" t="s">
        <v>20</v>
      </c>
      <c r="C2383">
        <v>2015</v>
      </c>
      <c r="D2383" s="4">
        <v>1.6</v>
      </c>
      <c r="E2383" s="5">
        <v>99811</v>
      </c>
      <c r="F2383" s="1" t="s">
        <v>16</v>
      </c>
      <c r="G2383" s="10">
        <v>71866.009999999995</v>
      </c>
      <c r="H2383" s="1" t="s">
        <v>46</v>
      </c>
      <c r="I2383" t="s">
        <v>51</v>
      </c>
      <c r="J2383" t="s">
        <v>22</v>
      </c>
    </row>
    <row r="2384" spans="1:10" x14ac:dyDescent="0.35">
      <c r="A2384">
        <v>2383</v>
      </c>
      <c r="B2384" s="1" t="s">
        <v>27</v>
      </c>
      <c r="C2384">
        <v>2002</v>
      </c>
      <c r="D2384" s="4">
        <v>2.4</v>
      </c>
      <c r="E2384" s="5">
        <v>284931</v>
      </c>
      <c r="F2384" s="1" t="s">
        <v>15</v>
      </c>
      <c r="G2384" s="10">
        <v>83982.13</v>
      </c>
      <c r="H2384" s="1" t="s">
        <v>37</v>
      </c>
      <c r="I2384" t="s">
        <v>52</v>
      </c>
      <c r="J2384" t="s">
        <v>22</v>
      </c>
    </row>
    <row r="2385" spans="1:10" x14ac:dyDescent="0.35">
      <c r="A2385">
        <v>2384</v>
      </c>
      <c r="B2385" s="1" t="s">
        <v>29</v>
      </c>
      <c r="C2385">
        <v>2018</v>
      </c>
      <c r="D2385" s="4">
        <v>2.2000000000000002</v>
      </c>
      <c r="E2385" s="5">
        <v>188499</v>
      </c>
      <c r="F2385" s="1" t="s">
        <v>16</v>
      </c>
      <c r="G2385" s="10">
        <v>8823.4500000000007</v>
      </c>
      <c r="H2385" s="1" t="s">
        <v>30</v>
      </c>
      <c r="I2385" t="s">
        <v>51</v>
      </c>
      <c r="J2385" t="s">
        <v>14</v>
      </c>
    </row>
    <row r="2386" spans="1:10" x14ac:dyDescent="0.35">
      <c r="A2386">
        <v>2385</v>
      </c>
      <c r="B2386" s="1" t="s">
        <v>10</v>
      </c>
      <c r="C2386">
        <v>2011</v>
      </c>
      <c r="D2386" s="4">
        <v>2.1</v>
      </c>
      <c r="E2386" s="5">
        <v>260141</v>
      </c>
      <c r="F2386" s="1" t="s">
        <v>15</v>
      </c>
      <c r="G2386" s="10">
        <v>27412.41</v>
      </c>
      <c r="H2386" s="1" t="s">
        <v>19</v>
      </c>
      <c r="I2386" t="s">
        <v>13</v>
      </c>
      <c r="J2386" t="s">
        <v>14</v>
      </c>
    </row>
    <row r="2387" spans="1:10" x14ac:dyDescent="0.35">
      <c r="A2387">
        <v>2386</v>
      </c>
      <c r="B2387" s="1" t="s">
        <v>20</v>
      </c>
      <c r="C2387">
        <v>2015</v>
      </c>
      <c r="D2387" s="4">
        <v>3.1</v>
      </c>
      <c r="E2387" s="5">
        <v>104887</v>
      </c>
      <c r="F2387" s="1" t="s">
        <v>16</v>
      </c>
      <c r="G2387" s="10">
        <v>40546.25</v>
      </c>
      <c r="H2387" s="1" t="s">
        <v>39</v>
      </c>
      <c r="I2387" t="s">
        <v>51</v>
      </c>
      <c r="J2387" t="s">
        <v>14</v>
      </c>
    </row>
    <row r="2388" spans="1:10" x14ac:dyDescent="0.35">
      <c r="A2388">
        <v>2387</v>
      </c>
      <c r="B2388" s="1" t="s">
        <v>23</v>
      </c>
      <c r="C2388">
        <v>2010</v>
      </c>
      <c r="D2388" s="4">
        <v>4.5</v>
      </c>
      <c r="E2388" s="5">
        <v>61086</v>
      </c>
      <c r="F2388" s="1" t="s">
        <v>15</v>
      </c>
      <c r="G2388" s="10">
        <v>22347.13</v>
      </c>
      <c r="H2388" s="1" t="s">
        <v>32</v>
      </c>
      <c r="I2388" t="s">
        <v>13</v>
      </c>
      <c r="J2388" t="s">
        <v>14</v>
      </c>
    </row>
    <row r="2389" spans="1:10" x14ac:dyDescent="0.35">
      <c r="A2389">
        <v>2388</v>
      </c>
      <c r="B2389" s="1" t="s">
        <v>23</v>
      </c>
      <c r="C2389">
        <v>2009</v>
      </c>
      <c r="D2389" s="4">
        <v>2.1</v>
      </c>
      <c r="E2389" s="5">
        <v>255494</v>
      </c>
      <c r="F2389" s="1" t="s">
        <v>15</v>
      </c>
      <c r="G2389" s="10">
        <v>11925.43</v>
      </c>
      <c r="H2389" s="1" t="s">
        <v>34</v>
      </c>
      <c r="I2389" t="s">
        <v>52</v>
      </c>
      <c r="J2389" t="s">
        <v>22</v>
      </c>
    </row>
    <row r="2390" spans="1:10" x14ac:dyDescent="0.35">
      <c r="A2390">
        <v>2389</v>
      </c>
      <c r="B2390" s="1" t="s">
        <v>20</v>
      </c>
      <c r="C2390">
        <v>2019</v>
      </c>
      <c r="D2390" s="4">
        <v>2.8</v>
      </c>
      <c r="E2390" s="5">
        <v>63308</v>
      </c>
      <c r="F2390" s="1" t="s">
        <v>16</v>
      </c>
      <c r="G2390" s="10">
        <v>26383.71</v>
      </c>
      <c r="H2390" s="1" t="s">
        <v>33</v>
      </c>
      <c r="I2390" t="s">
        <v>53</v>
      </c>
      <c r="J2390" t="s">
        <v>22</v>
      </c>
    </row>
    <row r="2391" spans="1:10" x14ac:dyDescent="0.35">
      <c r="A2391">
        <v>2390</v>
      </c>
      <c r="B2391" s="1" t="s">
        <v>29</v>
      </c>
      <c r="C2391">
        <v>2003</v>
      </c>
      <c r="D2391" s="4">
        <v>3</v>
      </c>
      <c r="E2391" s="5">
        <v>277941</v>
      </c>
      <c r="F2391" s="1" t="s">
        <v>16</v>
      </c>
      <c r="G2391" s="10">
        <v>55695.38</v>
      </c>
      <c r="H2391" s="1" t="s">
        <v>30</v>
      </c>
      <c r="I2391" t="s">
        <v>51</v>
      </c>
      <c r="J2391" t="s">
        <v>14</v>
      </c>
    </row>
    <row r="2392" spans="1:10" x14ac:dyDescent="0.35">
      <c r="A2392">
        <v>2391</v>
      </c>
      <c r="B2392" s="1" t="s">
        <v>25</v>
      </c>
      <c r="C2392">
        <v>2011</v>
      </c>
      <c r="D2392" s="4">
        <v>5.9</v>
      </c>
      <c r="E2392" s="5">
        <v>267446</v>
      </c>
      <c r="F2392" s="1" t="s">
        <v>16</v>
      </c>
      <c r="G2392" s="10">
        <v>71095.8</v>
      </c>
      <c r="H2392" s="1" t="s">
        <v>26</v>
      </c>
      <c r="I2392" t="s">
        <v>13</v>
      </c>
      <c r="J2392" t="s">
        <v>22</v>
      </c>
    </row>
    <row r="2393" spans="1:10" x14ac:dyDescent="0.35">
      <c r="A2393">
        <v>2392</v>
      </c>
      <c r="B2393" s="1" t="s">
        <v>27</v>
      </c>
      <c r="C2393">
        <v>2022</v>
      </c>
      <c r="D2393" s="4">
        <v>5.8</v>
      </c>
      <c r="E2393" s="5">
        <v>38059</v>
      </c>
      <c r="F2393" s="1" t="s">
        <v>16</v>
      </c>
      <c r="G2393" s="10">
        <v>78531.990000000005</v>
      </c>
      <c r="H2393" s="1" t="s">
        <v>48</v>
      </c>
      <c r="I2393" t="s">
        <v>53</v>
      </c>
      <c r="J2393" t="s">
        <v>14</v>
      </c>
    </row>
    <row r="2394" spans="1:10" x14ac:dyDescent="0.35">
      <c r="A2394">
        <v>2393</v>
      </c>
      <c r="B2394" s="1" t="s">
        <v>23</v>
      </c>
      <c r="C2394">
        <v>2001</v>
      </c>
      <c r="D2394" s="4">
        <v>5</v>
      </c>
      <c r="E2394" s="5">
        <v>131980</v>
      </c>
      <c r="F2394" s="1" t="s">
        <v>16</v>
      </c>
      <c r="G2394" s="10">
        <v>9078.93</v>
      </c>
      <c r="H2394" s="1" t="s">
        <v>24</v>
      </c>
      <c r="I2394" t="s">
        <v>51</v>
      </c>
      <c r="J2394" t="s">
        <v>14</v>
      </c>
    </row>
    <row r="2395" spans="1:10" x14ac:dyDescent="0.35">
      <c r="A2395">
        <v>2394</v>
      </c>
      <c r="B2395" s="1" t="s">
        <v>25</v>
      </c>
      <c r="C2395">
        <v>2023</v>
      </c>
      <c r="D2395" s="4">
        <v>2.2000000000000002</v>
      </c>
      <c r="E2395" s="5">
        <v>191324</v>
      </c>
      <c r="F2395" s="1" t="s">
        <v>16</v>
      </c>
      <c r="G2395" s="10">
        <v>45658.69</v>
      </c>
      <c r="H2395" s="1" t="s">
        <v>26</v>
      </c>
      <c r="I2395" t="s">
        <v>53</v>
      </c>
      <c r="J2395" t="s">
        <v>14</v>
      </c>
    </row>
    <row r="2396" spans="1:10" x14ac:dyDescent="0.35">
      <c r="A2396">
        <v>2395</v>
      </c>
      <c r="B2396" s="1" t="s">
        <v>20</v>
      </c>
      <c r="C2396">
        <v>2021</v>
      </c>
      <c r="D2396" s="4">
        <v>1.3</v>
      </c>
      <c r="E2396" s="5">
        <v>143949</v>
      </c>
      <c r="F2396" s="1" t="s">
        <v>16</v>
      </c>
      <c r="G2396" s="10">
        <v>16610.099999999999</v>
      </c>
      <c r="H2396" s="1" t="s">
        <v>39</v>
      </c>
      <c r="I2396" t="s">
        <v>51</v>
      </c>
      <c r="J2396" t="s">
        <v>22</v>
      </c>
    </row>
    <row r="2397" spans="1:10" x14ac:dyDescent="0.35">
      <c r="A2397">
        <v>2396</v>
      </c>
      <c r="B2397" s="1" t="s">
        <v>25</v>
      </c>
      <c r="C2397">
        <v>2018</v>
      </c>
      <c r="D2397" s="4">
        <v>2.6</v>
      </c>
      <c r="E2397" s="5">
        <v>276383</v>
      </c>
      <c r="F2397" s="1" t="s">
        <v>16</v>
      </c>
      <c r="G2397" s="10">
        <v>45964.04</v>
      </c>
      <c r="H2397" s="1" t="s">
        <v>26</v>
      </c>
      <c r="I2397" t="s">
        <v>53</v>
      </c>
      <c r="J2397" t="s">
        <v>14</v>
      </c>
    </row>
    <row r="2398" spans="1:10" x14ac:dyDescent="0.35">
      <c r="A2398">
        <v>2397</v>
      </c>
      <c r="B2398" s="1" t="s">
        <v>10</v>
      </c>
      <c r="C2398">
        <v>2004</v>
      </c>
      <c r="D2398" s="4">
        <v>2.2999999999999998</v>
      </c>
      <c r="E2398" s="5">
        <v>27313</v>
      </c>
      <c r="F2398" s="1" t="s">
        <v>15</v>
      </c>
      <c r="G2398" s="10">
        <v>46227.71</v>
      </c>
      <c r="H2398" s="1" t="s">
        <v>17</v>
      </c>
      <c r="I2398" t="s">
        <v>13</v>
      </c>
      <c r="J2398" t="s">
        <v>14</v>
      </c>
    </row>
    <row r="2399" spans="1:10" x14ac:dyDescent="0.35">
      <c r="A2399">
        <v>2398</v>
      </c>
      <c r="B2399" s="1" t="s">
        <v>35</v>
      </c>
      <c r="C2399">
        <v>2007</v>
      </c>
      <c r="D2399" s="4">
        <v>3.5</v>
      </c>
      <c r="E2399" s="5">
        <v>42103</v>
      </c>
      <c r="F2399" s="1" t="s">
        <v>16</v>
      </c>
      <c r="G2399" s="10">
        <v>52330.11</v>
      </c>
      <c r="H2399" s="1" t="s">
        <v>50</v>
      </c>
      <c r="I2399" t="s">
        <v>52</v>
      </c>
      <c r="J2399" t="s">
        <v>14</v>
      </c>
    </row>
    <row r="2400" spans="1:10" x14ac:dyDescent="0.35">
      <c r="A2400">
        <v>2399</v>
      </c>
      <c r="B2400" s="1" t="s">
        <v>23</v>
      </c>
      <c r="C2400">
        <v>2006</v>
      </c>
      <c r="D2400" s="4">
        <v>4.9000000000000004</v>
      </c>
      <c r="E2400" s="5">
        <v>179480</v>
      </c>
      <c r="F2400" s="1" t="s">
        <v>16</v>
      </c>
      <c r="G2400" s="10">
        <v>89818.91</v>
      </c>
      <c r="H2400" s="1" t="s">
        <v>34</v>
      </c>
      <c r="I2400" t="s">
        <v>52</v>
      </c>
      <c r="J2400" t="s">
        <v>22</v>
      </c>
    </row>
    <row r="2401" spans="1:10" x14ac:dyDescent="0.35">
      <c r="A2401">
        <v>2400</v>
      </c>
      <c r="B2401" s="1" t="s">
        <v>20</v>
      </c>
      <c r="C2401">
        <v>2013</v>
      </c>
      <c r="D2401" s="4">
        <v>5.3</v>
      </c>
      <c r="E2401" s="5">
        <v>88771</v>
      </c>
      <c r="F2401" s="1" t="s">
        <v>15</v>
      </c>
      <c r="G2401" s="10">
        <v>81484.070000000007</v>
      </c>
      <c r="H2401" s="1" t="s">
        <v>33</v>
      </c>
      <c r="I2401" t="s">
        <v>51</v>
      </c>
      <c r="J2401" t="s">
        <v>14</v>
      </c>
    </row>
    <row r="2402" spans="1:10" x14ac:dyDescent="0.35">
      <c r="A2402">
        <v>2401</v>
      </c>
      <c r="B2402" s="1" t="s">
        <v>27</v>
      </c>
      <c r="C2402">
        <v>2023</v>
      </c>
      <c r="D2402" s="4">
        <v>5.2</v>
      </c>
      <c r="E2402" s="5">
        <v>126228</v>
      </c>
      <c r="F2402" s="1" t="s">
        <v>15</v>
      </c>
      <c r="G2402" s="10">
        <v>65488.480000000003</v>
      </c>
      <c r="H2402" s="1" t="s">
        <v>48</v>
      </c>
      <c r="I2402" t="s">
        <v>13</v>
      </c>
      <c r="J2402" t="s">
        <v>14</v>
      </c>
    </row>
    <row r="2403" spans="1:10" x14ac:dyDescent="0.35">
      <c r="A2403">
        <v>2402</v>
      </c>
      <c r="B2403" s="1" t="s">
        <v>29</v>
      </c>
      <c r="C2403">
        <v>2022</v>
      </c>
      <c r="D2403" s="4">
        <v>2.8</v>
      </c>
      <c r="E2403" s="5">
        <v>91665</v>
      </c>
      <c r="F2403" s="1" t="s">
        <v>11</v>
      </c>
      <c r="G2403" s="10">
        <v>89113.7</v>
      </c>
      <c r="H2403" s="1" t="s">
        <v>31</v>
      </c>
      <c r="I2403" t="s">
        <v>52</v>
      </c>
      <c r="J2403" t="s">
        <v>14</v>
      </c>
    </row>
    <row r="2404" spans="1:10" x14ac:dyDescent="0.35">
      <c r="A2404">
        <v>2403</v>
      </c>
      <c r="B2404" s="1" t="s">
        <v>10</v>
      </c>
      <c r="C2404">
        <v>2002</v>
      </c>
      <c r="D2404" s="4">
        <v>4.4000000000000004</v>
      </c>
      <c r="E2404" s="5">
        <v>272678</v>
      </c>
      <c r="F2404" s="1" t="s">
        <v>11</v>
      </c>
      <c r="G2404" s="10">
        <v>69454.52</v>
      </c>
      <c r="H2404" s="1" t="s">
        <v>12</v>
      </c>
      <c r="I2404" t="s">
        <v>13</v>
      </c>
      <c r="J2404" t="s">
        <v>14</v>
      </c>
    </row>
    <row r="2405" spans="1:10" x14ac:dyDescent="0.35">
      <c r="A2405">
        <v>2404</v>
      </c>
      <c r="B2405" s="1" t="s">
        <v>20</v>
      </c>
      <c r="C2405">
        <v>2017</v>
      </c>
      <c r="D2405" s="4">
        <v>2.6</v>
      </c>
      <c r="E2405" s="5">
        <v>279333</v>
      </c>
      <c r="F2405" s="1" t="s">
        <v>16</v>
      </c>
      <c r="G2405" s="10">
        <v>82791.22</v>
      </c>
      <c r="H2405" s="1" t="s">
        <v>33</v>
      </c>
      <c r="I2405" t="s">
        <v>52</v>
      </c>
      <c r="J2405" t="s">
        <v>14</v>
      </c>
    </row>
    <row r="2406" spans="1:10" x14ac:dyDescent="0.35">
      <c r="A2406">
        <v>2405</v>
      </c>
      <c r="B2406" s="1" t="s">
        <v>27</v>
      </c>
      <c r="C2406">
        <v>2015</v>
      </c>
      <c r="D2406" s="4">
        <v>1.3</v>
      </c>
      <c r="E2406" s="5">
        <v>86067</v>
      </c>
      <c r="F2406" s="1" t="s">
        <v>16</v>
      </c>
      <c r="G2406" s="10">
        <v>58558.94</v>
      </c>
      <c r="H2406" s="1" t="s">
        <v>28</v>
      </c>
      <c r="I2406" t="s">
        <v>52</v>
      </c>
      <c r="J2406" t="s">
        <v>14</v>
      </c>
    </row>
    <row r="2407" spans="1:10" x14ac:dyDescent="0.35">
      <c r="A2407">
        <v>2406</v>
      </c>
      <c r="B2407" s="1" t="s">
        <v>29</v>
      </c>
      <c r="C2407">
        <v>2022</v>
      </c>
      <c r="D2407" s="4">
        <v>4.5</v>
      </c>
      <c r="E2407" s="5">
        <v>273111</v>
      </c>
      <c r="F2407" s="1" t="s">
        <v>11</v>
      </c>
      <c r="G2407" s="10">
        <v>54895.73</v>
      </c>
      <c r="H2407" s="1" t="s">
        <v>31</v>
      </c>
      <c r="I2407" t="s">
        <v>51</v>
      </c>
      <c r="J2407" t="s">
        <v>22</v>
      </c>
    </row>
    <row r="2408" spans="1:10" x14ac:dyDescent="0.35">
      <c r="A2408">
        <v>2407</v>
      </c>
      <c r="B2408" s="1" t="s">
        <v>29</v>
      </c>
      <c r="C2408">
        <v>2018</v>
      </c>
      <c r="D2408" s="4">
        <v>1</v>
      </c>
      <c r="E2408" s="5">
        <v>213063</v>
      </c>
      <c r="F2408" s="1" t="s">
        <v>11</v>
      </c>
      <c r="G2408" s="10">
        <v>73789.240000000005</v>
      </c>
      <c r="H2408" s="1" t="s">
        <v>38</v>
      </c>
      <c r="I2408" t="s">
        <v>52</v>
      </c>
      <c r="J2408" t="s">
        <v>22</v>
      </c>
    </row>
    <row r="2409" spans="1:10" x14ac:dyDescent="0.35">
      <c r="A2409">
        <v>2408</v>
      </c>
      <c r="B2409" s="1" t="s">
        <v>20</v>
      </c>
      <c r="C2409">
        <v>2018</v>
      </c>
      <c r="D2409" s="4">
        <v>3</v>
      </c>
      <c r="E2409" s="5">
        <v>270804</v>
      </c>
      <c r="F2409" s="1" t="s">
        <v>16</v>
      </c>
      <c r="G2409" s="10">
        <v>6870.48</v>
      </c>
      <c r="H2409" s="1" t="s">
        <v>46</v>
      </c>
      <c r="I2409" t="s">
        <v>52</v>
      </c>
      <c r="J2409" t="s">
        <v>14</v>
      </c>
    </row>
    <row r="2410" spans="1:10" x14ac:dyDescent="0.35">
      <c r="A2410">
        <v>2409</v>
      </c>
      <c r="B2410" s="1" t="s">
        <v>10</v>
      </c>
      <c r="C2410">
        <v>2017</v>
      </c>
      <c r="D2410" s="4">
        <v>2.6</v>
      </c>
      <c r="E2410" s="5">
        <v>129909</v>
      </c>
      <c r="F2410" s="1" t="s">
        <v>11</v>
      </c>
      <c r="G2410" s="10">
        <v>70585.87</v>
      </c>
      <c r="H2410" s="1" t="s">
        <v>18</v>
      </c>
      <c r="I2410" t="s">
        <v>13</v>
      </c>
      <c r="J2410" t="s">
        <v>14</v>
      </c>
    </row>
    <row r="2411" spans="1:10" x14ac:dyDescent="0.35">
      <c r="A2411">
        <v>2410</v>
      </c>
      <c r="B2411" s="1" t="s">
        <v>25</v>
      </c>
      <c r="C2411">
        <v>2019</v>
      </c>
      <c r="D2411" s="4">
        <v>4.5</v>
      </c>
      <c r="E2411" s="5">
        <v>140688</v>
      </c>
      <c r="F2411" s="1" t="s">
        <v>16</v>
      </c>
      <c r="G2411" s="10">
        <v>93779.23</v>
      </c>
      <c r="H2411" s="1" t="s">
        <v>41</v>
      </c>
      <c r="I2411" t="s">
        <v>52</v>
      </c>
      <c r="J2411" t="s">
        <v>14</v>
      </c>
    </row>
    <row r="2412" spans="1:10" x14ac:dyDescent="0.35">
      <c r="A2412">
        <v>2411</v>
      </c>
      <c r="B2412" s="1" t="s">
        <v>25</v>
      </c>
      <c r="C2412">
        <v>2015</v>
      </c>
      <c r="D2412" s="4">
        <v>4.8</v>
      </c>
      <c r="E2412" s="5">
        <v>75976</v>
      </c>
      <c r="F2412" s="1" t="s">
        <v>15</v>
      </c>
      <c r="G2412" s="10">
        <v>72824.5</v>
      </c>
      <c r="H2412" s="1" t="s">
        <v>41</v>
      </c>
      <c r="I2412" t="s">
        <v>53</v>
      </c>
      <c r="J2412" t="s">
        <v>22</v>
      </c>
    </row>
    <row r="2413" spans="1:10" x14ac:dyDescent="0.35">
      <c r="A2413">
        <v>2412</v>
      </c>
      <c r="B2413" s="1" t="s">
        <v>29</v>
      </c>
      <c r="C2413">
        <v>2007</v>
      </c>
      <c r="D2413" s="4">
        <v>2.5</v>
      </c>
      <c r="E2413" s="5">
        <v>233208</v>
      </c>
      <c r="F2413" s="1" t="s">
        <v>15</v>
      </c>
      <c r="G2413" s="10">
        <v>8495.4</v>
      </c>
      <c r="H2413" s="1" t="s">
        <v>31</v>
      </c>
      <c r="I2413" t="s">
        <v>52</v>
      </c>
      <c r="J2413" t="s">
        <v>22</v>
      </c>
    </row>
    <row r="2414" spans="1:10" x14ac:dyDescent="0.35">
      <c r="A2414">
        <v>2413</v>
      </c>
      <c r="B2414" s="1" t="s">
        <v>25</v>
      </c>
      <c r="C2414">
        <v>2000</v>
      </c>
      <c r="D2414" s="4">
        <v>5.0999999999999996</v>
      </c>
      <c r="E2414" s="5">
        <v>179810</v>
      </c>
      <c r="F2414" s="1" t="s">
        <v>11</v>
      </c>
      <c r="G2414" s="10">
        <v>40899.14</v>
      </c>
      <c r="H2414" s="1" t="s">
        <v>49</v>
      </c>
      <c r="I2414" t="s">
        <v>52</v>
      </c>
      <c r="J2414" t="s">
        <v>14</v>
      </c>
    </row>
    <row r="2415" spans="1:10" x14ac:dyDescent="0.35">
      <c r="A2415">
        <v>2414</v>
      </c>
      <c r="B2415" s="1" t="s">
        <v>35</v>
      </c>
      <c r="C2415">
        <v>2016</v>
      </c>
      <c r="D2415" s="4">
        <v>2.5</v>
      </c>
      <c r="E2415" s="5">
        <v>275251</v>
      </c>
      <c r="F2415" s="1" t="s">
        <v>15</v>
      </c>
      <c r="G2415" s="10">
        <v>81910.22</v>
      </c>
      <c r="H2415" s="1" t="s">
        <v>45</v>
      </c>
      <c r="I2415" t="s">
        <v>13</v>
      </c>
      <c r="J2415" t="s">
        <v>22</v>
      </c>
    </row>
    <row r="2416" spans="1:10" x14ac:dyDescent="0.35">
      <c r="A2416">
        <v>2415</v>
      </c>
      <c r="B2416" s="1" t="s">
        <v>29</v>
      </c>
      <c r="C2416">
        <v>2011</v>
      </c>
      <c r="D2416" s="4">
        <v>3.2</v>
      </c>
      <c r="E2416" s="5">
        <v>192476</v>
      </c>
      <c r="F2416" s="1" t="s">
        <v>15</v>
      </c>
      <c r="G2416" s="10">
        <v>96067.81</v>
      </c>
      <c r="H2416" s="1" t="s">
        <v>30</v>
      </c>
      <c r="I2416" t="s">
        <v>52</v>
      </c>
      <c r="J2416" t="s">
        <v>14</v>
      </c>
    </row>
    <row r="2417" spans="1:10" x14ac:dyDescent="0.35">
      <c r="A2417">
        <v>2416</v>
      </c>
      <c r="B2417" s="1" t="s">
        <v>29</v>
      </c>
      <c r="C2417">
        <v>2020</v>
      </c>
      <c r="D2417" s="4">
        <v>4.5999999999999996</v>
      </c>
      <c r="E2417" s="5">
        <v>94182</v>
      </c>
      <c r="F2417" s="1" t="s">
        <v>15</v>
      </c>
      <c r="G2417" s="10">
        <v>40165.519999999997</v>
      </c>
      <c r="H2417" s="1" t="s">
        <v>31</v>
      </c>
      <c r="I2417" t="s">
        <v>53</v>
      </c>
      <c r="J2417" t="s">
        <v>14</v>
      </c>
    </row>
    <row r="2418" spans="1:10" x14ac:dyDescent="0.35">
      <c r="A2418">
        <v>2417</v>
      </c>
      <c r="B2418" s="1" t="s">
        <v>27</v>
      </c>
      <c r="C2418">
        <v>2010</v>
      </c>
      <c r="D2418" s="4">
        <v>4.5</v>
      </c>
      <c r="E2418" s="5">
        <v>243153</v>
      </c>
      <c r="F2418" s="1" t="s">
        <v>15</v>
      </c>
      <c r="G2418" s="10">
        <v>84913.44</v>
      </c>
      <c r="H2418" s="1" t="s">
        <v>28</v>
      </c>
      <c r="I2418" t="s">
        <v>53</v>
      </c>
      <c r="J2418" t="s">
        <v>22</v>
      </c>
    </row>
    <row r="2419" spans="1:10" x14ac:dyDescent="0.35">
      <c r="A2419">
        <v>2418</v>
      </c>
      <c r="B2419" s="1" t="s">
        <v>25</v>
      </c>
      <c r="C2419">
        <v>2004</v>
      </c>
      <c r="D2419" s="4">
        <v>5.9</v>
      </c>
      <c r="E2419" s="5">
        <v>278098</v>
      </c>
      <c r="F2419" s="1" t="s">
        <v>16</v>
      </c>
      <c r="G2419" s="10">
        <v>87061.94</v>
      </c>
      <c r="H2419" s="1" t="s">
        <v>44</v>
      </c>
      <c r="I2419" t="s">
        <v>51</v>
      </c>
      <c r="J2419" t="s">
        <v>14</v>
      </c>
    </row>
    <row r="2420" spans="1:10" x14ac:dyDescent="0.35">
      <c r="A2420">
        <v>2419</v>
      </c>
      <c r="B2420" s="1" t="s">
        <v>10</v>
      </c>
      <c r="C2420">
        <v>2011</v>
      </c>
      <c r="D2420" s="4">
        <v>2.1</v>
      </c>
      <c r="E2420" s="5">
        <v>279087</v>
      </c>
      <c r="F2420" s="1" t="s">
        <v>16</v>
      </c>
      <c r="G2420" s="10">
        <v>16712.21</v>
      </c>
      <c r="H2420" s="1" t="s">
        <v>12</v>
      </c>
      <c r="I2420" t="s">
        <v>13</v>
      </c>
      <c r="J2420" t="s">
        <v>14</v>
      </c>
    </row>
    <row r="2421" spans="1:10" x14ac:dyDescent="0.35">
      <c r="A2421">
        <v>2420</v>
      </c>
      <c r="B2421" s="1" t="s">
        <v>29</v>
      </c>
      <c r="C2421">
        <v>2016</v>
      </c>
      <c r="D2421" s="4">
        <v>4.3</v>
      </c>
      <c r="E2421" s="5">
        <v>40725</v>
      </c>
      <c r="F2421" s="1" t="s">
        <v>11</v>
      </c>
      <c r="G2421" s="10">
        <v>85349.9</v>
      </c>
      <c r="H2421" s="1" t="s">
        <v>31</v>
      </c>
      <c r="I2421" t="s">
        <v>13</v>
      </c>
      <c r="J2421" t="s">
        <v>22</v>
      </c>
    </row>
    <row r="2422" spans="1:10" x14ac:dyDescent="0.35">
      <c r="A2422">
        <v>2421</v>
      </c>
      <c r="B2422" s="1" t="s">
        <v>10</v>
      </c>
      <c r="C2422">
        <v>2005</v>
      </c>
      <c r="D2422" s="4">
        <v>4</v>
      </c>
      <c r="E2422" s="5">
        <v>10110</v>
      </c>
      <c r="F2422" s="1" t="s">
        <v>15</v>
      </c>
      <c r="G2422" s="10">
        <v>35803.74</v>
      </c>
      <c r="H2422" s="1" t="s">
        <v>12</v>
      </c>
      <c r="I2422" t="s">
        <v>13</v>
      </c>
      <c r="J2422" t="s">
        <v>14</v>
      </c>
    </row>
    <row r="2423" spans="1:10" x14ac:dyDescent="0.35">
      <c r="A2423">
        <v>2422</v>
      </c>
      <c r="B2423" s="1" t="s">
        <v>35</v>
      </c>
      <c r="C2423">
        <v>2000</v>
      </c>
      <c r="D2423" s="4">
        <v>5.6</v>
      </c>
      <c r="E2423" s="5">
        <v>278606</v>
      </c>
      <c r="F2423" s="1" t="s">
        <v>15</v>
      </c>
      <c r="G2423" s="10">
        <v>61357.58</v>
      </c>
      <c r="H2423" s="1" t="s">
        <v>45</v>
      </c>
      <c r="I2423" t="s">
        <v>53</v>
      </c>
      <c r="J2423" t="s">
        <v>22</v>
      </c>
    </row>
    <row r="2424" spans="1:10" x14ac:dyDescent="0.35">
      <c r="A2424">
        <v>2423</v>
      </c>
      <c r="B2424" s="1" t="s">
        <v>27</v>
      </c>
      <c r="C2424">
        <v>2004</v>
      </c>
      <c r="D2424" s="4">
        <v>1.8</v>
      </c>
      <c r="E2424" s="5">
        <v>185153</v>
      </c>
      <c r="F2424" s="1" t="s">
        <v>15</v>
      </c>
      <c r="G2424" s="10">
        <v>56201.4</v>
      </c>
      <c r="H2424" s="1" t="s">
        <v>40</v>
      </c>
      <c r="I2424" t="s">
        <v>53</v>
      </c>
      <c r="J2424" t="s">
        <v>14</v>
      </c>
    </row>
    <row r="2425" spans="1:10" x14ac:dyDescent="0.35">
      <c r="A2425">
        <v>2424</v>
      </c>
      <c r="B2425" s="1" t="s">
        <v>20</v>
      </c>
      <c r="C2425">
        <v>2013</v>
      </c>
      <c r="D2425" s="4">
        <v>4.8</v>
      </c>
      <c r="E2425" s="5">
        <v>66567</v>
      </c>
      <c r="F2425" s="1" t="s">
        <v>11</v>
      </c>
      <c r="G2425" s="10">
        <v>67990.12</v>
      </c>
      <c r="H2425" s="1" t="s">
        <v>33</v>
      </c>
      <c r="I2425" t="s">
        <v>13</v>
      </c>
      <c r="J2425" t="s">
        <v>22</v>
      </c>
    </row>
    <row r="2426" spans="1:10" x14ac:dyDescent="0.35">
      <c r="A2426">
        <v>2425</v>
      </c>
      <c r="B2426" s="1" t="s">
        <v>10</v>
      </c>
      <c r="C2426">
        <v>2004</v>
      </c>
      <c r="D2426" s="4">
        <v>3.8</v>
      </c>
      <c r="E2426" s="5">
        <v>182296</v>
      </c>
      <c r="F2426" s="1" t="s">
        <v>16</v>
      </c>
      <c r="G2426" s="10">
        <v>75344.14</v>
      </c>
      <c r="H2426" s="1" t="s">
        <v>18</v>
      </c>
      <c r="I2426" t="s">
        <v>13</v>
      </c>
      <c r="J2426" t="s">
        <v>14</v>
      </c>
    </row>
    <row r="2427" spans="1:10" x14ac:dyDescent="0.35">
      <c r="A2427">
        <v>2426</v>
      </c>
      <c r="B2427" s="1" t="s">
        <v>29</v>
      </c>
      <c r="C2427">
        <v>2021</v>
      </c>
      <c r="D2427" s="4">
        <v>2.4</v>
      </c>
      <c r="E2427" s="5">
        <v>113394</v>
      </c>
      <c r="F2427" s="1" t="s">
        <v>15</v>
      </c>
      <c r="G2427" s="10">
        <v>46883.7</v>
      </c>
      <c r="H2427" s="1" t="s">
        <v>30</v>
      </c>
      <c r="I2427" t="s">
        <v>51</v>
      </c>
      <c r="J2427" t="s">
        <v>14</v>
      </c>
    </row>
    <row r="2428" spans="1:10" x14ac:dyDescent="0.35">
      <c r="A2428">
        <v>2427</v>
      </c>
      <c r="B2428" s="1" t="s">
        <v>35</v>
      </c>
      <c r="C2428">
        <v>2023</v>
      </c>
      <c r="D2428" s="4">
        <v>3.4</v>
      </c>
      <c r="E2428" s="5">
        <v>148940</v>
      </c>
      <c r="F2428" s="1" t="s">
        <v>16</v>
      </c>
      <c r="G2428" s="10">
        <v>89389.53</v>
      </c>
      <c r="H2428" s="1" t="s">
        <v>50</v>
      </c>
      <c r="I2428" t="s">
        <v>13</v>
      </c>
      <c r="J2428" t="s">
        <v>14</v>
      </c>
    </row>
    <row r="2429" spans="1:10" x14ac:dyDescent="0.35">
      <c r="A2429">
        <v>2428</v>
      </c>
      <c r="B2429" s="1" t="s">
        <v>23</v>
      </c>
      <c r="C2429">
        <v>2000</v>
      </c>
      <c r="D2429" s="4">
        <v>2.7</v>
      </c>
      <c r="E2429" s="5">
        <v>22222</v>
      </c>
      <c r="F2429" s="1" t="s">
        <v>11</v>
      </c>
      <c r="G2429" s="10">
        <v>81902.350000000006</v>
      </c>
      <c r="H2429" s="1" t="s">
        <v>24</v>
      </c>
      <c r="I2429" t="s">
        <v>51</v>
      </c>
      <c r="J2429" t="s">
        <v>22</v>
      </c>
    </row>
    <row r="2430" spans="1:10" x14ac:dyDescent="0.35">
      <c r="A2430">
        <v>2429</v>
      </c>
      <c r="B2430" s="1" t="s">
        <v>35</v>
      </c>
      <c r="C2430">
        <v>2017</v>
      </c>
      <c r="D2430" s="4">
        <v>3.9</v>
      </c>
      <c r="E2430" s="5">
        <v>79794</v>
      </c>
      <c r="F2430" s="1" t="s">
        <v>16</v>
      </c>
      <c r="G2430" s="10">
        <v>79615</v>
      </c>
      <c r="H2430" s="1" t="s">
        <v>45</v>
      </c>
      <c r="I2430" t="s">
        <v>51</v>
      </c>
      <c r="J2430" t="s">
        <v>14</v>
      </c>
    </row>
    <row r="2431" spans="1:10" x14ac:dyDescent="0.35">
      <c r="A2431">
        <v>2430</v>
      </c>
      <c r="B2431" s="1" t="s">
        <v>35</v>
      </c>
      <c r="C2431">
        <v>2015</v>
      </c>
      <c r="D2431" s="4">
        <v>5.4</v>
      </c>
      <c r="E2431" s="5">
        <v>63924</v>
      </c>
      <c r="F2431" s="1" t="s">
        <v>15</v>
      </c>
      <c r="G2431" s="10">
        <v>48533.45</v>
      </c>
      <c r="H2431" s="1" t="s">
        <v>45</v>
      </c>
      <c r="I2431" t="s">
        <v>13</v>
      </c>
      <c r="J2431" t="s">
        <v>22</v>
      </c>
    </row>
    <row r="2432" spans="1:10" x14ac:dyDescent="0.35">
      <c r="A2432">
        <v>2431</v>
      </c>
      <c r="B2432" s="1" t="s">
        <v>27</v>
      </c>
      <c r="C2432">
        <v>2008</v>
      </c>
      <c r="D2432" s="4">
        <v>3.8</v>
      </c>
      <c r="E2432" s="5">
        <v>99854</v>
      </c>
      <c r="F2432" s="1" t="s">
        <v>16</v>
      </c>
      <c r="G2432" s="10">
        <v>8569.42</v>
      </c>
      <c r="H2432" s="1" t="s">
        <v>37</v>
      </c>
      <c r="I2432" t="s">
        <v>52</v>
      </c>
      <c r="J2432" t="s">
        <v>22</v>
      </c>
    </row>
    <row r="2433" spans="1:10" x14ac:dyDescent="0.35">
      <c r="A2433">
        <v>2432</v>
      </c>
      <c r="B2433" s="1" t="s">
        <v>20</v>
      </c>
      <c r="C2433">
        <v>2018</v>
      </c>
      <c r="D2433" s="4">
        <v>4.2</v>
      </c>
      <c r="E2433" s="5">
        <v>260038</v>
      </c>
      <c r="F2433" s="1" t="s">
        <v>16</v>
      </c>
      <c r="G2433" s="10">
        <v>51764.36</v>
      </c>
      <c r="H2433" s="1" t="s">
        <v>21</v>
      </c>
      <c r="I2433" t="s">
        <v>52</v>
      </c>
      <c r="J2433" t="s">
        <v>22</v>
      </c>
    </row>
    <row r="2434" spans="1:10" x14ac:dyDescent="0.35">
      <c r="A2434">
        <v>2433</v>
      </c>
      <c r="B2434" s="1" t="s">
        <v>23</v>
      </c>
      <c r="C2434">
        <v>2021</v>
      </c>
      <c r="D2434" s="4">
        <v>3.6</v>
      </c>
      <c r="E2434" s="5">
        <v>243815</v>
      </c>
      <c r="F2434" s="1" t="s">
        <v>11</v>
      </c>
      <c r="G2434" s="10">
        <v>90352.33</v>
      </c>
      <c r="H2434" s="1" t="s">
        <v>32</v>
      </c>
      <c r="I2434" t="s">
        <v>51</v>
      </c>
      <c r="J2434" t="s">
        <v>22</v>
      </c>
    </row>
    <row r="2435" spans="1:10" x14ac:dyDescent="0.35">
      <c r="A2435">
        <v>2434</v>
      </c>
      <c r="B2435" s="1" t="s">
        <v>25</v>
      </c>
      <c r="C2435">
        <v>2004</v>
      </c>
      <c r="D2435" s="4">
        <v>1.3</v>
      </c>
      <c r="E2435" s="5">
        <v>233127</v>
      </c>
      <c r="F2435" s="1" t="s">
        <v>11</v>
      </c>
      <c r="G2435" s="10">
        <v>23092.76</v>
      </c>
      <c r="H2435" s="1" t="s">
        <v>49</v>
      </c>
      <c r="I2435" t="s">
        <v>52</v>
      </c>
      <c r="J2435" t="s">
        <v>22</v>
      </c>
    </row>
    <row r="2436" spans="1:10" x14ac:dyDescent="0.35">
      <c r="A2436">
        <v>2435</v>
      </c>
      <c r="B2436" s="1" t="s">
        <v>25</v>
      </c>
      <c r="C2436">
        <v>2001</v>
      </c>
      <c r="D2436" s="4">
        <v>2.2000000000000002</v>
      </c>
      <c r="E2436" s="5">
        <v>141295</v>
      </c>
      <c r="F2436" s="1" t="s">
        <v>11</v>
      </c>
      <c r="G2436" s="10">
        <v>98346.28</v>
      </c>
      <c r="H2436" s="1" t="s">
        <v>26</v>
      </c>
      <c r="I2436" t="s">
        <v>53</v>
      </c>
      <c r="J2436" t="s">
        <v>14</v>
      </c>
    </row>
    <row r="2437" spans="1:10" x14ac:dyDescent="0.35">
      <c r="A2437">
        <v>2436</v>
      </c>
      <c r="B2437" s="1" t="s">
        <v>10</v>
      </c>
      <c r="C2437">
        <v>2014</v>
      </c>
      <c r="D2437" s="4">
        <v>3.5</v>
      </c>
      <c r="E2437" s="5">
        <v>179238</v>
      </c>
      <c r="F2437" s="1" t="s">
        <v>11</v>
      </c>
      <c r="G2437" s="10">
        <v>81730.61</v>
      </c>
      <c r="H2437" s="1" t="s">
        <v>17</v>
      </c>
      <c r="I2437" t="s">
        <v>13</v>
      </c>
      <c r="J2437" t="s">
        <v>14</v>
      </c>
    </row>
    <row r="2438" spans="1:10" x14ac:dyDescent="0.35">
      <c r="A2438">
        <v>2437</v>
      </c>
      <c r="B2438" s="1" t="s">
        <v>35</v>
      </c>
      <c r="C2438">
        <v>2006</v>
      </c>
      <c r="D2438" s="4">
        <v>2.6</v>
      </c>
      <c r="E2438" s="5">
        <v>39369</v>
      </c>
      <c r="F2438" s="1" t="s">
        <v>16</v>
      </c>
      <c r="G2438" s="10">
        <v>72433.83</v>
      </c>
      <c r="H2438" s="1" t="s">
        <v>47</v>
      </c>
      <c r="I2438" t="s">
        <v>51</v>
      </c>
      <c r="J2438" t="s">
        <v>14</v>
      </c>
    </row>
    <row r="2439" spans="1:10" x14ac:dyDescent="0.35">
      <c r="A2439">
        <v>2438</v>
      </c>
      <c r="B2439" s="1" t="s">
        <v>27</v>
      </c>
      <c r="C2439">
        <v>2003</v>
      </c>
      <c r="D2439" s="4">
        <v>1.9</v>
      </c>
      <c r="E2439" s="5">
        <v>274805</v>
      </c>
      <c r="F2439" s="1" t="s">
        <v>16</v>
      </c>
      <c r="G2439" s="10">
        <v>69330.2</v>
      </c>
      <c r="H2439" s="1" t="s">
        <v>37</v>
      </c>
      <c r="I2439" t="s">
        <v>53</v>
      </c>
      <c r="J2439" t="s">
        <v>14</v>
      </c>
    </row>
    <row r="2440" spans="1:10" x14ac:dyDescent="0.35">
      <c r="A2440">
        <v>2439</v>
      </c>
      <c r="B2440" s="1" t="s">
        <v>27</v>
      </c>
      <c r="C2440">
        <v>2000</v>
      </c>
      <c r="D2440" s="4">
        <v>3.5</v>
      </c>
      <c r="E2440" s="5">
        <v>146663</v>
      </c>
      <c r="F2440" s="1" t="s">
        <v>11</v>
      </c>
      <c r="G2440" s="10">
        <v>60767.46</v>
      </c>
      <c r="H2440" s="1" t="s">
        <v>40</v>
      </c>
      <c r="I2440" t="s">
        <v>52</v>
      </c>
      <c r="J2440" t="s">
        <v>22</v>
      </c>
    </row>
    <row r="2441" spans="1:10" x14ac:dyDescent="0.35">
      <c r="A2441">
        <v>2440</v>
      </c>
      <c r="B2441" s="1" t="s">
        <v>25</v>
      </c>
      <c r="C2441">
        <v>2012</v>
      </c>
      <c r="D2441" s="4">
        <v>2.6</v>
      </c>
      <c r="E2441" s="5">
        <v>186307</v>
      </c>
      <c r="F2441" s="1" t="s">
        <v>11</v>
      </c>
      <c r="G2441" s="10">
        <v>73463.679999999993</v>
      </c>
      <c r="H2441" s="1" t="s">
        <v>49</v>
      </c>
      <c r="I2441" t="s">
        <v>53</v>
      </c>
      <c r="J2441" t="s">
        <v>14</v>
      </c>
    </row>
    <row r="2442" spans="1:10" x14ac:dyDescent="0.35">
      <c r="A2442">
        <v>2441</v>
      </c>
      <c r="B2442" s="1" t="s">
        <v>10</v>
      </c>
      <c r="C2442">
        <v>2019</v>
      </c>
      <c r="D2442" s="4">
        <v>2.2999999999999998</v>
      </c>
      <c r="E2442" s="5">
        <v>270114</v>
      </c>
      <c r="F2442" s="1" t="s">
        <v>15</v>
      </c>
      <c r="G2442" s="10">
        <v>45081.03</v>
      </c>
      <c r="H2442" s="1" t="s">
        <v>12</v>
      </c>
      <c r="I2442" t="s">
        <v>13</v>
      </c>
      <c r="J2442" t="s">
        <v>14</v>
      </c>
    </row>
    <row r="2443" spans="1:10" x14ac:dyDescent="0.35">
      <c r="A2443">
        <v>2442</v>
      </c>
      <c r="B2443" s="1" t="s">
        <v>10</v>
      </c>
      <c r="C2443">
        <v>2021</v>
      </c>
      <c r="D2443" s="4">
        <v>3.3</v>
      </c>
      <c r="E2443" s="5">
        <v>47922</v>
      </c>
      <c r="F2443" s="1" t="s">
        <v>15</v>
      </c>
      <c r="G2443" s="10">
        <v>85302.37</v>
      </c>
      <c r="H2443" s="1" t="s">
        <v>17</v>
      </c>
      <c r="I2443" t="s">
        <v>13</v>
      </c>
      <c r="J2443" t="s">
        <v>14</v>
      </c>
    </row>
    <row r="2444" spans="1:10" x14ac:dyDescent="0.35">
      <c r="A2444">
        <v>2443</v>
      </c>
      <c r="B2444" s="1" t="s">
        <v>10</v>
      </c>
      <c r="C2444">
        <v>2006</v>
      </c>
      <c r="D2444" s="4">
        <v>1.7</v>
      </c>
      <c r="E2444" s="5">
        <v>292899</v>
      </c>
      <c r="F2444" s="1" t="s">
        <v>11</v>
      </c>
      <c r="G2444" s="10">
        <v>71152.87</v>
      </c>
      <c r="H2444" s="1" t="s">
        <v>19</v>
      </c>
      <c r="I2444" t="s">
        <v>13</v>
      </c>
      <c r="J2444" t="s">
        <v>14</v>
      </c>
    </row>
    <row r="2445" spans="1:10" x14ac:dyDescent="0.35">
      <c r="A2445">
        <v>2444</v>
      </c>
      <c r="B2445" s="1" t="s">
        <v>23</v>
      </c>
      <c r="C2445">
        <v>2014</v>
      </c>
      <c r="D2445" s="4">
        <v>5.6</v>
      </c>
      <c r="E2445" s="5">
        <v>120926</v>
      </c>
      <c r="F2445" s="1" t="s">
        <v>16</v>
      </c>
      <c r="G2445" s="10">
        <v>78269.05</v>
      </c>
      <c r="H2445" s="1" t="s">
        <v>24</v>
      </c>
      <c r="I2445" t="s">
        <v>13</v>
      </c>
      <c r="J2445" t="s">
        <v>22</v>
      </c>
    </row>
    <row r="2446" spans="1:10" x14ac:dyDescent="0.35">
      <c r="A2446">
        <v>2445</v>
      </c>
      <c r="B2446" s="1" t="s">
        <v>20</v>
      </c>
      <c r="C2446">
        <v>2022</v>
      </c>
      <c r="D2446" s="4">
        <v>5.3</v>
      </c>
      <c r="E2446" s="5">
        <v>19416</v>
      </c>
      <c r="F2446" s="1" t="s">
        <v>11</v>
      </c>
      <c r="G2446" s="10">
        <v>80286.31</v>
      </c>
      <c r="H2446" s="1" t="s">
        <v>21</v>
      </c>
      <c r="I2446" t="s">
        <v>51</v>
      </c>
      <c r="J2446" t="s">
        <v>22</v>
      </c>
    </row>
    <row r="2447" spans="1:10" x14ac:dyDescent="0.35">
      <c r="A2447">
        <v>2446</v>
      </c>
      <c r="B2447" s="1" t="s">
        <v>23</v>
      </c>
      <c r="C2447">
        <v>2013</v>
      </c>
      <c r="D2447" s="4">
        <v>4.5</v>
      </c>
      <c r="E2447" s="5">
        <v>13672</v>
      </c>
      <c r="F2447" s="1" t="s">
        <v>16</v>
      </c>
      <c r="G2447" s="10">
        <v>13746.65</v>
      </c>
      <c r="H2447" s="1" t="s">
        <v>24</v>
      </c>
      <c r="I2447" t="s">
        <v>53</v>
      </c>
      <c r="J2447" t="s">
        <v>22</v>
      </c>
    </row>
    <row r="2448" spans="1:10" x14ac:dyDescent="0.35">
      <c r="A2448">
        <v>2447</v>
      </c>
      <c r="B2448" s="1" t="s">
        <v>29</v>
      </c>
      <c r="C2448">
        <v>2022</v>
      </c>
      <c r="D2448" s="4">
        <v>1.5</v>
      </c>
      <c r="E2448" s="5">
        <v>128145</v>
      </c>
      <c r="F2448" s="1" t="s">
        <v>16</v>
      </c>
      <c r="G2448" s="10">
        <v>10285.870000000001</v>
      </c>
      <c r="H2448" s="1" t="s">
        <v>43</v>
      </c>
      <c r="I2448" t="s">
        <v>53</v>
      </c>
      <c r="J2448" t="s">
        <v>14</v>
      </c>
    </row>
    <row r="2449" spans="1:10" x14ac:dyDescent="0.35">
      <c r="A2449">
        <v>2448</v>
      </c>
      <c r="B2449" s="1" t="s">
        <v>29</v>
      </c>
      <c r="C2449">
        <v>2018</v>
      </c>
      <c r="D2449" s="4">
        <v>4.9000000000000004</v>
      </c>
      <c r="E2449" s="5">
        <v>178068</v>
      </c>
      <c r="F2449" s="1" t="s">
        <v>15</v>
      </c>
      <c r="G2449" s="10">
        <v>81093.66</v>
      </c>
      <c r="H2449" s="1" t="s">
        <v>31</v>
      </c>
      <c r="I2449" t="s">
        <v>52</v>
      </c>
      <c r="J2449" t="s">
        <v>14</v>
      </c>
    </row>
    <row r="2450" spans="1:10" x14ac:dyDescent="0.35">
      <c r="A2450">
        <v>2449</v>
      </c>
      <c r="B2450" s="1" t="s">
        <v>20</v>
      </c>
      <c r="C2450">
        <v>2021</v>
      </c>
      <c r="D2450" s="4">
        <v>5</v>
      </c>
      <c r="E2450" s="5">
        <v>64</v>
      </c>
      <c r="F2450" s="1" t="s">
        <v>11</v>
      </c>
      <c r="G2450" s="10">
        <v>29641.48</v>
      </c>
      <c r="H2450" s="1" t="s">
        <v>39</v>
      </c>
      <c r="I2450" t="s">
        <v>51</v>
      </c>
      <c r="J2450" t="s">
        <v>14</v>
      </c>
    </row>
    <row r="2451" spans="1:10" x14ac:dyDescent="0.35">
      <c r="A2451">
        <v>2450</v>
      </c>
      <c r="B2451" s="1" t="s">
        <v>25</v>
      </c>
      <c r="C2451">
        <v>2023</v>
      </c>
      <c r="D2451" s="4">
        <v>4.8</v>
      </c>
      <c r="E2451" s="5">
        <v>68835</v>
      </c>
      <c r="F2451" s="1" t="s">
        <v>11</v>
      </c>
      <c r="G2451" s="10">
        <v>60287.13</v>
      </c>
      <c r="H2451" s="1" t="s">
        <v>49</v>
      </c>
      <c r="I2451" t="s">
        <v>51</v>
      </c>
      <c r="J2451" t="s">
        <v>14</v>
      </c>
    </row>
    <row r="2452" spans="1:10" x14ac:dyDescent="0.35">
      <c r="A2452">
        <v>2451</v>
      </c>
      <c r="B2452" s="1" t="s">
        <v>20</v>
      </c>
      <c r="C2452">
        <v>2019</v>
      </c>
      <c r="D2452" s="4">
        <v>1.6</v>
      </c>
      <c r="E2452" s="5">
        <v>201457</v>
      </c>
      <c r="F2452" s="1" t="s">
        <v>16</v>
      </c>
      <c r="G2452" s="10">
        <v>47152.53</v>
      </c>
      <c r="H2452" s="1" t="s">
        <v>33</v>
      </c>
      <c r="I2452" t="s">
        <v>51</v>
      </c>
      <c r="J2452" t="s">
        <v>22</v>
      </c>
    </row>
    <row r="2453" spans="1:10" x14ac:dyDescent="0.35">
      <c r="A2453">
        <v>2452</v>
      </c>
      <c r="B2453" s="1" t="s">
        <v>27</v>
      </c>
      <c r="C2453">
        <v>2023</v>
      </c>
      <c r="D2453" s="4">
        <v>4.2</v>
      </c>
      <c r="E2453" s="5">
        <v>247795</v>
      </c>
      <c r="F2453" s="1" t="s">
        <v>11</v>
      </c>
      <c r="G2453" s="10">
        <v>7093.72</v>
      </c>
      <c r="H2453" s="1" t="s">
        <v>48</v>
      </c>
      <c r="I2453" t="s">
        <v>51</v>
      </c>
      <c r="J2453" t="s">
        <v>22</v>
      </c>
    </row>
    <row r="2454" spans="1:10" x14ac:dyDescent="0.35">
      <c r="A2454">
        <v>2453</v>
      </c>
      <c r="B2454" s="1" t="s">
        <v>29</v>
      </c>
      <c r="C2454">
        <v>2017</v>
      </c>
      <c r="D2454" s="4">
        <v>5.2</v>
      </c>
      <c r="E2454" s="5">
        <v>116916</v>
      </c>
      <c r="F2454" s="1" t="s">
        <v>15</v>
      </c>
      <c r="G2454" s="10">
        <v>8826.7199999999993</v>
      </c>
      <c r="H2454" s="1" t="s">
        <v>31</v>
      </c>
      <c r="I2454" t="s">
        <v>52</v>
      </c>
      <c r="J2454" t="s">
        <v>14</v>
      </c>
    </row>
    <row r="2455" spans="1:10" x14ac:dyDescent="0.35">
      <c r="A2455">
        <v>2454</v>
      </c>
      <c r="B2455" s="1" t="s">
        <v>35</v>
      </c>
      <c r="C2455">
        <v>2009</v>
      </c>
      <c r="D2455" s="4">
        <v>3.9</v>
      </c>
      <c r="E2455" s="5">
        <v>195346</v>
      </c>
      <c r="F2455" s="1" t="s">
        <v>15</v>
      </c>
      <c r="G2455" s="10">
        <v>83576.899999999994</v>
      </c>
      <c r="H2455" s="1" t="s">
        <v>45</v>
      </c>
      <c r="I2455" t="s">
        <v>13</v>
      </c>
      <c r="J2455" t="s">
        <v>22</v>
      </c>
    </row>
    <row r="2456" spans="1:10" x14ac:dyDescent="0.35">
      <c r="A2456">
        <v>2455</v>
      </c>
      <c r="B2456" s="1" t="s">
        <v>35</v>
      </c>
      <c r="C2456">
        <v>2008</v>
      </c>
      <c r="D2456" s="4">
        <v>4.2</v>
      </c>
      <c r="E2456" s="5">
        <v>273010</v>
      </c>
      <c r="F2456" s="1" t="s">
        <v>11</v>
      </c>
      <c r="G2456" s="10">
        <v>62729.37</v>
      </c>
      <c r="H2456" s="1" t="s">
        <v>36</v>
      </c>
      <c r="I2456" t="s">
        <v>51</v>
      </c>
      <c r="J2456" t="s">
        <v>14</v>
      </c>
    </row>
    <row r="2457" spans="1:10" x14ac:dyDescent="0.35">
      <c r="A2457">
        <v>2456</v>
      </c>
      <c r="B2457" s="1" t="s">
        <v>25</v>
      </c>
      <c r="C2457">
        <v>2007</v>
      </c>
      <c r="D2457" s="4">
        <v>3.3</v>
      </c>
      <c r="E2457" s="5">
        <v>3889</v>
      </c>
      <c r="F2457" s="1" t="s">
        <v>11</v>
      </c>
      <c r="G2457" s="10">
        <v>54765.09</v>
      </c>
      <c r="H2457" s="1" t="s">
        <v>26</v>
      </c>
      <c r="I2457" t="s">
        <v>52</v>
      </c>
      <c r="J2457" t="s">
        <v>22</v>
      </c>
    </row>
    <row r="2458" spans="1:10" x14ac:dyDescent="0.35">
      <c r="A2458">
        <v>2457</v>
      </c>
      <c r="B2458" s="1" t="s">
        <v>27</v>
      </c>
      <c r="C2458">
        <v>2009</v>
      </c>
      <c r="D2458" s="4">
        <v>3.6</v>
      </c>
      <c r="E2458" s="5">
        <v>118194</v>
      </c>
      <c r="F2458" s="1" t="s">
        <v>15</v>
      </c>
      <c r="G2458" s="10">
        <v>94713.45</v>
      </c>
      <c r="H2458" s="1" t="s">
        <v>28</v>
      </c>
      <c r="I2458" t="s">
        <v>13</v>
      </c>
      <c r="J2458" t="s">
        <v>14</v>
      </c>
    </row>
    <row r="2459" spans="1:10" x14ac:dyDescent="0.35">
      <c r="A2459">
        <v>2458</v>
      </c>
      <c r="B2459" s="1" t="s">
        <v>23</v>
      </c>
      <c r="C2459">
        <v>2016</v>
      </c>
      <c r="D2459" s="4">
        <v>1.2</v>
      </c>
      <c r="E2459" s="5">
        <v>124714</v>
      </c>
      <c r="F2459" s="1" t="s">
        <v>11</v>
      </c>
      <c r="G2459" s="10">
        <v>21445.93</v>
      </c>
      <c r="H2459" s="1" t="s">
        <v>24</v>
      </c>
      <c r="I2459" t="s">
        <v>13</v>
      </c>
      <c r="J2459" t="s">
        <v>22</v>
      </c>
    </row>
    <row r="2460" spans="1:10" x14ac:dyDescent="0.35">
      <c r="A2460">
        <v>2459</v>
      </c>
      <c r="B2460" s="1" t="s">
        <v>27</v>
      </c>
      <c r="C2460">
        <v>2001</v>
      </c>
      <c r="D2460" s="4">
        <v>4.2</v>
      </c>
      <c r="E2460" s="5">
        <v>31335</v>
      </c>
      <c r="F2460" s="1" t="s">
        <v>16</v>
      </c>
      <c r="G2460" s="10">
        <v>29507.23</v>
      </c>
      <c r="H2460" s="1" t="s">
        <v>28</v>
      </c>
      <c r="I2460" t="s">
        <v>52</v>
      </c>
      <c r="J2460" t="s">
        <v>22</v>
      </c>
    </row>
    <row r="2461" spans="1:10" x14ac:dyDescent="0.35">
      <c r="A2461">
        <v>2460</v>
      </c>
      <c r="B2461" s="1" t="s">
        <v>35</v>
      </c>
      <c r="C2461">
        <v>2005</v>
      </c>
      <c r="D2461" s="4">
        <v>1.4</v>
      </c>
      <c r="E2461" s="5">
        <v>50547</v>
      </c>
      <c r="F2461" s="1" t="s">
        <v>11</v>
      </c>
      <c r="G2461" s="10">
        <v>76890.210000000006</v>
      </c>
      <c r="H2461" s="1" t="s">
        <v>45</v>
      </c>
      <c r="I2461" t="s">
        <v>51</v>
      </c>
      <c r="J2461" t="s">
        <v>22</v>
      </c>
    </row>
    <row r="2462" spans="1:10" x14ac:dyDescent="0.35">
      <c r="A2462">
        <v>2461</v>
      </c>
      <c r="B2462" s="1" t="s">
        <v>35</v>
      </c>
      <c r="C2462">
        <v>2004</v>
      </c>
      <c r="D2462" s="4">
        <v>3.2</v>
      </c>
      <c r="E2462" s="5">
        <v>157234</v>
      </c>
      <c r="F2462" s="1" t="s">
        <v>16</v>
      </c>
      <c r="G2462" s="10">
        <v>78647.350000000006</v>
      </c>
      <c r="H2462" s="1" t="s">
        <v>36</v>
      </c>
      <c r="I2462" t="s">
        <v>13</v>
      </c>
      <c r="J2462" t="s">
        <v>14</v>
      </c>
    </row>
    <row r="2463" spans="1:10" x14ac:dyDescent="0.35">
      <c r="A2463">
        <v>2462</v>
      </c>
      <c r="B2463" s="1" t="s">
        <v>29</v>
      </c>
      <c r="C2463">
        <v>2008</v>
      </c>
      <c r="D2463" s="4">
        <v>2.5</v>
      </c>
      <c r="E2463" s="5">
        <v>220521</v>
      </c>
      <c r="F2463" s="1" t="s">
        <v>11</v>
      </c>
      <c r="G2463" s="10">
        <v>43465.23</v>
      </c>
      <c r="H2463" s="1" t="s">
        <v>30</v>
      </c>
      <c r="I2463" t="s">
        <v>51</v>
      </c>
      <c r="J2463" t="s">
        <v>14</v>
      </c>
    </row>
    <row r="2464" spans="1:10" x14ac:dyDescent="0.35">
      <c r="A2464">
        <v>2463</v>
      </c>
      <c r="B2464" s="1" t="s">
        <v>27</v>
      </c>
      <c r="C2464">
        <v>2004</v>
      </c>
      <c r="D2464" s="4">
        <v>3.7</v>
      </c>
      <c r="E2464" s="5">
        <v>155759</v>
      </c>
      <c r="F2464" s="1" t="s">
        <v>11</v>
      </c>
      <c r="G2464" s="10">
        <v>95342.95</v>
      </c>
      <c r="H2464" s="1" t="s">
        <v>48</v>
      </c>
      <c r="I2464" t="s">
        <v>51</v>
      </c>
      <c r="J2464" t="s">
        <v>22</v>
      </c>
    </row>
    <row r="2465" spans="1:10" x14ac:dyDescent="0.35">
      <c r="A2465">
        <v>2464</v>
      </c>
      <c r="B2465" s="1" t="s">
        <v>27</v>
      </c>
      <c r="C2465">
        <v>2017</v>
      </c>
      <c r="D2465" s="4">
        <v>1.7</v>
      </c>
      <c r="E2465" s="5">
        <v>273139</v>
      </c>
      <c r="F2465" s="1" t="s">
        <v>15</v>
      </c>
      <c r="G2465" s="10">
        <v>94134.18</v>
      </c>
      <c r="H2465" s="1" t="s">
        <v>37</v>
      </c>
      <c r="I2465" t="s">
        <v>53</v>
      </c>
      <c r="J2465" t="s">
        <v>14</v>
      </c>
    </row>
    <row r="2466" spans="1:10" x14ac:dyDescent="0.35">
      <c r="A2466">
        <v>2465</v>
      </c>
      <c r="B2466" s="1" t="s">
        <v>35</v>
      </c>
      <c r="C2466">
        <v>2019</v>
      </c>
      <c r="D2466" s="4">
        <v>4.5</v>
      </c>
      <c r="E2466" s="5">
        <v>2631</v>
      </c>
      <c r="F2466" s="1" t="s">
        <v>16</v>
      </c>
      <c r="G2466" s="10">
        <v>6178.92</v>
      </c>
      <c r="H2466" s="1" t="s">
        <v>36</v>
      </c>
      <c r="I2466" t="s">
        <v>51</v>
      </c>
      <c r="J2466" t="s">
        <v>22</v>
      </c>
    </row>
    <row r="2467" spans="1:10" x14ac:dyDescent="0.35">
      <c r="A2467">
        <v>2466</v>
      </c>
      <c r="B2467" s="1" t="s">
        <v>23</v>
      </c>
      <c r="C2467">
        <v>2008</v>
      </c>
      <c r="D2467" s="4">
        <v>5</v>
      </c>
      <c r="E2467" s="5">
        <v>137039</v>
      </c>
      <c r="F2467" s="1" t="s">
        <v>15</v>
      </c>
      <c r="G2467" s="10">
        <v>21371.15</v>
      </c>
      <c r="H2467" s="1" t="s">
        <v>24</v>
      </c>
      <c r="I2467" t="s">
        <v>53</v>
      </c>
      <c r="J2467" t="s">
        <v>22</v>
      </c>
    </row>
    <row r="2468" spans="1:10" x14ac:dyDescent="0.35">
      <c r="A2468">
        <v>2467</v>
      </c>
      <c r="B2468" s="1" t="s">
        <v>25</v>
      </c>
      <c r="C2468">
        <v>2016</v>
      </c>
      <c r="D2468" s="4">
        <v>1.8</v>
      </c>
      <c r="E2468" s="5">
        <v>64471</v>
      </c>
      <c r="F2468" s="1" t="s">
        <v>11</v>
      </c>
      <c r="G2468" s="10">
        <v>82920.850000000006</v>
      </c>
      <c r="H2468" s="1" t="s">
        <v>26</v>
      </c>
      <c r="I2468" t="s">
        <v>13</v>
      </c>
      <c r="J2468" t="s">
        <v>22</v>
      </c>
    </row>
    <row r="2469" spans="1:10" x14ac:dyDescent="0.35">
      <c r="A2469">
        <v>2468</v>
      </c>
      <c r="B2469" s="1" t="s">
        <v>10</v>
      </c>
      <c r="C2469">
        <v>2016</v>
      </c>
      <c r="D2469" s="4">
        <v>1.5</v>
      </c>
      <c r="E2469" s="5">
        <v>299260</v>
      </c>
      <c r="F2469" s="1" t="s">
        <v>15</v>
      </c>
      <c r="G2469" s="10">
        <v>36845.589999999997</v>
      </c>
      <c r="H2469" s="1" t="s">
        <v>17</v>
      </c>
      <c r="I2469" t="s">
        <v>13</v>
      </c>
      <c r="J2469" t="s">
        <v>14</v>
      </c>
    </row>
    <row r="2470" spans="1:10" x14ac:dyDescent="0.35">
      <c r="A2470">
        <v>2469</v>
      </c>
      <c r="B2470" s="1" t="s">
        <v>25</v>
      </c>
      <c r="C2470">
        <v>2011</v>
      </c>
      <c r="D2470" s="4">
        <v>1.7</v>
      </c>
      <c r="E2470" s="5">
        <v>133014</v>
      </c>
      <c r="F2470" s="1" t="s">
        <v>11</v>
      </c>
      <c r="G2470" s="10">
        <v>14068.95</v>
      </c>
      <c r="H2470" s="1" t="s">
        <v>26</v>
      </c>
      <c r="I2470" t="s">
        <v>53</v>
      </c>
      <c r="J2470" t="s">
        <v>14</v>
      </c>
    </row>
    <row r="2471" spans="1:10" x14ac:dyDescent="0.35">
      <c r="A2471">
        <v>2470</v>
      </c>
      <c r="B2471" s="1" t="s">
        <v>27</v>
      </c>
      <c r="C2471">
        <v>2006</v>
      </c>
      <c r="D2471" s="4">
        <v>5.4</v>
      </c>
      <c r="E2471" s="5">
        <v>47664</v>
      </c>
      <c r="F2471" s="1" t="s">
        <v>11</v>
      </c>
      <c r="G2471" s="10">
        <v>79574.92</v>
      </c>
      <c r="H2471" s="1" t="s">
        <v>48</v>
      </c>
      <c r="I2471" t="s">
        <v>52</v>
      </c>
      <c r="J2471" t="s">
        <v>22</v>
      </c>
    </row>
    <row r="2472" spans="1:10" x14ac:dyDescent="0.35">
      <c r="A2472">
        <v>2471</v>
      </c>
      <c r="B2472" s="1" t="s">
        <v>25</v>
      </c>
      <c r="C2472">
        <v>2002</v>
      </c>
      <c r="D2472" s="4">
        <v>3.6</v>
      </c>
      <c r="E2472" s="5">
        <v>159141</v>
      </c>
      <c r="F2472" s="1" t="s">
        <v>11</v>
      </c>
      <c r="G2472" s="10">
        <v>48185.43</v>
      </c>
      <c r="H2472" s="1" t="s">
        <v>26</v>
      </c>
      <c r="I2472" t="s">
        <v>13</v>
      </c>
      <c r="J2472" t="s">
        <v>14</v>
      </c>
    </row>
    <row r="2473" spans="1:10" x14ac:dyDescent="0.35">
      <c r="A2473">
        <v>2472</v>
      </c>
      <c r="B2473" s="1" t="s">
        <v>35</v>
      </c>
      <c r="C2473">
        <v>2009</v>
      </c>
      <c r="D2473" s="4">
        <v>3.3</v>
      </c>
      <c r="E2473" s="5">
        <v>87342</v>
      </c>
      <c r="F2473" s="1" t="s">
        <v>16</v>
      </c>
      <c r="G2473" s="10">
        <v>51779.02</v>
      </c>
      <c r="H2473" s="1" t="s">
        <v>45</v>
      </c>
      <c r="I2473" t="s">
        <v>51</v>
      </c>
      <c r="J2473" t="s">
        <v>22</v>
      </c>
    </row>
    <row r="2474" spans="1:10" x14ac:dyDescent="0.35">
      <c r="A2474">
        <v>2473</v>
      </c>
      <c r="B2474" s="1" t="s">
        <v>35</v>
      </c>
      <c r="C2474">
        <v>2001</v>
      </c>
      <c r="D2474" s="4">
        <v>1.5</v>
      </c>
      <c r="E2474" s="5">
        <v>14407</v>
      </c>
      <c r="F2474" s="1" t="s">
        <v>16</v>
      </c>
      <c r="G2474" s="10">
        <v>22705.09</v>
      </c>
      <c r="H2474" s="1" t="s">
        <v>36</v>
      </c>
      <c r="I2474" t="s">
        <v>13</v>
      </c>
      <c r="J2474" t="s">
        <v>22</v>
      </c>
    </row>
    <row r="2475" spans="1:10" x14ac:dyDescent="0.35">
      <c r="A2475">
        <v>2474</v>
      </c>
      <c r="B2475" s="1" t="s">
        <v>27</v>
      </c>
      <c r="C2475">
        <v>2002</v>
      </c>
      <c r="D2475" s="4">
        <v>4.2</v>
      </c>
      <c r="E2475" s="5">
        <v>113926</v>
      </c>
      <c r="F2475" s="1" t="s">
        <v>16</v>
      </c>
      <c r="G2475" s="10">
        <v>67785.03</v>
      </c>
      <c r="H2475" s="1" t="s">
        <v>48</v>
      </c>
      <c r="I2475" t="s">
        <v>52</v>
      </c>
      <c r="J2475" t="s">
        <v>14</v>
      </c>
    </row>
    <row r="2476" spans="1:10" x14ac:dyDescent="0.35">
      <c r="A2476">
        <v>2475</v>
      </c>
      <c r="B2476" s="1" t="s">
        <v>27</v>
      </c>
      <c r="C2476">
        <v>2015</v>
      </c>
      <c r="D2476" s="4">
        <v>5.3</v>
      </c>
      <c r="E2476" s="5">
        <v>213053</v>
      </c>
      <c r="F2476" s="1" t="s">
        <v>15</v>
      </c>
      <c r="G2476" s="10">
        <v>57367.93</v>
      </c>
      <c r="H2476" s="1" t="s">
        <v>48</v>
      </c>
      <c r="I2476" t="s">
        <v>13</v>
      </c>
      <c r="J2476" t="s">
        <v>22</v>
      </c>
    </row>
    <row r="2477" spans="1:10" x14ac:dyDescent="0.35">
      <c r="A2477">
        <v>2476</v>
      </c>
      <c r="B2477" s="1" t="s">
        <v>10</v>
      </c>
      <c r="C2477">
        <v>2001</v>
      </c>
      <c r="D2477" s="4">
        <v>5.0999999999999996</v>
      </c>
      <c r="E2477" s="5">
        <v>17878</v>
      </c>
      <c r="F2477" s="1" t="s">
        <v>11</v>
      </c>
      <c r="G2477" s="10">
        <v>24633.93</v>
      </c>
      <c r="H2477" s="1" t="s">
        <v>12</v>
      </c>
      <c r="I2477" t="s">
        <v>13</v>
      </c>
      <c r="J2477" t="s">
        <v>14</v>
      </c>
    </row>
    <row r="2478" spans="1:10" x14ac:dyDescent="0.35">
      <c r="A2478">
        <v>2477</v>
      </c>
      <c r="B2478" s="1" t="s">
        <v>10</v>
      </c>
      <c r="C2478">
        <v>2023</v>
      </c>
      <c r="D2478" s="4">
        <v>4.0999999999999996</v>
      </c>
      <c r="E2478" s="5">
        <v>83100</v>
      </c>
      <c r="F2478" s="1" t="s">
        <v>15</v>
      </c>
      <c r="G2478" s="10">
        <v>37331.49</v>
      </c>
      <c r="H2478" s="1" t="s">
        <v>12</v>
      </c>
      <c r="I2478" t="s">
        <v>13</v>
      </c>
      <c r="J2478" t="s">
        <v>14</v>
      </c>
    </row>
    <row r="2479" spans="1:10" x14ac:dyDescent="0.35">
      <c r="A2479">
        <v>2478</v>
      </c>
      <c r="B2479" s="1" t="s">
        <v>29</v>
      </c>
      <c r="C2479">
        <v>2009</v>
      </c>
      <c r="D2479" s="4">
        <v>1.4</v>
      </c>
      <c r="E2479" s="5">
        <v>223059</v>
      </c>
      <c r="F2479" s="1" t="s">
        <v>15</v>
      </c>
      <c r="G2479" s="10">
        <v>61703.53</v>
      </c>
      <c r="H2479" s="1" t="s">
        <v>38</v>
      </c>
      <c r="I2479" t="s">
        <v>51</v>
      </c>
      <c r="J2479" t="s">
        <v>14</v>
      </c>
    </row>
    <row r="2480" spans="1:10" x14ac:dyDescent="0.35">
      <c r="A2480">
        <v>2479</v>
      </c>
      <c r="B2480" s="1" t="s">
        <v>27</v>
      </c>
      <c r="C2480">
        <v>2005</v>
      </c>
      <c r="D2480" s="4">
        <v>1.6</v>
      </c>
      <c r="E2480" s="5">
        <v>43168</v>
      </c>
      <c r="F2480" s="1" t="s">
        <v>11</v>
      </c>
      <c r="G2480" s="10">
        <v>92862.86</v>
      </c>
      <c r="H2480" s="1" t="s">
        <v>48</v>
      </c>
      <c r="I2480" t="s">
        <v>53</v>
      </c>
      <c r="J2480" t="s">
        <v>14</v>
      </c>
    </row>
    <row r="2481" spans="1:10" x14ac:dyDescent="0.35">
      <c r="A2481">
        <v>2480</v>
      </c>
      <c r="B2481" s="1" t="s">
        <v>23</v>
      </c>
      <c r="C2481">
        <v>2021</v>
      </c>
      <c r="D2481" s="4">
        <v>1.2</v>
      </c>
      <c r="E2481" s="5">
        <v>250396</v>
      </c>
      <c r="F2481" s="1" t="s">
        <v>15</v>
      </c>
      <c r="G2481" s="10">
        <v>92435.75</v>
      </c>
      <c r="H2481" s="1" t="s">
        <v>34</v>
      </c>
      <c r="I2481" t="s">
        <v>52</v>
      </c>
      <c r="J2481" t="s">
        <v>22</v>
      </c>
    </row>
    <row r="2482" spans="1:10" x14ac:dyDescent="0.35">
      <c r="A2482">
        <v>2481</v>
      </c>
      <c r="B2482" s="1" t="s">
        <v>25</v>
      </c>
      <c r="C2482">
        <v>2010</v>
      </c>
      <c r="D2482" s="4">
        <v>2.2999999999999998</v>
      </c>
      <c r="E2482" s="5">
        <v>250481</v>
      </c>
      <c r="F2482" s="1" t="s">
        <v>11</v>
      </c>
      <c r="G2482" s="10">
        <v>32351.06</v>
      </c>
      <c r="H2482" s="1" t="s">
        <v>41</v>
      </c>
      <c r="I2482" t="s">
        <v>51</v>
      </c>
      <c r="J2482" t="s">
        <v>22</v>
      </c>
    </row>
    <row r="2483" spans="1:10" x14ac:dyDescent="0.35">
      <c r="A2483">
        <v>2482</v>
      </c>
      <c r="B2483" s="1" t="s">
        <v>27</v>
      </c>
      <c r="C2483">
        <v>2022</v>
      </c>
      <c r="D2483" s="4">
        <v>1.7</v>
      </c>
      <c r="E2483" s="5">
        <v>28004</v>
      </c>
      <c r="F2483" s="1" t="s">
        <v>11</v>
      </c>
      <c r="G2483" s="10">
        <v>74883.990000000005</v>
      </c>
      <c r="H2483" s="1" t="s">
        <v>37</v>
      </c>
      <c r="I2483" t="s">
        <v>51</v>
      </c>
      <c r="J2483" t="s">
        <v>14</v>
      </c>
    </row>
    <row r="2484" spans="1:10" x14ac:dyDescent="0.35">
      <c r="A2484">
        <v>2483</v>
      </c>
      <c r="B2484" s="1" t="s">
        <v>20</v>
      </c>
      <c r="C2484">
        <v>2006</v>
      </c>
      <c r="D2484" s="4">
        <v>2.2999999999999998</v>
      </c>
      <c r="E2484" s="5">
        <v>282615</v>
      </c>
      <c r="F2484" s="1" t="s">
        <v>11</v>
      </c>
      <c r="G2484" s="10">
        <v>78674.31</v>
      </c>
      <c r="H2484" s="1" t="s">
        <v>21</v>
      </c>
      <c r="I2484" t="s">
        <v>13</v>
      </c>
      <c r="J2484" t="s">
        <v>14</v>
      </c>
    </row>
    <row r="2485" spans="1:10" x14ac:dyDescent="0.35">
      <c r="A2485">
        <v>2484</v>
      </c>
      <c r="B2485" s="1" t="s">
        <v>29</v>
      </c>
      <c r="C2485">
        <v>2014</v>
      </c>
      <c r="D2485" s="4">
        <v>2.9</v>
      </c>
      <c r="E2485" s="5">
        <v>91820</v>
      </c>
      <c r="F2485" s="1" t="s">
        <v>11</v>
      </c>
      <c r="G2485" s="10">
        <v>81838.19</v>
      </c>
      <c r="H2485" s="1" t="s">
        <v>43</v>
      </c>
      <c r="I2485" t="s">
        <v>53</v>
      </c>
      <c r="J2485" t="s">
        <v>22</v>
      </c>
    </row>
    <row r="2486" spans="1:10" x14ac:dyDescent="0.35">
      <c r="A2486">
        <v>2485</v>
      </c>
      <c r="B2486" s="1" t="s">
        <v>20</v>
      </c>
      <c r="C2486">
        <v>2005</v>
      </c>
      <c r="D2486" s="4">
        <v>5.7</v>
      </c>
      <c r="E2486" s="5">
        <v>191239</v>
      </c>
      <c r="F2486" s="1" t="s">
        <v>15</v>
      </c>
      <c r="G2486" s="10">
        <v>59222.42</v>
      </c>
      <c r="H2486" s="1" t="s">
        <v>21</v>
      </c>
      <c r="I2486" t="s">
        <v>51</v>
      </c>
      <c r="J2486" t="s">
        <v>22</v>
      </c>
    </row>
    <row r="2487" spans="1:10" x14ac:dyDescent="0.35">
      <c r="A2487">
        <v>2486</v>
      </c>
      <c r="B2487" s="1" t="s">
        <v>35</v>
      </c>
      <c r="C2487">
        <v>2019</v>
      </c>
      <c r="D2487" s="4">
        <v>4.0999999999999996</v>
      </c>
      <c r="E2487" s="5">
        <v>102229</v>
      </c>
      <c r="F2487" s="1" t="s">
        <v>15</v>
      </c>
      <c r="G2487" s="10">
        <v>5998.26</v>
      </c>
      <c r="H2487" s="1" t="s">
        <v>36</v>
      </c>
      <c r="I2487" t="s">
        <v>53</v>
      </c>
      <c r="J2487" t="s">
        <v>14</v>
      </c>
    </row>
    <row r="2488" spans="1:10" x14ac:dyDescent="0.35">
      <c r="A2488">
        <v>2487</v>
      </c>
      <c r="B2488" s="1" t="s">
        <v>10</v>
      </c>
      <c r="C2488">
        <v>2008</v>
      </c>
      <c r="D2488" s="4">
        <v>5.2</v>
      </c>
      <c r="E2488" s="5">
        <v>14568</v>
      </c>
      <c r="F2488" s="1" t="s">
        <v>15</v>
      </c>
      <c r="G2488" s="10">
        <v>77359.25</v>
      </c>
      <c r="H2488" s="1" t="s">
        <v>18</v>
      </c>
      <c r="I2488" t="s">
        <v>13</v>
      </c>
      <c r="J2488" t="s">
        <v>14</v>
      </c>
    </row>
    <row r="2489" spans="1:10" x14ac:dyDescent="0.35">
      <c r="A2489">
        <v>2488</v>
      </c>
      <c r="B2489" s="1" t="s">
        <v>25</v>
      </c>
      <c r="C2489">
        <v>2021</v>
      </c>
      <c r="D2489" s="4">
        <v>4.5999999999999996</v>
      </c>
      <c r="E2489" s="5">
        <v>9466</v>
      </c>
      <c r="F2489" s="1" t="s">
        <v>16</v>
      </c>
      <c r="G2489" s="10">
        <v>15126.76</v>
      </c>
      <c r="H2489" s="1" t="s">
        <v>49</v>
      </c>
      <c r="I2489" t="s">
        <v>13</v>
      </c>
      <c r="J2489" t="s">
        <v>14</v>
      </c>
    </row>
    <row r="2490" spans="1:10" x14ac:dyDescent="0.35">
      <c r="A2490">
        <v>2489</v>
      </c>
      <c r="B2490" s="1" t="s">
        <v>27</v>
      </c>
      <c r="C2490">
        <v>2019</v>
      </c>
      <c r="D2490" s="4">
        <v>1.6</v>
      </c>
      <c r="E2490" s="5">
        <v>222129</v>
      </c>
      <c r="F2490" s="1" t="s">
        <v>15</v>
      </c>
      <c r="G2490" s="10">
        <v>16102.78</v>
      </c>
      <c r="H2490" s="1" t="s">
        <v>48</v>
      </c>
      <c r="I2490" t="s">
        <v>51</v>
      </c>
      <c r="J2490" t="s">
        <v>14</v>
      </c>
    </row>
    <row r="2491" spans="1:10" x14ac:dyDescent="0.35">
      <c r="A2491">
        <v>2490</v>
      </c>
      <c r="B2491" s="1" t="s">
        <v>20</v>
      </c>
      <c r="C2491">
        <v>2011</v>
      </c>
      <c r="D2491" s="4">
        <v>4.7</v>
      </c>
      <c r="E2491" s="5">
        <v>57324</v>
      </c>
      <c r="F2491" s="1" t="s">
        <v>15</v>
      </c>
      <c r="G2491" s="10">
        <v>62534.36</v>
      </c>
      <c r="H2491" s="1" t="s">
        <v>46</v>
      </c>
      <c r="I2491" t="s">
        <v>13</v>
      </c>
      <c r="J2491" t="s">
        <v>22</v>
      </c>
    </row>
    <row r="2492" spans="1:10" x14ac:dyDescent="0.35">
      <c r="A2492">
        <v>2491</v>
      </c>
      <c r="B2492" s="1" t="s">
        <v>25</v>
      </c>
      <c r="C2492">
        <v>2018</v>
      </c>
      <c r="D2492" s="4">
        <v>2.4</v>
      </c>
      <c r="E2492" s="5">
        <v>146539</v>
      </c>
      <c r="F2492" s="1" t="s">
        <v>16</v>
      </c>
      <c r="G2492" s="10">
        <v>98434.45</v>
      </c>
      <c r="H2492" s="1" t="s">
        <v>44</v>
      </c>
      <c r="I2492" t="s">
        <v>52</v>
      </c>
      <c r="J2492" t="s">
        <v>22</v>
      </c>
    </row>
    <row r="2493" spans="1:10" x14ac:dyDescent="0.35">
      <c r="A2493">
        <v>2492</v>
      </c>
      <c r="B2493" s="1" t="s">
        <v>35</v>
      </c>
      <c r="C2493">
        <v>2019</v>
      </c>
      <c r="D2493" s="4">
        <v>4.2</v>
      </c>
      <c r="E2493" s="5">
        <v>75955</v>
      </c>
      <c r="F2493" s="1" t="s">
        <v>11</v>
      </c>
      <c r="G2493" s="10">
        <v>28041.25</v>
      </c>
      <c r="H2493" s="1" t="s">
        <v>36</v>
      </c>
      <c r="I2493" t="s">
        <v>52</v>
      </c>
      <c r="J2493" t="s">
        <v>22</v>
      </c>
    </row>
    <row r="2494" spans="1:10" x14ac:dyDescent="0.35">
      <c r="A2494">
        <v>2493</v>
      </c>
      <c r="B2494" s="1" t="s">
        <v>10</v>
      </c>
      <c r="C2494">
        <v>2002</v>
      </c>
      <c r="D2494" s="4">
        <v>2.7</v>
      </c>
      <c r="E2494" s="5">
        <v>147748</v>
      </c>
      <c r="F2494" s="1" t="s">
        <v>11</v>
      </c>
      <c r="G2494" s="10">
        <v>66352.03</v>
      </c>
      <c r="H2494" s="1" t="s">
        <v>12</v>
      </c>
      <c r="I2494" t="s">
        <v>13</v>
      </c>
      <c r="J2494" t="s">
        <v>14</v>
      </c>
    </row>
    <row r="2495" spans="1:10" x14ac:dyDescent="0.35">
      <c r="A2495">
        <v>2494</v>
      </c>
      <c r="B2495" s="1" t="s">
        <v>23</v>
      </c>
      <c r="C2495">
        <v>2014</v>
      </c>
      <c r="D2495" s="4">
        <v>6</v>
      </c>
      <c r="E2495" s="5">
        <v>94791</v>
      </c>
      <c r="F2495" s="1" t="s">
        <v>11</v>
      </c>
      <c r="G2495" s="10">
        <v>33847.1</v>
      </c>
      <c r="H2495" s="1" t="s">
        <v>34</v>
      </c>
      <c r="I2495" t="s">
        <v>53</v>
      </c>
      <c r="J2495" t="s">
        <v>14</v>
      </c>
    </row>
    <row r="2496" spans="1:10" x14ac:dyDescent="0.35">
      <c r="A2496">
        <v>2495</v>
      </c>
      <c r="B2496" s="1" t="s">
        <v>29</v>
      </c>
      <c r="C2496">
        <v>2001</v>
      </c>
      <c r="D2496" s="4">
        <v>2.2999999999999998</v>
      </c>
      <c r="E2496" s="5">
        <v>162586</v>
      </c>
      <c r="F2496" s="1" t="s">
        <v>16</v>
      </c>
      <c r="G2496" s="10">
        <v>90378.98</v>
      </c>
      <c r="H2496" s="1" t="s">
        <v>30</v>
      </c>
      <c r="I2496" t="s">
        <v>51</v>
      </c>
      <c r="J2496" t="s">
        <v>22</v>
      </c>
    </row>
    <row r="2497" spans="1:10" x14ac:dyDescent="0.35">
      <c r="A2497">
        <v>2496</v>
      </c>
      <c r="B2497" s="1" t="s">
        <v>25</v>
      </c>
      <c r="C2497">
        <v>2020</v>
      </c>
      <c r="D2497" s="4">
        <v>2.4</v>
      </c>
      <c r="E2497" s="5">
        <v>22650</v>
      </c>
      <c r="F2497" s="1" t="s">
        <v>15</v>
      </c>
      <c r="G2497" s="10">
        <v>61384.1</v>
      </c>
      <c r="H2497" s="1" t="s">
        <v>44</v>
      </c>
      <c r="I2497" t="s">
        <v>51</v>
      </c>
      <c r="J2497" t="s">
        <v>14</v>
      </c>
    </row>
    <row r="2498" spans="1:10" x14ac:dyDescent="0.35">
      <c r="A2498">
        <v>2497</v>
      </c>
      <c r="B2498" s="1" t="s">
        <v>25</v>
      </c>
      <c r="C2498">
        <v>2001</v>
      </c>
      <c r="D2498" s="4">
        <v>5.7</v>
      </c>
      <c r="E2498" s="5">
        <v>77701</v>
      </c>
      <c r="F2498" s="1" t="s">
        <v>15</v>
      </c>
      <c r="G2498" s="10">
        <v>24710.35</v>
      </c>
      <c r="H2498" s="1" t="s">
        <v>49</v>
      </c>
      <c r="I2498" t="s">
        <v>52</v>
      </c>
      <c r="J2498" t="s">
        <v>22</v>
      </c>
    </row>
    <row r="2499" spans="1:10" x14ac:dyDescent="0.35">
      <c r="A2499">
        <v>2498</v>
      </c>
      <c r="B2499" s="1" t="s">
        <v>23</v>
      </c>
      <c r="C2499">
        <v>2021</v>
      </c>
      <c r="D2499" s="4">
        <v>1.1000000000000001</v>
      </c>
      <c r="E2499" s="5">
        <v>272827</v>
      </c>
      <c r="F2499" s="1" t="s">
        <v>15</v>
      </c>
      <c r="G2499" s="10">
        <v>29902.45</v>
      </c>
      <c r="H2499" s="1" t="s">
        <v>42</v>
      </c>
      <c r="I2499" t="s">
        <v>52</v>
      </c>
      <c r="J2499" t="s">
        <v>22</v>
      </c>
    </row>
    <row r="2500" spans="1:10" x14ac:dyDescent="0.35">
      <c r="A2500">
        <v>2499</v>
      </c>
      <c r="B2500" s="1" t="s">
        <v>25</v>
      </c>
      <c r="C2500">
        <v>2002</v>
      </c>
      <c r="D2500" s="4">
        <v>4.5</v>
      </c>
      <c r="E2500" s="5">
        <v>229164</v>
      </c>
      <c r="F2500" s="1" t="s">
        <v>15</v>
      </c>
      <c r="G2500" s="10">
        <v>46085.67</v>
      </c>
      <c r="H2500" s="1" t="s">
        <v>44</v>
      </c>
      <c r="I2500" t="s">
        <v>53</v>
      </c>
      <c r="J2500" t="s">
        <v>22</v>
      </c>
    </row>
    <row r="2501" spans="1:10" x14ac:dyDescent="0.35">
      <c r="A2501">
        <v>2500</v>
      </c>
      <c r="B2501" s="1" t="s">
        <v>35</v>
      </c>
      <c r="C2501">
        <v>2005</v>
      </c>
      <c r="D2501" s="4">
        <v>4.5999999999999996</v>
      </c>
      <c r="E2501" s="5">
        <v>80978</v>
      </c>
      <c r="F2501" s="1" t="s">
        <v>16</v>
      </c>
      <c r="G2501" s="10">
        <v>16594.14</v>
      </c>
      <c r="H2501" s="1" t="s">
        <v>50</v>
      </c>
      <c r="I2501" t="s">
        <v>53</v>
      </c>
      <c r="J25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AD87-CC7F-4D01-9602-F5541C3A24F9}">
  <dimension ref="A1:N48"/>
  <sheetViews>
    <sheetView topLeftCell="B10" zoomScale="145" zoomScaleNormal="145" workbookViewId="0">
      <selection activeCell="L9" sqref="L9"/>
    </sheetView>
  </sheetViews>
  <sheetFormatPr defaultRowHeight="14.5" x14ac:dyDescent="0.35"/>
  <cols>
    <col min="1" max="1" width="12.453125" bestFit="1" customWidth="1"/>
    <col min="2" max="3" width="13.453125" bestFit="1" customWidth="1"/>
    <col min="4" max="4" width="15.6328125" bestFit="1" customWidth="1"/>
    <col min="5" max="5" width="7" bestFit="1" customWidth="1"/>
    <col min="6" max="6" width="12.453125" bestFit="1" customWidth="1"/>
    <col min="7" max="7" width="15.6328125" bestFit="1" customWidth="1"/>
    <col min="8" max="8" width="7" bestFit="1" customWidth="1"/>
    <col min="9" max="9" width="10.36328125" bestFit="1" customWidth="1"/>
    <col min="10" max="10" width="12.453125" bestFit="1" customWidth="1"/>
    <col min="11" max="11" width="14.54296875" bestFit="1" customWidth="1"/>
    <col min="12" max="12" width="5" bestFit="1" customWidth="1"/>
    <col min="13" max="13" width="12.453125" bestFit="1" customWidth="1"/>
    <col min="14" max="14" width="11.81640625" bestFit="1" customWidth="1"/>
    <col min="15" max="34" width="5" bestFit="1" customWidth="1"/>
    <col min="35" max="48" width="8.1796875" bestFit="1" customWidth="1"/>
    <col min="49" max="49" width="7.1796875" bestFit="1" customWidth="1"/>
    <col min="50" max="58" width="8.1796875" bestFit="1" customWidth="1"/>
    <col min="59" max="59" width="7.1796875" bestFit="1" customWidth="1"/>
    <col min="60" max="67" width="8.1796875" bestFit="1" customWidth="1"/>
    <col min="68" max="68" width="7.1796875" bestFit="1" customWidth="1"/>
    <col min="69" max="82" width="8.1796875" bestFit="1" customWidth="1"/>
    <col min="83" max="83" width="7.1796875" bestFit="1" customWidth="1"/>
    <col min="84" max="84" width="8.1796875" bestFit="1" customWidth="1"/>
    <col min="85" max="85" width="7.1796875" bestFit="1" customWidth="1"/>
    <col min="86" max="88" width="8.1796875" bestFit="1" customWidth="1"/>
    <col min="89" max="89" width="7.1796875" bestFit="1" customWidth="1"/>
    <col min="90" max="97" width="8.1796875" bestFit="1" customWidth="1"/>
    <col min="98" max="99" width="7.1796875" bestFit="1" customWidth="1"/>
    <col min="100" max="100" width="8.1796875" bestFit="1" customWidth="1"/>
    <col min="101" max="101" width="7.1796875" bestFit="1" customWidth="1"/>
    <col min="102" max="106" width="8.1796875" bestFit="1" customWidth="1"/>
    <col min="107" max="107" width="7.1796875" bestFit="1" customWidth="1"/>
    <col min="108" max="117" width="8.1796875" bestFit="1" customWidth="1"/>
    <col min="118" max="118" width="7.1796875" bestFit="1" customWidth="1"/>
    <col min="119" max="124" width="8.1796875" bestFit="1" customWidth="1"/>
    <col min="125" max="125" width="7.1796875" bestFit="1" customWidth="1"/>
    <col min="126" max="128" width="8.1796875" bestFit="1" customWidth="1"/>
    <col min="129" max="129" width="7.1796875" bestFit="1" customWidth="1"/>
    <col min="130" max="144" width="8.1796875" bestFit="1" customWidth="1"/>
    <col min="145" max="146" width="9.26953125" bestFit="1" customWidth="1"/>
    <col min="147" max="147" width="8.1796875" bestFit="1" customWidth="1"/>
    <col min="148" max="169" width="9.26953125" bestFit="1" customWidth="1"/>
    <col min="170" max="170" width="8.1796875" bestFit="1" customWidth="1"/>
    <col min="171" max="181" width="9.26953125" bestFit="1" customWidth="1"/>
    <col min="182" max="182" width="8.1796875" bestFit="1" customWidth="1"/>
    <col min="183" max="221" width="9.26953125" bestFit="1" customWidth="1"/>
    <col min="222" max="222" width="6.08984375" bestFit="1" customWidth="1"/>
    <col min="223" max="227" width="9.26953125" bestFit="1" customWidth="1"/>
    <col min="228" max="228" width="8.1796875" bestFit="1" customWidth="1"/>
    <col min="229" max="241" width="9.26953125" bestFit="1" customWidth="1"/>
    <col min="242" max="242" width="8.1796875" bestFit="1" customWidth="1"/>
    <col min="243" max="245" width="9.26953125" bestFit="1" customWidth="1"/>
    <col min="246" max="246" width="6.08984375" bestFit="1" customWidth="1"/>
    <col min="247" max="258" width="9.26953125" bestFit="1" customWidth="1"/>
    <col min="259" max="259" width="8.1796875" bestFit="1" customWidth="1"/>
    <col min="260" max="304" width="9.26953125" bestFit="1" customWidth="1"/>
    <col min="305" max="305" width="6.08984375" bestFit="1" customWidth="1"/>
    <col min="306" max="310" width="9.26953125" bestFit="1" customWidth="1"/>
    <col min="311" max="311" width="8.1796875" bestFit="1" customWidth="1"/>
    <col min="312" max="316" width="9.26953125" bestFit="1" customWidth="1"/>
    <col min="317" max="317" width="8.1796875" bestFit="1" customWidth="1"/>
    <col min="318" max="342" width="9.26953125" bestFit="1" customWidth="1"/>
    <col min="343" max="343" width="8.1796875" bestFit="1" customWidth="1"/>
    <col min="344" max="348" width="9.26953125" bestFit="1" customWidth="1"/>
    <col min="349" max="349" width="8.1796875" bestFit="1" customWidth="1"/>
    <col min="350" max="352" width="9.26953125" bestFit="1" customWidth="1"/>
    <col min="353" max="353" width="8.1796875" bestFit="1" customWidth="1"/>
    <col min="354" max="354" width="9.26953125" bestFit="1" customWidth="1"/>
    <col min="355" max="355" width="8.1796875" bestFit="1" customWidth="1"/>
    <col min="356" max="361" width="9.26953125" bestFit="1" customWidth="1"/>
    <col min="362" max="362" width="8.1796875" bestFit="1" customWidth="1"/>
    <col min="363" max="367" width="9.26953125" bestFit="1" customWidth="1"/>
    <col min="368" max="368" width="8.1796875" bestFit="1" customWidth="1"/>
    <col min="369" max="384" width="9.26953125" bestFit="1" customWidth="1"/>
    <col min="385" max="385" width="8.1796875" bestFit="1" customWidth="1"/>
    <col min="386" max="429" width="9.26953125" bestFit="1" customWidth="1"/>
    <col min="430" max="431" width="8.1796875" bestFit="1" customWidth="1"/>
    <col min="432" max="475" width="9.26953125" bestFit="1" customWidth="1"/>
    <col min="476" max="476" width="8.1796875" bestFit="1" customWidth="1"/>
    <col min="477" max="478" width="9.26953125" bestFit="1" customWidth="1"/>
    <col min="479" max="479" width="8.1796875" bestFit="1" customWidth="1"/>
    <col min="480" max="482" width="9.26953125" bestFit="1" customWidth="1"/>
    <col min="483" max="483" width="8.1796875" bestFit="1" customWidth="1"/>
    <col min="484" max="484" width="9.26953125" bestFit="1" customWidth="1"/>
    <col min="485" max="485" width="8.1796875" bestFit="1" customWidth="1"/>
    <col min="486" max="489" width="9.26953125" bestFit="1" customWidth="1"/>
    <col min="490" max="490" width="8.1796875" bestFit="1" customWidth="1"/>
    <col min="491" max="535" width="9.26953125" bestFit="1" customWidth="1"/>
    <col min="536" max="536" width="8.1796875" bestFit="1" customWidth="1"/>
    <col min="537" max="537" width="9.26953125" bestFit="1" customWidth="1"/>
    <col min="538" max="538" width="8.1796875" bestFit="1" customWidth="1"/>
    <col min="539" max="544" width="9.26953125" bestFit="1" customWidth="1"/>
    <col min="545" max="545" width="6.08984375" bestFit="1" customWidth="1"/>
    <col min="546" max="548" width="9.26953125" bestFit="1" customWidth="1"/>
    <col min="549" max="549" width="8.1796875" bestFit="1" customWidth="1"/>
    <col min="550" max="550" width="9.26953125" bestFit="1" customWidth="1"/>
    <col min="551" max="551" width="8.1796875" bestFit="1" customWidth="1"/>
    <col min="552" max="556" width="9.26953125" bestFit="1" customWidth="1"/>
    <col min="557" max="557" width="8.1796875" bestFit="1" customWidth="1"/>
    <col min="558" max="566" width="9.26953125" bestFit="1" customWidth="1"/>
    <col min="567" max="567" width="8.1796875" bestFit="1" customWidth="1"/>
    <col min="568" max="575" width="9.26953125" bestFit="1" customWidth="1"/>
    <col min="576" max="576" width="6.08984375" bestFit="1" customWidth="1"/>
    <col min="577" max="581" width="9.26953125" bestFit="1" customWidth="1"/>
    <col min="582" max="582" width="8.1796875" bestFit="1" customWidth="1"/>
    <col min="583" max="583" width="9.26953125" bestFit="1" customWidth="1"/>
    <col min="584" max="584" width="6.08984375" bestFit="1" customWidth="1"/>
    <col min="585" max="597" width="9.26953125" bestFit="1" customWidth="1"/>
    <col min="598" max="598" width="6.08984375" bestFit="1" customWidth="1"/>
    <col min="599" max="606" width="9.26953125" bestFit="1" customWidth="1"/>
    <col min="607" max="607" width="8.1796875" bestFit="1" customWidth="1"/>
    <col min="608" max="617" width="9.26953125" bestFit="1" customWidth="1"/>
    <col min="618" max="618" width="8.1796875" bestFit="1" customWidth="1"/>
    <col min="619" max="629" width="9.26953125" bestFit="1" customWidth="1"/>
    <col min="630" max="630" width="8.1796875" bestFit="1" customWidth="1"/>
    <col min="631" max="632" width="9.26953125" bestFit="1" customWidth="1"/>
    <col min="633" max="633" width="8.1796875" bestFit="1" customWidth="1"/>
    <col min="634" max="643" width="9.26953125" bestFit="1" customWidth="1"/>
    <col min="644" max="644" width="8.1796875" bestFit="1" customWidth="1"/>
    <col min="645" max="655" width="9.26953125" bestFit="1" customWidth="1"/>
    <col min="656" max="656" width="8.1796875" bestFit="1" customWidth="1"/>
    <col min="657" max="659" width="9.26953125" bestFit="1" customWidth="1"/>
    <col min="660" max="660" width="8.1796875" bestFit="1" customWidth="1"/>
    <col min="661" max="661" width="9.26953125" bestFit="1" customWidth="1"/>
    <col min="662" max="663" width="8.1796875" bestFit="1" customWidth="1"/>
    <col min="664" max="680" width="9.26953125" bestFit="1" customWidth="1"/>
    <col min="681" max="681" width="8.1796875" bestFit="1" customWidth="1"/>
    <col min="682" max="685" width="9.26953125" bestFit="1" customWidth="1"/>
    <col min="686" max="686" width="8.1796875" bestFit="1" customWidth="1"/>
    <col min="687" max="692" width="9.26953125" bestFit="1" customWidth="1"/>
    <col min="693" max="693" width="8.1796875" bestFit="1" customWidth="1"/>
    <col min="694" max="698" width="9.26953125" bestFit="1" customWidth="1"/>
    <col min="699" max="699" width="8.1796875" bestFit="1" customWidth="1"/>
    <col min="700" max="703" width="9.26953125" bestFit="1" customWidth="1"/>
    <col min="704" max="704" width="8.1796875" bestFit="1" customWidth="1"/>
    <col min="705" max="705" width="9.26953125" bestFit="1" customWidth="1"/>
    <col min="706" max="706" width="8.1796875" bestFit="1" customWidth="1"/>
    <col min="707" max="713" width="9.26953125" bestFit="1" customWidth="1"/>
    <col min="714" max="714" width="8.1796875" bestFit="1" customWidth="1"/>
    <col min="715" max="720" width="9.26953125" bestFit="1" customWidth="1"/>
    <col min="721" max="721" width="8.1796875" bestFit="1" customWidth="1"/>
    <col min="722" max="724" width="9.26953125" bestFit="1" customWidth="1"/>
    <col min="725" max="725" width="8.1796875" bestFit="1" customWidth="1"/>
    <col min="726" max="727" width="9.26953125" bestFit="1" customWidth="1"/>
    <col min="728" max="728" width="8.1796875" bestFit="1" customWidth="1"/>
    <col min="729" max="732" width="9.26953125" bestFit="1" customWidth="1"/>
    <col min="733" max="733" width="8.1796875" bestFit="1" customWidth="1"/>
    <col min="734" max="746" width="9.26953125" bestFit="1" customWidth="1"/>
    <col min="747" max="747" width="8.1796875" bestFit="1" customWidth="1"/>
    <col min="748" max="757" width="9.26953125" bestFit="1" customWidth="1"/>
    <col min="758" max="758" width="8.1796875" bestFit="1" customWidth="1"/>
    <col min="759" max="764" width="9.26953125" bestFit="1" customWidth="1"/>
    <col min="765" max="765" width="8.1796875" bestFit="1" customWidth="1"/>
    <col min="766" max="766" width="9.26953125" bestFit="1" customWidth="1"/>
    <col min="767" max="767" width="8.1796875" bestFit="1" customWidth="1"/>
    <col min="768" max="772" width="9.26953125" bestFit="1" customWidth="1"/>
    <col min="773" max="773" width="8.1796875" bestFit="1" customWidth="1"/>
    <col min="774" max="789" width="9.26953125" bestFit="1" customWidth="1"/>
    <col min="790" max="790" width="8.1796875" bestFit="1" customWidth="1"/>
    <col min="791" max="796" width="9.26953125" bestFit="1" customWidth="1"/>
    <col min="797" max="797" width="8.1796875" bestFit="1" customWidth="1"/>
    <col min="798" max="802" width="9.26953125" bestFit="1" customWidth="1"/>
    <col min="803" max="803" width="8.1796875" bestFit="1" customWidth="1"/>
    <col min="804" max="816" width="9.26953125" bestFit="1" customWidth="1"/>
    <col min="817" max="817" width="8.1796875" bestFit="1" customWidth="1"/>
    <col min="818" max="821" width="9.26953125" bestFit="1" customWidth="1"/>
    <col min="822" max="822" width="8.1796875" bestFit="1" customWidth="1"/>
    <col min="823" max="830" width="9.26953125" bestFit="1" customWidth="1"/>
    <col min="831" max="831" width="8.1796875" bestFit="1" customWidth="1"/>
    <col min="832" max="857" width="9.26953125" bestFit="1" customWidth="1"/>
    <col min="858" max="858" width="8.1796875" bestFit="1" customWidth="1"/>
    <col min="859" max="859" width="9.26953125" bestFit="1" customWidth="1"/>
    <col min="860" max="860" width="8.1796875" bestFit="1" customWidth="1"/>
    <col min="861" max="884" width="9.26953125" bestFit="1" customWidth="1"/>
    <col min="885" max="887" width="8.1796875" bestFit="1" customWidth="1"/>
    <col min="888" max="899" width="9.26953125" bestFit="1" customWidth="1"/>
    <col min="900" max="900" width="8.1796875" bestFit="1" customWidth="1"/>
    <col min="901" max="934" width="9.26953125" bestFit="1" customWidth="1"/>
    <col min="935" max="935" width="8.1796875" bestFit="1" customWidth="1"/>
    <col min="936" max="953" width="9.26953125" bestFit="1" customWidth="1"/>
    <col min="954" max="954" width="8.1796875" bestFit="1" customWidth="1"/>
    <col min="955" max="956" width="9.26953125" bestFit="1" customWidth="1"/>
    <col min="957" max="957" width="6.08984375" bestFit="1" customWidth="1"/>
    <col min="958" max="975" width="9.26953125" bestFit="1" customWidth="1"/>
    <col min="976" max="976" width="8.1796875" bestFit="1" customWidth="1"/>
    <col min="977" max="1001" width="9.26953125" bestFit="1" customWidth="1"/>
    <col min="1002" max="1002" width="6.08984375" bestFit="1" customWidth="1"/>
    <col min="1003" max="1009" width="9.26953125" bestFit="1" customWidth="1"/>
    <col min="1010" max="1010" width="8.1796875" bestFit="1" customWidth="1"/>
    <col min="1011" max="1017" width="9.26953125" bestFit="1" customWidth="1"/>
    <col min="1018" max="1018" width="8.1796875" bestFit="1" customWidth="1"/>
    <col min="1019" max="1019" width="6.08984375" bestFit="1" customWidth="1"/>
    <col min="1020" max="1023" width="9.26953125" bestFit="1" customWidth="1"/>
    <col min="1024" max="1024" width="8.1796875" bestFit="1" customWidth="1"/>
    <col min="1025" max="1041" width="9.26953125" bestFit="1" customWidth="1"/>
    <col min="1042" max="1042" width="8.1796875" bestFit="1" customWidth="1"/>
    <col min="1043" max="1049" width="9.26953125" bestFit="1" customWidth="1"/>
    <col min="1050" max="1050" width="6.08984375" bestFit="1" customWidth="1"/>
    <col min="1051" max="1055" width="9.26953125" bestFit="1" customWidth="1"/>
    <col min="1056" max="1056" width="8.1796875" bestFit="1" customWidth="1"/>
    <col min="1057" max="1107" width="9.26953125" bestFit="1" customWidth="1"/>
    <col min="1108" max="1108" width="8.1796875" bestFit="1" customWidth="1"/>
    <col min="1109" max="1111" width="9.26953125" bestFit="1" customWidth="1"/>
    <col min="1112" max="1112" width="8.1796875" bestFit="1" customWidth="1"/>
    <col min="1113" max="1116" width="9.26953125" bestFit="1" customWidth="1"/>
    <col min="1117" max="1117" width="8.1796875" bestFit="1" customWidth="1"/>
    <col min="1118" max="1125" width="9.26953125" bestFit="1" customWidth="1"/>
    <col min="1126" max="1127" width="8.1796875" bestFit="1" customWidth="1"/>
    <col min="1128" max="1128" width="9.26953125" bestFit="1" customWidth="1"/>
    <col min="1129" max="1129" width="8.1796875" bestFit="1" customWidth="1"/>
    <col min="1130" max="1130" width="9.26953125" bestFit="1" customWidth="1"/>
    <col min="1131" max="1131" width="8.1796875" bestFit="1" customWidth="1"/>
    <col min="1132" max="1133" width="9.26953125" bestFit="1" customWidth="1"/>
    <col min="1134" max="1134" width="8.1796875" bestFit="1" customWidth="1"/>
    <col min="1135" max="1140" width="9.26953125" bestFit="1" customWidth="1"/>
    <col min="1141" max="1141" width="8.1796875" bestFit="1" customWidth="1"/>
    <col min="1142" max="1149" width="9.26953125" bestFit="1" customWidth="1"/>
    <col min="1150" max="1150" width="8.1796875" bestFit="1" customWidth="1"/>
    <col min="1151" max="1164" width="9.26953125" bestFit="1" customWidth="1"/>
    <col min="1165" max="1165" width="8.1796875" bestFit="1" customWidth="1"/>
    <col min="1166" max="1171" width="9.26953125" bestFit="1" customWidth="1"/>
    <col min="1172" max="1172" width="8.1796875" bestFit="1" customWidth="1"/>
    <col min="1173" max="1178" width="9.26953125" bestFit="1" customWidth="1"/>
    <col min="1179" max="1179" width="8.1796875" bestFit="1" customWidth="1"/>
    <col min="1180" max="1189" width="9.26953125" bestFit="1" customWidth="1"/>
    <col min="1190" max="1190" width="8.1796875" bestFit="1" customWidth="1"/>
    <col min="1191" max="1199" width="9.26953125" bestFit="1" customWidth="1"/>
    <col min="1200" max="1200" width="8.1796875" bestFit="1" customWidth="1"/>
    <col min="1201" max="1201" width="9.26953125" bestFit="1" customWidth="1"/>
    <col min="1202" max="1202" width="8.1796875" bestFit="1" customWidth="1"/>
    <col min="1203" max="1213" width="9.26953125" bestFit="1" customWidth="1"/>
    <col min="1214" max="1214" width="8.1796875" bestFit="1" customWidth="1"/>
    <col min="1215" max="1229" width="9.26953125" bestFit="1" customWidth="1"/>
    <col min="1230" max="1230" width="8.1796875" bestFit="1" customWidth="1"/>
    <col min="1231" max="1234" width="9.26953125" bestFit="1" customWidth="1"/>
    <col min="1235" max="1235" width="8.1796875" bestFit="1" customWidth="1"/>
    <col min="1236" max="1242" width="9.26953125" bestFit="1" customWidth="1"/>
    <col min="1243" max="1243" width="8.1796875" bestFit="1" customWidth="1"/>
    <col min="1244" max="1265" width="9.26953125" bestFit="1" customWidth="1"/>
    <col min="1266" max="1266" width="6.08984375" bestFit="1" customWidth="1"/>
    <col min="1267" max="1267" width="9.26953125" bestFit="1" customWidth="1"/>
    <col min="1268" max="1268" width="8.1796875" bestFit="1" customWidth="1"/>
    <col min="1269" max="1274" width="9.26953125" bestFit="1" customWidth="1"/>
    <col min="1275" max="1275" width="8.1796875" bestFit="1" customWidth="1"/>
    <col min="1276" max="1276" width="9.26953125" bestFit="1" customWidth="1"/>
    <col min="1277" max="1277" width="6.08984375" bestFit="1" customWidth="1"/>
    <col min="1278" max="1291" width="9.26953125" bestFit="1" customWidth="1"/>
    <col min="1292" max="1292" width="8.1796875" bestFit="1" customWidth="1"/>
    <col min="1293" max="1311" width="9.26953125" bestFit="1" customWidth="1"/>
    <col min="1312" max="1312" width="8.1796875" bestFit="1" customWidth="1"/>
    <col min="1313" max="1318" width="9.26953125" bestFit="1" customWidth="1"/>
    <col min="1319" max="1319" width="6.08984375" bestFit="1" customWidth="1"/>
    <col min="1320" max="1324" width="9.26953125" bestFit="1" customWidth="1"/>
    <col min="1325" max="1325" width="8.1796875" bestFit="1" customWidth="1"/>
    <col min="1326" max="1335" width="9.26953125" bestFit="1" customWidth="1"/>
    <col min="1336" max="1336" width="8.1796875" bestFit="1" customWidth="1"/>
    <col min="1337" max="1345" width="9.26953125" bestFit="1" customWidth="1"/>
    <col min="1346" max="1346" width="8.1796875" bestFit="1" customWidth="1"/>
    <col min="1347" max="1360" width="9.26953125" bestFit="1" customWidth="1"/>
    <col min="1361" max="1361" width="8.1796875" bestFit="1" customWidth="1"/>
    <col min="1362" max="1363" width="9.26953125" bestFit="1" customWidth="1"/>
    <col min="1364" max="1365" width="8.1796875" bestFit="1" customWidth="1"/>
    <col min="1366" max="1373" width="9.26953125" bestFit="1" customWidth="1"/>
    <col min="1374" max="1374" width="8.1796875" bestFit="1" customWidth="1"/>
    <col min="1375" max="1376" width="9.26953125" bestFit="1" customWidth="1"/>
    <col min="1377" max="1377" width="8.1796875" bestFit="1" customWidth="1"/>
    <col min="1378" max="1385" width="9.26953125" bestFit="1" customWidth="1"/>
    <col min="1386" max="1386" width="8.1796875" bestFit="1" customWidth="1"/>
    <col min="1387" max="1393" width="9.26953125" bestFit="1" customWidth="1"/>
    <col min="1394" max="1394" width="8.1796875" bestFit="1" customWidth="1"/>
    <col min="1395" max="1405" width="9.26953125" bestFit="1" customWidth="1"/>
    <col min="1406" max="1406" width="6.08984375" bestFit="1" customWidth="1"/>
    <col min="1407" max="1415" width="9.26953125" bestFit="1" customWidth="1"/>
    <col min="1416" max="1417" width="8.1796875" bestFit="1" customWidth="1"/>
    <col min="1418" max="1427" width="9.26953125" bestFit="1" customWidth="1"/>
    <col min="1428" max="1428" width="8.1796875" bestFit="1" customWidth="1"/>
    <col min="1429" max="1429" width="9.26953125" bestFit="1" customWidth="1"/>
    <col min="1430" max="1430" width="8.1796875" bestFit="1" customWidth="1"/>
    <col min="1431" max="1456" width="9.26953125" bestFit="1" customWidth="1"/>
    <col min="1457" max="1457" width="8.1796875" bestFit="1" customWidth="1"/>
    <col min="1458" max="1488" width="9.26953125" bestFit="1" customWidth="1"/>
    <col min="1489" max="1489" width="8.1796875" bestFit="1" customWidth="1"/>
    <col min="1490" max="1491" width="9.26953125" bestFit="1" customWidth="1"/>
    <col min="1492" max="1492" width="8.1796875" bestFit="1" customWidth="1"/>
    <col min="1493" max="1506" width="9.26953125" bestFit="1" customWidth="1"/>
    <col min="1507" max="1507" width="8.1796875" bestFit="1" customWidth="1"/>
    <col min="1508" max="1515" width="9.26953125" bestFit="1" customWidth="1"/>
    <col min="1516" max="1516" width="8.1796875" bestFit="1" customWidth="1"/>
    <col min="1517" max="1522" width="9.26953125" bestFit="1" customWidth="1"/>
    <col min="1523" max="1523" width="8.1796875" bestFit="1" customWidth="1"/>
    <col min="1524" max="1529" width="9.26953125" bestFit="1" customWidth="1"/>
    <col min="1530" max="1530" width="8.1796875" bestFit="1" customWidth="1"/>
    <col min="1531" max="1541" width="9.26953125" bestFit="1" customWidth="1"/>
    <col min="1542" max="1542" width="6.08984375" bestFit="1" customWidth="1"/>
    <col min="1543" max="1549" width="9.26953125" bestFit="1" customWidth="1"/>
    <col min="1550" max="1551" width="8.1796875" bestFit="1" customWidth="1"/>
    <col min="1552" max="1554" width="9.26953125" bestFit="1" customWidth="1"/>
    <col min="1555" max="1555" width="8.1796875" bestFit="1" customWidth="1"/>
    <col min="1556" max="1557" width="9.26953125" bestFit="1" customWidth="1"/>
    <col min="1558" max="1558" width="8.1796875" bestFit="1" customWidth="1"/>
    <col min="1559" max="1578" width="9.26953125" bestFit="1" customWidth="1"/>
    <col min="1579" max="1579" width="8.1796875" bestFit="1" customWidth="1"/>
    <col min="1580" max="1583" width="9.26953125" bestFit="1" customWidth="1"/>
    <col min="1584" max="1584" width="8.1796875" bestFit="1" customWidth="1"/>
    <col min="1585" max="1591" width="9.26953125" bestFit="1" customWidth="1"/>
    <col min="1592" max="1592" width="8.1796875" bestFit="1" customWidth="1"/>
    <col min="1593" max="1605" width="9.26953125" bestFit="1" customWidth="1"/>
    <col min="1606" max="1606" width="8.1796875" bestFit="1" customWidth="1"/>
    <col min="1607" max="1609" width="9.26953125" bestFit="1" customWidth="1"/>
    <col min="1610" max="1610" width="8.1796875" bestFit="1" customWidth="1"/>
    <col min="1611" max="1622" width="9.26953125" bestFit="1" customWidth="1"/>
    <col min="1623" max="1623" width="6.08984375" bestFit="1" customWidth="1"/>
    <col min="1624" max="1653" width="9.26953125" bestFit="1" customWidth="1"/>
    <col min="1654" max="1654" width="6.08984375" bestFit="1" customWidth="1"/>
    <col min="1655" max="1667" width="9.26953125" bestFit="1" customWidth="1"/>
    <col min="1668" max="1668" width="8.1796875" bestFit="1" customWidth="1"/>
    <col min="1669" max="1671" width="9.26953125" bestFit="1" customWidth="1"/>
    <col min="1672" max="1672" width="8.1796875" bestFit="1" customWidth="1"/>
    <col min="1673" max="1680" width="9.26953125" bestFit="1" customWidth="1"/>
    <col min="1681" max="1681" width="8.1796875" bestFit="1" customWidth="1"/>
    <col min="1682" max="1684" width="9.26953125" bestFit="1" customWidth="1"/>
    <col min="1685" max="1685" width="8.1796875" bestFit="1" customWidth="1"/>
    <col min="1686" max="1693" width="9.26953125" bestFit="1" customWidth="1"/>
    <col min="1694" max="1694" width="8.1796875" bestFit="1" customWidth="1"/>
    <col min="1695" max="1697" width="9.26953125" bestFit="1" customWidth="1"/>
    <col min="1698" max="1698" width="8.1796875" bestFit="1" customWidth="1"/>
    <col min="1699" max="1714" width="9.26953125" bestFit="1" customWidth="1"/>
    <col min="1715" max="1717" width="8.1796875" bestFit="1" customWidth="1"/>
    <col min="1718" max="1725" width="9.26953125" bestFit="1" customWidth="1"/>
    <col min="1726" max="1726" width="8.1796875" bestFit="1" customWidth="1"/>
    <col min="1727" max="1737" width="9.26953125" bestFit="1" customWidth="1"/>
    <col min="1738" max="1738" width="8.1796875" bestFit="1" customWidth="1"/>
    <col min="1739" max="1744" width="9.26953125" bestFit="1" customWidth="1"/>
    <col min="1745" max="1745" width="8.1796875" bestFit="1" customWidth="1"/>
    <col min="1746" max="1747" width="9.26953125" bestFit="1" customWidth="1"/>
    <col min="1748" max="1748" width="8.1796875" bestFit="1" customWidth="1"/>
    <col min="1749" max="1755" width="9.26953125" bestFit="1" customWidth="1"/>
    <col min="1756" max="1757" width="8.1796875" bestFit="1" customWidth="1"/>
    <col min="1758" max="1773" width="9.26953125" bestFit="1" customWidth="1"/>
    <col min="1774" max="1774" width="8.1796875" bestFit="1" customWidth="1"/>
    <col min="1775" max="1778" width="9.26953125" bestFit="1" customWidth="1"/>
    <col min="1779" max="1779" width="8.1796875" bestFit="1" customWidth="1"/>
    <col min="1780" max="1794" width="9.26953125" bestFit="1" customWidth="1"/>
    <col min="1795" max="1796" width="8.1796875" bestFit="1" customWidth="1"/>
    <col min="1797" max="1813" width="9.26953125" bestFit="1" customWidth="1"/>
    <col min="1814" max="1814" width="6.08984375" bestFit="1" customWidth="1"/>
    <col min="1815" max="1815" width="9.26953125" bestFit="1" customWidth="1"/>
    <col min="1816" max="1817" width="8.1796875" bestFit="1" customWidth="1"/>
    <col min="1818" max="1827" width="9.26953125" bestFit="1" customWidth="1"/>
    <col min="1828" max="1828" width="8.1796875" bestFit="1" customWidth="1"/>
    <col min="1829" max="1830" width="9.26953125" bestFit="1" customWidth="1"/>
    <col min="1831" max="1831" width="8.1796875" bestFit="1" customWidth="1"/>
    <col min="1832" max="1838" width="9.26953125" bestFit="1" customWidth="1"/>
    <col min="1839" max="1839" width="8.1796875" bestFit="1" customWidth="1"/>
    <col min="1840" max="1845" width="9.26953125" bestFit="1" customWidth="1"/>
    <col min="1846" max="1846" width="8.1796875" bestFit="1" customWidth="1"/>
    <col min="1847" max="1850" width="9.26953125" bestFit="1" customWidth="1"/>
    <col min="1851" max="1851" width="8.1796875" bestFit="1" customWidth="1"/>
    <col min="1852" max="1870" width="9.26953125" bestFit="1" customWidth="1"/>
    <col min="1871" max="1871" width="8.1796875" bestFit="1" customWidth="1"/>
    <col min="1872" max="1884" width="9.26953125" bestFit="1" customWidth="1"/>
    <col min="1885" max="1886" width="8.1796875" bestFit="1" customWidth="1"/>
    <col min="1887" max="1905" width="9.26953125" bestFit="1" customWidth="1"/>
    <col min="1906" max="1906" width="8.1796875" bestFit="1" customWidth="1"/>
    <col min="1907" max="1921" width="9.26953125" bestFit="1" customWidth="1"/>
    <col min="1922" max="1922" width="8.1796875" bestFit="1" customWidth="1"/>
    <col min="1923" max="1933" width="9.26953125" bestFit="1" customWidth="1"/>
    <col min="1934" max="1934" width="8.1796875" bestFit="1" customWidth="1"/>
    <col min="1935" max="1960" width="9.26953125" bestFit="1" customWidth="1"/>
    <col min="1961" max="1961" width="8.1796875" bestFit="1" customWidth="1"/>
    <col min="1962" max="1968" width="9.26953125" bestFit="1" customWidth="1"/>
    <col min="1969" max="1969" width="8.1796875" bestFit="1" customWidth="1"/>
    <col min="1970" max="1972" width="9.26953125" bestFit="1" customWidth="1"/>
    <col min="1973" max="1973" width="6.08984375" bestFit="1" customWidth="1"/>
    <col min="1974" max="1976" width="9.26953125" bestFit="1" customWidth="1"/>
    <col min="1977" max="1977" width="8.1796875" bestFit="1" customWidth="1"/>
    <col min="1978" max="1979" width="9.26953125" bestFit="1" customWidth="1"/>
    <col min="1980" max="1980" width="8.1796875" bestFit="1" customWidth="1"/>
    <col min="1981" max="1981" width="9.26953125" bestFit="1" customWidth="1"/>
    <col min="1982" max="1982" width="8.1796875" bestFit="1" customWidth="1"/>
    <col min="1983" max="1988" width="9.26953125" bestFit="1" customWidth="1"/>
    <col min="1989" max="1989" width="8.1796875" bestFit="1" customWidth="1"/>
    <col min="1990" max="2002" width="9.26953125" bestFit="1" customWidth="1"/>
    <col min="2003" max="2004" width="8.1796875" bestFit="1" customWidth="1"/>
    <col min="2005" max="2011" width="9.26953125" bestFit="1" customWidth="1"/>
    <col min="2012" max="2012" width="8.1796875" bestFit="1" customWidth="1"/>
    <col min="2013" max="2018" width="9.26953125" bestFit="1" customWidth="1"/>
    <col min="2019" max="2020" width="8.1796875" bestFit="1" customWidth="1"/>
    <col min="2021" max="2021" width="9.26953125" bestFit="1" customWidth="1"/>
    <col min="2022" max="2022" width="6.08984375" bestFit="1" customWidth="1"/>
    <col min="2023" max="2035" width="9.26953125" bestFit="1" customWidth="1"/>
    <col min="2036" max="2036" width="8.1796875" bestFit="1" customWidth="1"/>
    <col min="2037" max="2044" width="9.26953125" bestFit="1" customWidth="1"/>
    <col min="2045" max="2045" width="8.1796875" bestFit="1" customWidth="1"/>
    <col min="2046" max="2046" width="9.26953125" bestFit="1" customWidth="1"/>
    <col min="2047" max="2047" width="8.1796875" bestFit="1" customWidth="1"/>
    <col min="2048" max="2048" width="9.26953125" bestFit="1" customWidth="1"/>
    <col min="2049" max="2049" width="8.1796875" bestFit="1" customWidth="1"/>
    <col min="2050" max="2055" width="9.26953125" bestFit="1" customWidth="1"/>
    <col min="2056" max="2056" width="8.1796875" bestFit="1" customWidth="1"/>
    <col min="2057" max="2059" width="9.26953125" bestFit="1" customWidth="1"/>
    <col min="2060" max="2060" width="8.1796875" bestFit="1" customWidth="1"/>
    <col min="2061" max="2061" width="9.26953125" bestFit="1" customWidth="1"/>
    <col min="2062" max="2062" width="8.1796875" bestFit="1" customWidth="1"/>
    <col min="2063" max="2063" width="9.26953125" bestFit="1" customWidth="1"/>
    <col min="2064" max="2064" width="8.1796875" bestFit="1" customWidth="1"/>
    <col min="2065" max="2069" width="9.26953125" bestFit="1" customWidth="1"/>
    <col min="2070" max="2070" width="6.08984375" bestFit="1" customWidth="1"/>
    <col min="2071" max="2075" width="9.26953125" bestFit="1" customWidth="1"/>
    <col min="2076" max="2076" width="8.1796875" bestFit="1" customWidth="1"/>
    <col min="2077" max="2077" width="9.26953125" bestFit="1" customWidth="1"/>
    <col min="2078" max="2078" width="8.1796875" bestFit="1" customWidth="1"/>
    <col min="2079" max="2122" width="9.26953125" bestFit="1" customWidth="1"/>
    <col min="2123" max="2123" width="8.1796875" bestFit="1" customWidth="1"/>
    <col min="2124" max="2124" width="9.26953125" bestFit="1" customWidth="1"/>
    <col min="2125" max="2125" width="8.1796875" bestFit="1" customWidth="1"/>
    <col min="2126" max="2131" width="9.26953125" bestFit="1" customWidth="1"/>
    <col min="2132" max="2132" width="8.1796875" bestFit="1" customWidth="1"/>
    <col min="2133" max="2157" width="9.26953125" bestFit="1" customWidth="1"/>
    <col min="2158" max="2158" width="8.1796875" bestFit="1" customWidth="1"/>
    <col min="2159" max="2160" width="9.26953125" bestFit="1" customWidth="1"/>
    <col min="2161" max="2161" width="8.1796875" bestFit="1" customWidth="1"/>
    <col min="2162" max="2168" width="9.26953125" bestFit="1" customWidth="1"/>
    <col min="2169" max="2169" width="8.1796875" bestFit="1" customWidth="1"/>
    <col min="2170" max="2181" width="9.26953125" bestFit="1" customWidth="1"/>
    <col min="2182" max="2182" width="8.1796875" bestFit="1" customWidth="1"/>
    <col min="2183" max="2183" width="9.26953125" bestFit="1" customWidth="1"/>
    <col min="2184" max="2184" width="8.1796875" bestFit="1" customWidth="1"/>
    <col min="2185" max="2186" width="9.26953125" bestFit="1" customWidth="1"/>
    <col min="2187" max="2187" width="8.1796875" bestFit="1" customWidth="1"/>
    <col min="2188" max="2194" width="9.26953125" bestFit="1" customWidth="1"/>
    <col min="2195" max="2195" width="8.1796875" bestFit="1" customWidth="1"/>
    <col min="2196" max="2213" width="9.26953125" bestFit="1" customWidth="1"/>
    <col min="2214" max="2214" width="8.1796875" bestFit="1" customWidth="1"/>
    <col min="2215" max="2227" width="9.26953125" bestFit="1" customWidth="1"/>
    <col min="2228" max="2228" width="8.1796875" bestFit="1" customWidth="1"/>
    <col min="2229" max="2256" width="9.26953125" bestFit="1" customWidth="1"/>
    <col min="2257" max="2257" width="8.1796875" bestFit="1" customWidth="1"/>
    <col min="2258" max="2268" width="9.26953125" bestFit="1" customWidth="1"/>
    <col min="2269" max="2270" width="8.1796875" bestFit="1" customWidth="1"/>
    <col min="2271" max="2279" width="9.26953125" bestFit="1" customWidth="1"/>
    <col min="2280" max="2280" width="8.1796875" bestFit="1" customWidth="1"/>
    <col min="2281" max="2284" width="9.26953125" bestFit="1" customWidth="1"/>
    <col min="2285" max="2285" width="8.1796875" bestFit="1" customWidth="1"/>
    <col min="2286" max="2299" width="9.26953125" bestFit="1" customWidth="1"/>
    <col min="2300" max="2300" width="8.1796875" bestFit="1" customWidth="1"/>
    <col min="2301" max="2310" width="9.26953125" bestFit="1" customWidth="1"/>
    <col min="2311" max="2311" width="8.1796875" bestFit="1" customWidth="1"/>
    <col min="2312" max="2320" width="9.26953125" bestFit="1" customWidth="1"/>
    <col min="2321" max="2321" width="8.1796875" bestFit="1" customWidth="1"/>
    <col min="2322" max="2331" width="9.26953125" bestFit="1" customWidth="1"/>
    <col min="2332" max="2332" width="8.1796875" bestFit="1" customWidth="1"/>
    <col min="2333" max="2335" width="9.26953125" bestFit="1" customWidth="1"/>
    <col min="2336" max="2336" width="8.1796875" bestFit="1" customWidth="1"/>
    <col min="2337" max="2340" width="9.26953125" bestFit="1" customWidth="1"/>
    <col min="2341" max="2341" width="8.1796875" bestFit="1" customWidth="1"/>
    <col min="2342" max="2356" width="9.26953125" bestFit="1" customWidth="1"/>
    <col min="2357" max="2357" width="8.1796875" bestFit="1" customWidth="1"/>
    <col min="2358" max="2365" width="9.26953125" bestFit="1" customWidth="1"/>
    <col min="2366" max="2366" width="8.1796875" bestFit="1" customWidth="1"/>
    <col min="2367" max="2412" width="9.26953125" bestFit="1" customWidth="1"/>
    <col min="2413" max="2414" width="8.1796875" bestFit="1" customWidth="1"/>
    <col min="2415" max="2418" width="9.26953125" bestFit="1" customWidth="1"/>
    <col min="2419" max="2419" width="8.1796875" bestFit="1" customWidth="1"/>
    <col min="2420" max="2430" width="9.26953125" bestFit="1" customWidth="1"/>
    <col min="2431" max="2431" width="8.1796875" bestFit="1" customWidth="1"/>
    <col min="2432" max="2457" width="9.26953125" bestFit="1" customWidth="1"/>
    <col min="2458" max="2458" width="8.1796875" bestFit="1" customWidth="1"/>
    <col min="2459" max="2472" width="9.26953125" bestFit="1" customWidth="1"/>
    <col min="2473" max="2473" width="6.08984375" bestFit="1" customWidth="1"/>
    <col min="2474" max="2477" width="9.26953125" bestFit="1" customWidth="1"/>
    <col min="2478" max="2478" width="8.1796875" bestFit="1" customWidth="1"/>
    <col min="2479" max="2491" width="9.26953125" bestFit="1" customWidth="1"/>
    <col min="2492" max="2493" width="8.1796875" bestFit="1" customWidth="1"/>
    <col min="2494" max="2506" width="9.26953125" bestFit="1" customWidth="1"/>
    <col min="2507" max="2507" width="8.1796875" bestFit="1" customWidth="1"/>
    <col min="2508" max="2509" width="9.26953125" bestFit="1" customWidth="1"/>
  </cols>
  <sheetData>
    <row r="1" spans="1:14" x14ac:dyDescent="0.35">
      <c r="A1" s="2" t="s">
        <v>54</v>
      </c>
      <c r="B1" t="s">
        <v>56</v>
      </c>
      <c r="D1" t="s">
        <v>57</v>
      </c>
      <c r="G1" s="2" t="s">
        <v>54</v>
      </c>
      <c r="H1" t="s">
        <v>56</v>
      </c>
    </row>
    <row r="2" spans="1:14" x14ac:dyDescent="0.35">
      <c r="A2" s="3" t="s">
        <v>53</v>
      </c>
      <c r="B2" s="1">
        <v>567</v>
      </c>
      <c r="D2" s="1">
        <v>374374612</v>
      </c>
      <c r="G2" s="3" t="s">
        <v>25</v>
      </c>
      <c r="H2" s="1">
        <v>368</v>
      </c>
      <c r="M2" s="2" t="s">
        <v>54</v>
      </c>
      <c r="N2" t="s">
        <v>58</v>
      </c>
    </row>
    <row r="3" spans="1:14" x14ac:dyDescent="0.35">
      <c r="A3" s="3" t="s">
        <v>13</v>
      </c>
      <c r="B3" s="1">
        <v>862</v>
      </c>
      <c r="G3" s="3" t="s">
        <v>27</v>
      </c>
      <c r="H3" s="1">
        <v>358</v>
      </c>
      <c r="M3" s="3">
        <v>2000</v>
      </c>
      <c r="N3" s="1">
        <v>4937757.2</v>
      </c>
    </row>
    <row r="4" spans="1:14" x14ac:dyDescent="0.35">
      <c r="A4" s="3" t="s">
        <v>52</v>
      </c>
      <c r="B4" s="1">
        <v>516</v>
      </c>
      <c r="G4" s="3" t="s">
        <v>23</v>
      </c>
      <c r="H4" s="1">
        <v>347</v>
      </c>
      <c r="M4" s="3">
        <v>2001</v>
      </c>
      <c r="N4" s="1">
        <v>5334902.29</v>
      </c>
    </row>
    <row r="5" spans="1:14" x14ac:dyDescent="0.35">
      <c r="A5" s="3" t="s">
        <v>51</v>
      </c>
      <c r="B5" s="1">
        <v>555</v>
      </c>
      <c r="G5" s="3" t="s">
        <v>20</v>
      </c>
      <c r="H5" s="1">
        <v>352</v>
      </c>
      <c r="M5" s="3">
        <v>2002</v>
      </c>
      <c r="N5" s="1">
        <v>6291722.3600000003</v>
      </c>
    </row>
    <row r="6" spans="1:14" x14ac:dyDescent="0.35">
      <c r="A6" s="3" t="s">
        <v>55</v>
      </c>
      <c r="B6" s="1">
        <v>2500</v>
      </c>
      <c r="G6" s="3" t="s">
        <v>29</v>
      </c>
      <c r="H6" s="1">
        <v>353</v>
      </c>
      <c r="M6" s="3">
        <v>2003</v>
      </c>
      <c r="N6" s="1">
        <v>6166702.1100000003</v>
      </c>
    </row>
    <row r="7" spans="1:14" x14ac:dyDescent="0.35">
      <c r="G7" s="3" t="s">
        <v>10</v>
      </c>
      <c r="H7" s="1">
        <v>348</v>
      </c>
      <c r="M7" s="3">
        <v>2004</v>
      </c>
      <c r="N7" s="1">
        <v>5151797.6900000004</v>
      </c>
    </row>
    <row r="8" spans="1:14" x14ac:dyDescent="0.35">
      <c r="G8" s="3" t="s">
        <v>35</v>
      </c>
      <c r="H8" s="1">
        <v>374</v>
      </c>
      <c r="M8" s="3">
        <v>2005</v>
      </c>
      <c r="N8" s="1">
        <v>5926035.3300000001</v>
      </c>
    </row>
    <row r="9" spans="1:14" x14ac:dyDescent="0.35">
      <c r="G9" s="3" t="s">
        <v>55</v>
      </c>
      <c r="H9" s="1">
        <v>2500</v>
      </c>
      <c r="M9" s="3">
        <v>2006</v>
      </c>
      <c r="N9" s="1">
        <v>4595633.25</v>
      </c>
    </row>
    <row r="10" spans="1:14" x14ac:dyDescent="0.35">
      <c r="M10" s="3">
        <v>2007</v>
      </c>
      <c r="N10" s="1">
        <v>6211062.3899999997</v>
      </c>
    </row>
    <row r="11" spans="1:14" x14ac:dyDescent="0.35">
      <c r="M11" s="3">
        <v>2008</v>
      </c>
      <c r="N11" s="1">
        <v>5788421.9699999997</v>
      </c>
    </row>
    <row r="12" spans="1:14" x14ac:dyDescent="0.35">
      <c r="C12" s="2" t="s">
        <v>54</v>
      </c>
      <c r="D12" t="s">
        <v>56</v>
      </c>
      <c r="G12" s="2" t="s">
        <v>60</v>
      </c>
      <c r="J12" s="2" t="s">
        <v>54</v>
      </c>
      <c r="M12" s="3">
        <v>2009</v>
      </c>
      <c r="N12" s="1">
        <v>4763946.22</v>
      </c>
    </row>
    <row r="13" spans="1:14" x14ac:dyDescent="0.35">
      <c r="C13" s="3" t="s">
        <v>15</v>
      </c>
      <c r="D13" s="1">
        <v>836</v>
      </c>
      <c r="F13" s="2" t="s">
        <v>54</v>
      </c>
      <c r="G13" t="s">
        <v>14</v>
      </c>
      <c r="H13" t="s">
        <v>22</v>
      </c>
      <c r="I13" t="s">
        <v>55</v>
      </c>
      <c r="J13" s="3" t="s">
        <v>25</v>
      </c>
      <c r="M13" s="3">
        <v>2010</v>
      </c>
      <c r="N13" s="1">
        <v>5096773.24</v>
      </c>
    </row>
    <row r="14" spans="1:14" x14ac:dyDescent="0.35">
      <c r="C14" s="3" t="s">
        <v>11</v>
      </c>
      <c r="D14" s="1">
        <v>809</v>
      </c>
      <c r="F14" s="3" t="s">
        <v>25</v>
      </c>
      <c r="J14" s="3" t="s">
        <v>27</v>
      </c>
      <c r="M14" s="3">
        <v>2011</v>
      </c>
      <c r="N14" s="1">
        <v>5192901.99</v>
      </c>
    </row>
    <row r="15" spans="1:14" x14ac:dyDescent="0.35">
      <c r="C15" s="3" t="s">
        <v>16</v>
      </c>
      <c r="D15" s="1">
        <v>855</v>
      </c>
      <c r="F15" s="3" t="s">
        <v>27</v>
      </c>
      <c r="J15" s="3" t="s">
        <v>23</v>
      </c>
      <c r="M15" s="3">
        <v>2012</v>
      </c>
      <c r="N15" s="1">
        <v>6337227.3600000003</v>
      </c>
    </row>
    <row r="16" spans="1:14" x14ac:dyDescent="0.35">
      <c r="C16" s="3" t="s">
        <v>55</v>
      </c>
      <c r="D16" s="1">
        <v>2500</v>
      </c>
      <c r="F16" s="3" t="s">
        <v>23</v>
      </c>
      <c r="J16" s="3" t="s">
        <v>20</v>
      </c>
      <c r="M16" s="3">
        <v>2013</v>
      </c>
      <c r="N16" s="1">
        <v>4987028.3</v>
      </c>
    </row>
    <row r="17" spans="3:14" x14ac:dyDescent="0.35">
      <c r="F17" s="3" t="s">
        <v>20</v>
      </c>
      <c r="J17" s="3" t="s">
        <v>29</v>
      </c>
      <c r="M17" s="3">
        <v>2014</v>
      </c>
      <c r="N17" s="1">
        <v>5908080.9199999999</v>
      </c>
    </row>
    <row r="18" spans="3:14" x14ac:dyDescent="0.35">
      <c r="F18" s="3" t="s">
        <v>29</v>
      </c>
      <c r="J18" s="3" t="s">
        <v>10</v>
      </c>
      <c r="M18" s="3">
        <v>2015</v>
      </c>
      <c r="N18" s="1">
        <v>4533448.5599999996</v>
      </c>
    </row>
    <row r="19" spans="3:14" x14ac:dyDescent="0.35">
      <c r="F19" s="3" t="s">
        <v>10</v>
      </c>
      <c r="J19" s="3" t="s">
        <v>35</v>
      </c>
      <c r="M19" s="3">
        <v>2016</v>
      </c>
      <c r="N19" s="1">
        <v>6133340.7599999998</v>
      </c>
    </row>
    <row r="20" spans="3:14" x14ac:dyDescent="0.35">
      <c r="F20" s="3" t="s">
        <v>35</v>
      </c>
      <c r="J20" s="3" t="s">
        <v>55</v>
      </c>
      <c r="M20" s="3">
        <v>2017</v>
      </c>
      <c r="N20" s="1">
        <v>4757431.8499999996</v>
      </c>
    </row>
    <row r="21" spans="3:14" x14ac:dyDescent="0.35">
      <c r="F21" s="3" t="s">
        <v>55</v>
      </c>
      <c r="M21" s="3">
        <v>2018</v>
      </c>
      <c r="N21" s="1">
        <v>5579940.3399999999</v>
      </c>
    </row>
    <row r="22" spans="3:14" x14ac:dyDescent="0.35">
      <c r="M22" s="3">
        <v>2019</v>
      </c>
      <c r="N22" s="1">
        <v>5134378.92</v>
      </c>
    </row>
    <row r="23" spans="3:14" x14ac:dyDescent="0.35">
      <c r="C23" s="2" t="s">
        <v>56</v>
      </c>
      <c r="D23" s="2" t="s">
        <v>60</v>
      </c>
      <c r="M23" s="3">
        <v>2020</v>
      </c>
      <c r="N23" s="1">
        <v>5890372.21</v>
      </c>
    </row>
    <row r="24" spans="3:14" x14ac:dyDescent="0.35">
      <c r="C24" s="2" t="s">
        <v>54</v>
      </c>
      <c r="D24" t="s">
        <v>14</v>
      </c>
      <c r="E24" t="s">
        <v>22</v>
      </c>
      <c r="M24" s="3">
        <v>2021</v>
      </c>
      <c r="N24" s="1">
        <v>5467808.0899999999</v>
      </c>
    </row>
    <row r="25" spans="3:14" x14ac:dyDescent="0.35">
      <c r="C25" s="3">
        <v>2000</v>
      </c>
      <c r="D25" s="1">
        <v>51</v>
      </c>
      <c r="E25" s="1">
        <v>42</v>
      </c>
      <c r="M25" s="3">
        <v>2022</v>
      </c>
      <c r="N25" s="1">
        <v>6121487.6299999999</v>
      </c>
    </row>
    <row r="26" spans="3:14" x14ac:dyDescent="0.35">
      <c r="C26" s="3">
        <v>2001</v>
      </c>
      <c r="D26" s="1">
        <v>57</v>
      </c>
      <c r="E26" s="1">
        <v>52</v>
      </c>
      <c r="M26" s="3">
        <v>2023</v>
      </c>
      <c r="N26" s="1">
        <v>5286855.3499999996</v>
      </c>
    </row>
    <row r="27" spans="3:14" x14ac:dyDescent="0.35">
      <c r="C27" s="3">
        <v>2002</v>
      </c>
      <c r="D27" s="1">
        <v>60</v>
      </c>
      <c r="E27" s="1">
        <v>50</v>
      </c>
      <c r="M27" s="3" t="s">
        <v>55</v>
      </c>
      <c r="N27" s="1">
        <v>131595056.33</v>
      </c>
    </row>
    <row r="28" spans="3:14" x14ac:dyDescent="0.35">
      <c r="C28" s="3">
        <v>2003</v>
      </c>
      <c r="D28" s="1">
        <v>72</v>
      </c>
      <c r="E28" s="1">
        <v>46</v>
      </c>
    </row>
    <row r="29" spans="3:14" x14ac:dyDescent="0.35">
      <c r="C29" s="3">
        <v>2004</v>
      </c>
      <c r="D29" s="1">
        <v>55</v>
      </c>
      <c r="E29" s="1">
        <v>45</v>
      </c>
    </row>
    <row r="30" spans="3:14" x14ac:dyDescent="0.35">
      <c r="C30" s="3">
        <v>2005</v>
      </c>
      <c r="D30" s="1">
        <v>58</v>
      </c>
      <c r="E30" s="1">
        <v>45</v>
      </c>
    </row>
    <row r="31" spans="3:14" x14ac:dyDescent="0.35">
      <c r="C31" s="3">
        <v>2006</v>
      </c>
      <c r="D31" s="1">
        <v>47</v>
      </c>
      <c r="E31" s="1">
        <v>39</v>
      </c>
    </row>
    <row r="32" spans="3:14" x14ac:dyDescent="0.35">
      <c r="C32" s="3">
        <v>2007</v>
      </c>
      <c r="D32" s="1">
        <v>59</v>
      </c>
      <c r="E32" s="1">
        <v>51</v>
      </c>
    </row>
    <row r="33" spans="3:5" x14ac:dyDescent="0.35">
      <c r="C33" s="3">
        <v>2008</v>
      </c>
      <c r="D33" s="1">
        <v>61</v>
      </c>
      <c r="E33" s="1">
        <v>48</v>
      </c>
    </row>
    <row r="34" spans="3:5" x14ac:dyDescent="0.35">
      <c r="C34" s="3">
        <v>2009</v>
      </c>
      <c r="D34" s="1">
        <v>50</v>
      </c>
      <c r="E34" s="1">
        <v>40</v>
      </c>
    </row>
    <row r="35" spans="3:5" x14ac:dyDescent="0.35">
      <c r="C35" s="3">
        <v>2010</v>
      </c>
      <c r="D35" s="1">
        <v>56</v>
      </c>
      <c r="E35" s="1">
        <v>39</v>
      </c>
    </row>
    <row r="36" spans="3:5" x14ac:dyDescent="0.35">
      <c r="C36" s="3">
        <v>2011</v>
      </c>
      <c r="D36" s="1">
        <v>57</v>
      </c>
      <c r="E36" s="1">
        <v>44</v>
      </c>
    </row>
    <row r="37" spans="3:5" x14ac:dyDescent="0.35">
      <c r="C37" s="3">
        <v>2012</v>
      </c>
      <c r="D37" s="1">
        <v>57</v>
      </c>
      <c r="E37" s="1">
        <v>54</v>
      </c>
    </row>
    <row r="38" spans="3:5" x14ac:dyDescent="0.35">
      <c r="C38" s="3">
        <v>2013</v>
      </c>
      <c r="D38" s="1">
        <v>57</v>
      </c>
      <c r="E38" s="1">
        <v>38</v>
      </c>
    </row>
    <row r="39" spans="3:5" x14ac:dyDescent="0.35">
      <c r="C39" s="3">
        <v>2014</v>
      </c>
      <c r="D39" s="1">
        <v>64</v>
      </c>
      <c r="E39" s="1">
        <v>45</v>
      </c>
    </row>
    <row r="40" spans="3:5" x14ac:dyDescent="0.35">
      <c r="C40" s="3">
        <v>2015</v>
      </c>
      <c r="D40" s="1">
        <v>47</v>
      </c>
      <c r="E40" s="1">
        <v>41</v>
      </c>
    </row>
    <row r="41" spans="3:5" x14ac:dyDescent="0.35">
      <c r="C41" s="3">
        <v>2016</v>
      </c>
      <c r="D41" s="1">
        <v>61</v>
      </c>
      <c r="E41" s="1">
        <v>57</v>
      </c>
    </row>
    <row r="42" spans="3:5" x14ac:dyDescent="0.35">
      <c r="C42" s="3">
        <v>2017</v>
      </c>
      <c r="D42" s="1">
        <v>62</v>
      </c>
      <c r="E42" s="1">
        <v>35</v>
      </c>
    </row>
    <row r="43" spans="3:5" x14ac:dyDescent="0.35">
      <c r="C43" s="3">
        <v>2018</v>
      </c>
      <c r="D43" s="1">
        <v>57</v>
      </c>
      <c r="E43" s="1">
        <v>49</v>
      </c>
    </row>
    <row r="44" spans="3:5" x14ac:dyDescent="0.35">
      <c r="C44" s="3">
        <v>2019</v>
      </c>
      <c r="D44" s="1">
        <v>60</v>
      </c>
      <c r="E44" s="1">
        <v>43</v>
      </c>
    </row>
    <row r="45" spans="3:5" x14ac:dyDescent="0.35">
      <c r="C45" s="3">
        <v>2020</v>
      </c>
      <c r="D45" s="1">
        <v>65</v>
      </c>
      <c r="E45" s="1">
        <v>57</v>
      </c>
    </row>
    <row r="46" spans="3:5" x14ac:dyDescent="0.35">
      <c r="C46" s="3">
        <v>2021</v>
      </c>
      <c r="D46" s="1">
        <v>68</v>
      </c>
      <c r="E46" s="1">
        <v>44</v>
      </c>
    </row>
    <row r="47" spans="3:5" x14ac:dyDescent="0.35">
      <c r="C47" s="3">
        <v>2022</v>
      </c>
      <c r="D47" s="1">
        <v>60</v>
      </c>
      <c r="E47" s="1">
        <v>52</v>
      </c>
    </row>
    <row r="48" spans="3:5" x14ac:dyDescent="0.35">
      <c r="C48" s="3">
        <v>2023</v>
      </c>
      <c r="D48" s="1">
        <v>53</v>
      </c>
      <c r="E48" s="1">
        <v>50</v>
      </c>
    </row>
  </sheetData>
  <pageMargins left="0.7" right="0.7" top="0.75" bottom="0.75" header="0.3" footer="0.3"/>
  <pageSetup orientation="portrait" r:id="rId9"/>
  <extLst>
    <ext xmlns:x14="http://schemas.microsoft.com/office/spreadsheetml/2009/9/main" uri="{05C60535-1F16-4fd2-B633-F4F36F0B64E0}">
      <x14:sparklineGroups xmlns:xm="http://schemas.microsoft.com/office/excel/2006/main">
        <x14:sparklineGroup type="column" displayEmptyCellsAs="gap" xr2:uid="{226DE3E8-E3F6-4CD8-A77E-208C941FFB7D}">
          <x14:colorSeries rgb="FF376092"/>
          <x14:colorNegative rgb="FFD00000"/>
          <x14:colorAxis rgb="FF000000"/>
          <x14:colorMarkers rgb="FFD00000"/>
          <x14:colorFirst rgb="FFD00000"/>
          <x14:colorLast rgb="FFD00000"/>
          <x14:colorHigh rgb="FFD00000"/>
          <x14:colorLow rgb="FFD00000"/>
          <x14:sparklines>
            <x14:sparkline>
              <xm:f>Pivot!K13:K36</xm:f>
              <xm:sqref>L13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E95C-A2C9-464C-B503-D818F43BAFA2}">
  <dimension ref="A3:E862"/>
  <sheetViews>
    <sheetView topLeftCell="A7" zoomScale="98" zoomScaleNormal="98" workbookViewId="0">
      <selection activeCell="L9" sqref="L9"/>
    </sheetView>
  </sheetViews>
  <sheetFormatPr defaultRowHeight="14.5" x14ac:dyDescent="0.35"/>
  <cols>
    <col min="1" max="1" width="12.7265625" bestFit="1" customWidth="1"/>
    <col min="2" max="2" width="11.54296875" bestFit="1" customWidth="1"/>
    <col min="3" max="5" width="7.81640625" bestFit="1" customWidth="1"/>
    <col min="6" max="6" width="6.81640625" bestFit="1" customWidth="1"/>
    <col min="7" max="23" width="7.81640625" bestFit="1" customWidth="1"/>
    <col min="24" max="25" width="6.81640625" bestFit="1" customWidth="1"/>
    <col min="26" max="26" width="7.81640625" bestFit="1" customWidth="1"/>
    <col min="27" max="27" width="6.81640625" bestFit="1" customWidth="1"/>
    <col min="28" max="45" width="7.81640625" bestFit="1" customWidth="1"/>
    <col min="46" max="80" width="8.81640625" bestFit="1" customWidth="1"/>
    <col min="81" max="81" width="7.81640625" bestFit="1" customWidth="1"/>
    <col min="82" max="83" width="8.81640625" bestFit="1" customWidth="1"/>
    <col min="84" max="84" width="5.81640625" bestFit="1" customWidth="1"/>
    <col min="85" max="109" width="8.81640625" bestFit="1" customWidth="1"/>
    <col min="110" max="110" width="7.81640625" bestFit="1" customWidth="1"/>
    <col min="111" max="120" width="8.81640625" bestFit="1" customWidth="1"/>
    <col min="121" max="122" width="7.81640625" bestFit="1" customWidth="1"/>
    <col min="123" max="126" width="8.81640625" bestFit="1" customWidth="1"/>
    <col min="127" max="127" width="7.81640625" bestFit="1" customWidth="1"/>
    <col min="128" max="149" width="8.81640625" bestFit="1" customWidth="1"/>
    <col min="150" max="150" width="7.81640625" bestFit="1" customWidth="1"/>
    <col min="151" max="175" width="8.81640625" bestFit="1" customWidth="1"/>
    <col min="176" max="176" width="7.81640625" bestFit="1" customWidth="1"/>
    <col min="177" max="193" width="8.81640625" bestFit="1" customWidth="1"/>
    <col min="194" max="194" width="7.81640625" bestFit="1" customWidth="1"/>
    <col min="195" max="196" width="8.81640625" bestFit="1" customWidth="1"/>
    <col min="197" max="197" width="5.81640625" bestFit="1" customWidth="1"/>
    <col min="198" max="199" width="8.81640625" bestFit="1" customWidth="1"/>
    <col min="200" max="200" width="7.81640625" bestFit="1" customWidth="1"/>
    <col min="201" max="202" width="8.81640625" bestFit="1" customWidth="1"/>
    <col min="203" max="203" width="7.81640625" bestFit="1" customWidth="1"/>
    <col min="204" max="212" width="8.81640625" bestFit="1" customWidth="1"/>
    <col min="213" max="213" width="5.81640625" bestFit="1" customWidth="1"/>
    <col min="214" max="228" width="8.81640625" bestFit="1" customWidth="1"/>
    <col min="229" max="229" width="7.81640625" bestFit="1" customWidth="1"/>
    <col min="230" max="241" width="8.81640625" bestFit="1" customWidth="1"/>
    <col min="242" max="244" width="7.81640625" bestFit="1" customWidth="1"/>
    <col min="245" max="252" width="8.81640625" bestFit="1" customWidth="1"/>
    <col min="253" max="253" width="7.81640625" bestFit="1" customWidth="1"/>
    <col min="254" max="258" width="8.81640625" bestFit="1" customWidth="1"/>
    <col min="259" max="259" width="7.81640625" bestFit="1" customWidth="1"/>
    <col min="260" max="264" width="8.81640625" bestFit="1" customWidth="1"/>
    <col min="265" max="265" width="7.81640625" bestFit="1" customWidth="1"/>
    <col min="266" max="266" width="8.81640625" bestFit="1" customWidth="1"/>
    <col min="267" max="267" width="7.81640625" bestFit="1" customWidth="1"/>
    <col min="268" max="269" width="8.81640625" bestFit="1" customWidth="1"/>
    <col min="270" max="270" width="7.81640625" bestFit="1" customWidth="1"/>
    <col min="271" max="277" width="8.81640625" bestFit="1" customWidth="1"/>
    <col min="278" max="278" width="7.81640625" bestFit="1" customWidth="1"/>
    <col min="279" max="279" width="8.81640625" bestFit="1" customWidth="1"/>
    <col min="280" max="280" width="7.81640625" bestFit="1" customWidth="1"/>
    <col min="281" max="286" width="8.81640625" bestFit="1" customWidth="1"/>
    <col min="287" max="287" width="7.81640625" bestFit="1" customWidth="1"/>
    <col min="288" max="295" width="8.81640625" bestFit="1" customWidth="1"/>
    <col min="296" max="296" width="7.81640625" bestFit="1" customWidth="1"/>
    <col min="297" max="307" width="8.81640625" bestFit="1" customWidth="1"/>
    <col min="308" max="308" width="7.81640625" bestFit="1" customWidth="1"/>
    <col min="309" max="335" width="8.81640625" bestFit="1" customWidth="1"/>
    <col min="336" max="336" width="5.81640625" bestFit="1" customWidth="1"/>
    <col min="337" max="365" width="8.81640625" bestFit="1" customWidth="1"/>
    <col min="366" max="366" width="7.81640625" bestFit="1" customWidth="1"/>
    <col min="367" max="387" width="8.81640625" bestFit="1" customWidth="1"/>
    <col min="388" max="388" width="7.81640625" bestFit="1" customWidth="1"/>
    <col min="389" max="392" width="8.81640625" bestFit="1" customWidth="1"/>
    <col min="393" max="395" width="7.81640625" bestFit="1" customWidth="1"/>
    <col min="396" max="401" width="8.81640625" bestFit="1" customWidth="1"/>
    <col min="402" max="402" width="7.81640625" bestFit="1" customWidth="1"/>
    <col min="403" max="406" width="8.81640625" bestFit="1" customWidth="1"/>
    <col min="407" max="407" width="7.81640625" bestFit="1" customWidth="1"/>
    <col min="408" max="412" width="8.81640625" bestFit="1" customWidth="1"/>
    <col min="413" max="413" width="7.81640625" bestFit="1" customWidth="1"/>
    <col min="414" max="451" width="8.81640625" bestFit="1" customWidth="1"/>
    <col min="452" max="452" width="7.81640625" bestFit="1" customWidth="1"/>
    <col min="453" max="471" width="8.81640625" bestFit="1" customWidth="1"/>
    <col min="472" max="473" width="7.81640625" bestFit="1" customWidth="1"/>
    <col min="474" max="476" width="8.81640625" bestFit="1" customWidth="1"/>
    <col min="477" max="477" width="7.81640625" bestFit="1" customWidth="1"/>
    <col min="478" max="480" width="8.81640625" bestFit="1" customWidth="1"/>
    <col min="481" max="481" width="7.81640625" bestFit="1" customWidth="1"/>
    <col min="482" max="484" width="8.81640625" bestFit="1" customWidth="1"/>
    <col min="485" max="485" width="7.81640625" bestFit="1" customWidth="1"/>
    <col min="486" max="491" width="8.81640625" bestFit="1" customWidth="1"/>
    <col min="492" max="492" width="7.81640625" bestFit="1" customWidth="1"/>
    <col min="493" max="498" width="8.81640625" bestFit="1" customWidth="1"/>
    <col min="499" max="500" width="7.81640625" bestFit="1" customWidth="1"/>
    <col min="501" max="514" width="8.81640625" bestFit="1" customWidth="1"/>
    <col min="515" max="515" width="7.81640625" bestFit="1" customWidth="1"/>
    <col min="516" max="532" width="8.81640625" bestFit="1" customWidth="1"/>
    <col min="533" max="533" width="7.81640625" bestFit="1" customWidth="1"/>
    <col min="534" max="545" width="8.81640625" bestFit="1" customWidth="1"/>
    <col min="546" max="546" width="7.81640625" bestFit="1" customWidth="1"/>
    <col min="547" max="561" width="8.81640625" bestFit="1" customWidth="1"/>
    <col min="562" max="562" width="5.81640625" bestFit="1" customWidth="1"/>
    <col min="563" max="591" width="8.81640625" bestFit="1" customWidth="1"/>
    <col min="592" max="592" width="7.81640625" bestFit="1" customWidth="1"/>
    <col min="593" max="599" width="8.81640625" bestFit="1" customWidth="1"/>
    <col min="600" max="602" width="7.81640625" bestFit="1" customWidth="1"/>
    <col min="603" max="612" width="8.81640625" bestFit="1" customWidth="1"/>
    <col min="613" max="613" width="7.81640625" bestFit="1" customWidth="1"/>
    <col min="614" max="614" width="8.81640625" bestFit="1" customWidth="1"/>
    <col min="615" max="615" width="7.81640625" bestFit="1" customWidth="1"/>
    <col min="616" max="618" width="8.81640625" bestFit="1" customWidth="1"/>
    <col min="619" max="619" width="7.81640625" bestFit="1" customWidth="1"/>
    <col min="620" max="626" width="8.81640625" bestFit="1" customWidth="1"/>
    <col min="627" max="627" width="7.81640625" bestFit="1" customWidth="1"/>
    <col min="628" max="634" width="8.81640625" bestFit="1" customWidth="1"/>
    <col min="635" max="635" width="5.81640625" bestFit="1" customWidth="1"/>
    <col min="636" max="639" width="8.81640625" bestFit="1" customWidth="1"/>
    <col min="640" max="640" width="7.81640625" bestFit="1" customWidth="1"/>
    <col min="641" max="661" width="8.81640625" bestFit="1" customWidth="1"/>
    <col min="662" max="662" width="7.81640625" bestFit="1" customWidth="1"/>
    <col min="663" max="690" width="8.81640625" bestFit="1" customWidth="1"/>
    <col min="691" max="691" width="7.81640625" bestFit="1" customWidth="1"/>
    <col min="692" max="704" width="8.81640625" bestFit="1" customWidth="1"/>
    <col min="705" max="706" width="7.81640625" bestFit="1" customWidth="1"/>
    <col min="707" max="710" width="8.81640625" bestFit="1" customWidth="1"/>
    <col min="711" max="711" width="7.81640625" bestFit="1" customWidth="1"/>
    <col min="712" max="713" width="8.81640625" bestFit="1" customWidth="1"/>
    <col min="714" max="715" width="7.81640625" bestFit="1" customWidth="1"/>
    <col min="716" max="733" width="8.81640625" bestFit="1" customWidth="1"/>
    <col min="734" max="734" width="7.81640625" bestFit="1" customWidth="1"/>
    <col min="735" max="735" width="8.81640625" bestFit="1" customWidth="1"/>
    <col min="736" max="736" width="7.81640625" bestFit="1" customWidth="1"/>
    <col min="737" max="737" width="8.81640625" bestFit="1" customWidth="1"/>
    <col min="738" max="738" width="7.81640625" bestFit="1" customWidth="1"/>
    <col min="739" max="748" width="8.81640625" bestFit="1" customWidth="1"/>
    <col min="749" max="749" width="7.81640625" bestFit="1" customWidth="1"/>
    <col min="750" max="769" width="8.81640625" bestFit="1" customWidth="1"/>
    <col min="770" max="770" width="7.81640625" bestFit="1" customWidth="1"/>
    <col min="771" max="786" width="8.81640625" bestFit="1" customWidth="1"/>
    <col min="787" max="787" width="7.81640625" bestFit="1" customWidth="1"/>
    <col min="788" max="790" width="8.81640625" bestFit="1" customWidth="1"/>
    <col min="791" max="791" width="7.81640625" bestFit="1" customWidth="1"/>
    <col min="792" max="802" width="8.81640625" bestFit="1" customWidth="1"/>
    <col min="803" max="803" width="7.81640625" bestFit="1" customWidth="1"/>
    <col min="804" max="807" width="8.81640625" bestFit="1" customWidth="1"/>
    <col min="808" max="808" width="7.81640625" bestFit="1" customWidth="1"/>
    <col min="809" max="817" width="8.81640625" bestFit="1" customWidth="1"/>
    <col min="818" max="818" width="7.81640625" bestFit="1" customWidth="1"/>
    <col min="819" max="849" width="8.81640625" bestFit="1" customWidth="1"/>
    <col min="850" max="850" width="5.81640625" bestFit="1" customWidth="1"/>
    <col min="851" max="851" width="8.81640625" bestFit="1" customWidth="1"/>
    <col min="852" max="852" width="7.81640625" bestFit="1" customWidth="1"/>
    <col min="853" max="860" width="8.81640625" bestFit="1" customWidth="1"/>
    <col min="861" max="861" width="7.81640625" bestFit="1" customWidth="1"/>
    <col min="862" max="863" width="8.81640625" bestFit="1" customWidth="1"/>
  </cols>
  <sheetData>
    <row r="3" spans="1:5" x14ac:dyDescent="0.35">
      <c r="A3" s="2" t="s">
        <v>54</v>
      </c>
      <c r="B3" t="s">
        <v>58</v>
      </c>
    </row>
    <row r="4" spans="1:5" x14ac:dyDescent="0.35">
      <c r="A4" s="3">
        <v>1</v>
      </c>
      <c r="B4" s="1">
        <v>1450284.83</v>
      </c>
      <c r="D4">
        <f>A4</f>
        <v>1</v>
      </c>
      <c r="E4">
        <f>B4</f>
        <v>1450284.83</v>
      </c>
    </row>
    <row r="5" spans="1:5" x14ac:dyDescent="0.35">
      <c r="A5" s="3">
        <v>1.1000000000000001</v>
      </c>
      <c r="B5" s="1">
        <v>2069894.82</v>
      </c>
      <c r="D5">
        <f t="shared" ref="D5:D68" si="0">A5</f>
        <v>1.1000000000000001</v>
      </c>
      <c r="E5">
        <f t="shared" ref="E5:E68" si="1">B5</f>
        <v>2069894.82</v>
      </c>
    </row>
    <row r="6" spans="1:5" x14ac:dyDescent="0.35">
      <c r="A6" s="3">
        <v>1.2</v>
      </c>
      <c r="B6" s="1">
        <v>2410645.77</v>
      </c>
      <c r="D6">
        <f t="shared" si="0"/>
        <v>1.2</v>
      </c>
      <c r="E6">
        <f t="shared" si="1"/>
        <v>2410645.77</v>
      </c>
    </row>
    <row r="7" spans="1:5" x14ac:dyDescent="0.35">
      <c r="A7" s="3">
        <v>1.3</v>
      </c>
      <c r="B7" s="1">
        <v>3820144.04</v>
      </c>
      <c r="D7">
        <f t="shared" si="0"/>
        <v>1.3</v>
      </c>
      <c r="E7">
        <f t="shared" si="1"/>
        <v>3820144.04</v>
      </c>
    </row>
    <row r="8" spans="1:5" x14ac:dyDescent="0.35">
      <c r="A8" s="3">
        <v>1.4</v>
      </c>
      <c r="B8" s="1">
        <v>2652365.11</v>
      </c>
      <c r="D8">
        <f t="shared" si="0"/>
        <v>1.4</v>
      </c>
      <c r="E8">
        <f t="shared" si="1"/>
        <v>2652365.11</v>
      </c>
    </row>
    <row r="9" spans="1:5" x14ac:dyDescent="0.35">
      <c r="A9" s="3">
        <v>1.5</v>
      </c>
      <c r="B9" s="1">
        <v>2031022.78</v>
      </c>
      <c r="D9">
        <f t="shared" si="0"/>
        <v>1.5</v>
      </c>
      <c r="E9">
        <f t="shared" si="1"/>
        <v>2031022.78</v>
      </c>
    </row>
    <row r="10" spans="1:5" x14ac:dyDescent="0.35">
      <c r="A10" s="3">
        <v>1.6</v>
      </c>
      <c r="B10" s="1">
        <v>2326359.0299999998</v>
      </c>
      <c r="D10">
        <f t="shared" si="0"/>
        <v>1.6</v>
      </c>
      <c r="E10">
        <f t="shared" si="1"/>
        <v>2326359.0299999998</v>
      </c>
    </row>
    <row r="11" spans="1:5" x14ac:dyDescent="0.35">
      <c r="A11" s="3">
        <v>1.7</v>
      </c>
      <c r="B11" s="1">
        <v>2552660.4700000002</v>
      </c>
      <c r="D11">
        <f t="shared" si="0"/>
        <v>1.7</v>
      </c>
      <c r="E11">
        <f t="shared" si="1"/>
        <v>2552660.4700000002</v>
      </c>
    </row>
    <row r="12" spans="1:5" x14ac:dyDescent="0.35">
      <c r="A12" s="3">
        <v>1.8</v>
      </c>
      <c r="B12" s="1">
        <v>3379449.47</v>
      </c>
      <c r="D12">
        <f t="shared" si="0"/>
        <v>1.8</v>
      </c>
      <c r="E12">
        <f t="shared" si="1"/>
        <v>3379449.47</v>
      </c>
    </row>
    <row r="13" spans="1:5" x14ac:dyDescent="0.35">
      <c r="A13" s="3">
        <v>1.9</v>
      </c>
      <c r="B13" s="1">
        <v>2565542.08</v>
      </c>
      <c r="D13">
        <f t="shared" si="0"/>
        <v>1.9</v>
      </c>
      <c r="E13">
        <f t="shared" si="1"/>
        <v>2565542.08</v>
      </c>
    </row>
    <row r="14" spans="1:5" x14ac:dyDescent="0.35">
      <c r="A14" s="3">
        <v>2</v>
      </c>
      <c r="B14" s="1">
        <v>2571564.7000000002</v>
      </c>
      <c r="D14">
        <f t="shared" si="0"/>
        <v>2</v>
      </c>
      <c r="E14">
        <f t="shared" si="1"/>
        <v>2571564.7000000002</v>
      </c>
    </row>
    <row r="15" spans="1:5" x14ac:dyDescent="0.35">
      <c r="A15" s="3">
        <v>2.1</v>
      </c>
      <c r="B15" s="1">
        <v>2739632.81</v>
      </c>
      <c r="D15">
        <f t="shared" si="0"/>
        <v>2.1</v>
      </c>
      <c r="E15">
        <f t="shared" si="1"/>
        <v>2739632.81</v>
      </c>
    </row>
    <row r="16" spans="1:5" x14ac:dyDescent="0.35">
      <c r="A16" s="3">
        <v>2.2000000000000002</v>
      </c>
      <c r="B16" s="1">
        <v>3367187.21</v>
      </c>
      <c r="D16">
        <f t="shared" si="0"/>
        <v>2.2000000000000002</v>
      </c>
      <c r="E16">
        <f t="shared" si="1"/>
        <v>3367187.21</v>
      </c>
    </row>
    <row r="17" spans="1:5" x14ac:dyDescent="0.35">
      <c r="A17" s="3">
        <v>2.2999999999999998</v>
      </c>
      <c r="B17" s="1">
        <v>2514232.64</v>
      </c>
      <c r="D17">
        <f t="shared" si="0"/>
        <v>2.2999999999999998</v>
      </c>
      <c r="E17">
        <f t="shared" si="1"/>
        <v>2514232.64</v>
      </c>
    </row>
    <row r="18" spans="1:5" x14ac:dyDescent="0.35">
      <c r="A18" s="3">
        <v>2.4</v>
      </c>
      <c r="B18" s="1">
        <v>3004344.02</v>
      </c>
      <c r="D18">
        <f t="shared" si="0"/>
        <v>2.4</v>
      </c>
      <c r="E18">
        <f t="shared" si="1"/>
        <v>3004344.02</v>
      </c>
    </row>
    <row r="19" spans="1:5" x14ac:dyDescent="0.35">
      <c r="A19" s="3">
        <v>2.5</v>
      </c>
      <c r="B19" s="1">
        <v>2390936.81</v>
      </c>
      <c r="D19">
        <f t="shared" si="0"/>
        <v>2.5</v>
      </c>
      <c r="E19">
        <f t="shared" si="1"/>
        <v>2390936.81</v>
      </c>
    </row>
    <row r="20" spans="1:5" x14ac:dyDescent="0.35">
      <c r="A20" s="3">
        <v>2.6</v>
      </c>
      <c r="B20" s="1">
        <v>2649534.52</v>
      </c>
      <c r="D20">
        <f t="shared" si="0"/>
        <v>2.6</v>
      </c>
      <c r="E20">
        <f t="shared" si="1"/>
        <v>2649534.52</v>
      </c>
    </row>
    <row r="21" spans="1:5" x14ac:dyDescent="0.35">
      <c r="A21" s="3">
        <v>2.7</v>
      </c>
      <c r="B21" s="1">
        <v>3221913.23</v>
      </c>
      <c r="D21">
        <f t="shared" si="0"/>
        <v>2.7</v>
      </c>
      <c r="E21">
        <f t="shared" si="1"/>
        <v>3221913.23</v>
      </c>
    </row>
    <row r="22" spans="1:5" x14ac:dyDescent="0.35">
      <c r="A22" s="3">
        <v>2.8</v>
      </c>
      <c r="B22" s="1">
        <v>2354527.4900000002</v>
      </c>
      <c r="D22">
        <f t="shared" si="0"/>
        <v>2.8</v>
      </c>
      <c r="E22">
        <f t="shared" si="1"/>
        <v>2354527.4900000002</v>
      </c>
    </row>
    <row r="23" spans="1:5" x14ac:dyDescent="0.35">
      <c r="A23" s="3">
        <v>2.9</v>
      </c>
      <c r="B23" s="1">
        <v>2481539.3199999998</v>
      </c>
      <c r="D23">
        <f t="shared" si="0"/>
        <v>2.9</v>
      </c>
      <c r="E23">
        <f t="shared" si="1"/>
        <v>2481539.3199999998</v>
      </c>
    </row>
    <row r="24" spans="1:5" x14ac:dyDescent="0.35">
      <c r="A24" s="3">
        <v>3</v>
      </c>
      <c r="B24" s="1">
        <v>3003752.33</v>
      </c>
      <c r="D24">
        <f t="shared" si="0"/>
        <v>3</v>
      </c>
      <c r="E24">
        <f t="shared" si="1"/>
        <v>3003752.33</v>
      </c>
    </row>
    <row r="25" spans="1:5" x14ac:dyDescent="0.35">
      <c r="A25" s="3">
        <v>3.1</v>
      </c>
      <c r="B25" s="1">
        <v>3246816.47</v>
      </c>
      <c r="D25">
        <f t="shared" si="0"/>
        <v>3.1</v>
      </c>
      <c r="E25">
        <f t="shared" si="1"/>
        <v>3246816.47</v>
      </c>
    </row>
    <row r="26" spans="1:5" x14ac:dyDescent="0.35">
      <c r="A26" s="3">
        <v>3.2</v>
      </c>
      <c r="B26" s="1">
        <v>2917642.51</v>
      </c>
      <c r="D26">
        <f t="shared" si="0"/>
        <v>3.2</v>
      </c>
      <c r="E26">
        <f t="shared" si="1"/>
        <v>2917642.51</v>
      </c>
    </row>
    <row r="27" spans="1:5" x14ac:dyDescent="0.35">
      <c r="A27" s="3">
        <v>3.3</v>
      </c>
      <c r="B27" s="1">
        <v>2084238.88</v>
      </c>
      <c r="D27">
        <f t="shared" si="0"/>
        <v>3.3</v>
      </c>
      <c r="E27">
        <f t="shared" si="1"/>
        <v>2084238.88</v>
      </c>
    </row>
    <row r="28" spans="1:5" x14ac:dyDescent="0.35">
      <c r="A28" s="3">
        <v>3.4</v>
      </c>
      <c r="B28" s="1">
        <v>2833413.94</v>
      </c>
      <c r="D28">
        <f t="shared" si="0"/>
        <v>3.4</v>
      </c>
      <c r="E28">
        <f t="shared" si="1"/>
        <v>2833413.94</v>
      </c>
    </row>
    <row r="29" spans="1:5" x14ac:dyDescent="0.35">
      <c r="A29" s="3">
        <v>3.5</v>
      </c>
      <c r="B29" s="1">
        <v>2056101.71</v>
      </c>
      <c r="D29">
        <f t="shared" si="0"/>
        <v>3.5</v>
      </c>
      <c r="E29">
        <f t="shared" si="1"/>
        <v>2056101.71</v>
      </c>
    </row>
    <row r="30" spans="1:5" x14ac:dyDescent="0.35">
      <c r="A30" s="3">
        <v>3.6</v>
      </c>
      <c r="B30" s="1">
        <v>2325806.41</v>
      </c>
      <c r="D30">
        <f t="shared" si="0"/>
        <v>3.6</v>
      </c>
      <c r="E30">
        <f t="shared" si="1"/>
        <v>2325806.41</v>
      </c>
    </row>
    <row r="31" spans="1:5" x14ac:dyDescent="0.35">
      <c r="A31" s="3">
        <v>3.7</v>
      </c>
      <c r="B31" s="1">
        <v>2868605.2</v>
      </c>
      <c r="D31">
        <f t="shared" si="0"/>
        <v>3.7</v>
      </c>
      <c r="E31">
        <f t="shared" si="1"/>
        <v>2868605.2</v>
      </c>
    </row>
    <row r="32" spans="1:5" x14ac:dyDescent="0.35">
      <c r="A32" s="3">
        <v>3.8</v>
      </c>
      <c r="B32" s="1">
        <v>2700559.39</v>
      </c>
      <c r="D32">
        <f t="shared" si="0"/>
        <v>3.8</v>
      </c>
      <c r="E32">
        <f t="shared" si="1"/>
        <v>2700559.39</v>
      </c>
    </row>
    <row r="33" spans="1:5" x14ac:dyDescent="0.35">
      <c r="A33" s="3">
        <v>3.9</v>
      </c>
      <c r="B33" s="1">
        <v>3254061.81</v>
      </c>
      <c r="D33">
        <f t="shared" si="0"/>
        <v>3.9</v>
      </c>
      <c r="E33">
        <f t="shared" si="1"/>
        <v>3254061.81</v>
      </c>
    </row>
    <row r="34" spans="1:5" x14ac:dyDescent="0.35">
      <c r="A34" s="3">
        <v>4</v>
      </c>
      <c r="B34" s="1">
        <v>2557739.0099999998</v>
      </c>
      <c r="D34">
        <f t="shared" si="0"/>
        <v>4</v>
      </c>
      <c r="E34">
        <f t="shared" si="1"/>
        <v>2557739.0099999998</v>
      </c>
    </row>
    <row r="35" spans="1:5" x14ac:dyDescent="0.35">
      <c r="A35" s="3">
        <v>4.0999999999999996</v>
      </c>
      <c r="B35" s="1">
        <v>2220712.58</v>
      </c>
      <c r="D35">
        <f t="shared" si="0"/>
        <v>4.0999999999999996</v>
      </c>
      <c r="E35">
        <f t="shared" si="1"/>
        <v>2220712.58</v>
      </c>
    </row>
    <row r="36" spans="1:5" x14ac:dyDescent="0.35">
      <c r="A36" s="3">
        <v>4.2</v>
      </c>
      <c r="B36" s="1">
        <v>2174450.9</v>
      </c>
      <c r="D36">
        <f t="shared" si="0"/>
        <v>4.2</v>
      </c>
      <c r="E36">
        <f t="shared" si="1"/>
        <v>2174450.9</v>
      </c>
    </row>
    <row r="37" spans="1:5" x14ac:dyDescent="0.35">
      <c r="A37" s="3">
        <v>4.3</v>
      </c>
      <c r="B37" s="1">
        <v>2231798.83</v>
      </c>
      <c r="D37">
        <f t="shared" si="0"/>
        <v>4.3</v>
      </c>
      <c r="E37">
        <f t="shared" si="1"/>
        <v>2231798.83</v>
      </c>
    </row>
    <row r="38" spans="1:5" x14ac:dyDescent="0.35">
      <c r="A38" s="3">
        <v>4.4000000000000004</v>
      </c>
      <c r="B38" s="1">
        <v>3074376.71</v>
      </c>
      <c r="D38">
        <f t="shared" si="0"/>
        <v>4.4000000000000004</v>
      </c>
      <c r="E38">
        <f t="shared" si="1"/>
        <v>3074376.71</v>
      </c>
    </row>
    <row r="39" spans="1:5" x14ac:dyDescent="0.35">
      <c r="A39" s="3">
        <v>4.5</v>
      </c>
      <c r="B39" s="1">
        <v>3110103.52</v>
      </c>
      <c r="D39">
        <f t="shared" si="0"/>
        <v>4.5</v>
      </c>
      <c r="E39">
        <f t="shared" si="1"/>
        <v>3110103.52</v>
      </c>
    </row>
    <row r="40" spans="1:5" x14ac:dyDescent="0.35">
      <c r="A40" s="3">
        <v>4.5999999999999996</v>
      </c>
      <c r="B40" s="1">
        <v>1943598.89</v>
      </c>
      <c r="D40">
        <f t="shared" si="0"/>
        <v>4.5999999999999996</v>
      </c>
      <c r="E40">
        <f t="shared" si="1"/>
        <v>1943598.89</v>
      </c>
    </row>
    <row r="41" spans="1:5" x14ac:dyDescent="0.35">
      <c r="A41" s="3">
        <v>4.7</v>
      </c>
      <c r="B41" s="1">
        <v>2540351.09</v>
      </c>
      <c r="D41">
        <f t="shared" si="0"/>
        <v>4.7</v>
      </c>
      <c r="E41">
        <f t="shared" si="1"/>
        <v>2540351.09</v>
      </c>
    </row>
    <row r="42" spans="1:5" x14ac:dyDescent="0.35">
      <c r="A42" s="3">
        <v>4.8</v>
      </c>
      <c r="B42" s="1">
        <v>2917954.63</v>
      </c>
      <c r="D42">
        <f t="shared" si="0"/>
        <v>4.8</v>
      </c>
      <c r="E42">
        <f t="shared" si="1"/>
        <v>2917954.63</v>
      </c>
    </row>
    <row r="43" spans="1:5" x14ac:dyDescent="0.35">
      <c r="A43" s="3">
        <v>4.9000000000000004</v>
      </c>
      <c r="B43" s="1">
        <v>1993602</v>
      </c>
      <c r="D43">
        <f t="shared" si="0"/>
        <v>4.9000000000000004</v>
      </c>
      <c r="E43">
        <f t="shared" si="1"/>
        <v>1993602</v>
      </c>
    </row>
    <row r="44" spans="1:5" x14ac:dyDescent="0.35">
      <c r="A44" s="3">
        <v>5</v>
      </c>
      <c r="B44" s="1">
        <v>3138948.33</v>
      </c>
      <c r="D44">
        <f t="shared" si="0"/>
        <v>5</v>
      </c>
      <c r="E44">
        <f t="shared" si="1"/>
        <v>3138948.33</v>
      </c>
    </row>
    <row r="45" spans="1:5" x14ac:dyDescent="0.35">
      <c r="A45" s="3">
        <v>5.0999999999999996</v>
      </c>
      <c r="B45" s="1">
        <v>3310367.55</v>
      </c>
      <c r="D45">
        <f t="shared" si="0"/>
        <v>5.0999999999999996</v>
      </c>
      <c r="E45">
        <f t="shared" si="1"/>
        <v>3310367.55</v>
      </c>
    </row>
    <row r="46" spans="1:5" x14ac:dyDescent="0.35">
      <c r="A46" s="3">
        <v>5.2</v>
      </c>
      <c r="B46" s="1">
        <v>2422833.4</v>
      </c>
      <c r="D46">
        <f t="shared" si="0"/>
        <v>5.2</v>
      </c>
      <c r="E46">
        <f t="shared" si="1"/>
        <v>2422833.4</v>
      </c>
    </row>
    <row r="47" spans="1:5" x14ac:dyDescent="0.35">
      <c r="A47" s="3">
        <v>5.3</v>
      </c>
      <c r="B47" s="1">
        <v>2443322.4500000002</v>
      </c>
      <c r="D47">
        <f t="shared" si="0"/>
        <v>5.3</v>
      </c>
      <c r="E47">
        <f t="shared" si="1"/>
        <v>2443322.4500000002</v>
      </c>
    </row>
    <row r="48" spans="1:5" x14ac:dyDescent="0.35">
      <c r="A48" s="3">
        <v>5.4</v>
      </c>
      <c r="B48" s="1">
        <v>2270785.29</v>
      </c>
      <c r="D48">
        <f t="shared" si="0"/>
        <v>5.4</v>
      </c>
      <c r="E48">
        <f t="shared" si="1"/>
        <v>2270785.29</v>
      </c>
    </row>
    <row r="49" spans="1:5" x14ac:dyDescent="0.35">
      <c r="A49" s="3">
        <v>5.5</v>
      </c>
      <c r="B49" s="1">
        <v>2058320.82</v>
      </c>
      <c r="D49">
        <f t="shared" si="0"/>
        <v>5.5</v>
      </c>
      <c r="E49">
        <f t="shared" si="1"/>
        <v>2058320.82</v>
      </c>
    </row>
    <row r="50" spans="1:5" x14ac:dyDescent="0.35">
      <c r="A50" s="3">
        <v>5.6</v>
      </c>
      <c r="B50" s="1">
        <v>1967048.22</v>
      </c>
      <c r="D50">
        <f t="shared" si="0"/>
        <v>5.6</v>
      </c>
      <c r="E50">
        <f t="shared" si="1"/>
        <v>1967048.22</v>
      </c>
    </row>
    <row r="51" spans="1:5" x14ac:dyDescent="0.35">
      <c r="A51" s="3">
        <v>5.7</v>
      </c>
      <c r="B51" s="1">
        <v>3040928.62</v>
      </c>
      <c r="D51">
        <f t="shared" si="0"/>
        <v>5.7</v>
      </c>
      <c r="E51">
        <f t="shared" si="1"/>
        <v>3040928.62</v>
      </c>
    </row>
    <row r="52" spans="1:5" x14ac:dyDescent="0.35">
      <c r="A52" s="3">
        <v>5.8</v>
      </c>
      <c r="B52" s="1">
        <v>2916972.05</v>
      </c>
      <c r="D52">
        <f t="shared" si="0"/>
        <v>5.8</v>
      </c>
      <c r="E52">
        <f t="shared" si="1"/>
        <v>2916972.05</v>
      </c>
    </row>
    <row r="53" spans="1:5" x14ac:dyDescent="0.35">
      <c r="A53" s="3">
        <v>5.9</v>
      </c>
      <c r="B53" s="1">
        <v>2164193.7000000002</v>
      </c>
      <c r="D53">
        <f t="shared" si="0"/>
        <v>5.9</v>
      </c>
      <c r="E53">
        <f t="shared" si="1"/>
        <v>2164193.7000000002</v>
      </c>
    </row>
    <row r="54" spans="1:5" x14ac:dyDescent="0.35">
      <c r="A54" s="3">
        <v>6</v>
      </c>
      <c r="B54" s="1">
        <v>1251867.94</v>
      </c>
      <c r="D54">
        <f t="shared" si="0"/>
        <v>6</v>
      </c>
      <c r="E54">
        <f t="shared" si="1"/>
        <v>1251867.94</v>
      </c>
    </row>
    <row r="55" spans="1:5" x14ac:dyDescent="0.35">
      <c r="D55">
        <f t="shared" si="0"/>
        <v>0</v>
      </c>
      <c r="E55">
        <f t="shared" si="1"/>
        <v>0</v>
      </c>
    </row>
    <row r="56" spans="1:5" x14ac:dyDescent="0.35">
      <c r="D56">
        <f t="shared" si="0"/>
        <v>0</v>
      </c>
      <c r="E56">
        <f t="shared" si="1"/>
        <v>0</v>
      </c>
    </row>
    <row r="57" spans="1:5" x14ac:dyDescent="0.35">
      <c r="D57">
        <f t="shared" si="0"/>
        <v>0</v>
      </c>
      <c r="E57">
        <f t="shared" si="1"/>
        <v>0</v>
      </c>
    </row>
    <row r="58" spans="1:5" x14ac:dyDescent="0.35">
      <c r="D58">
        <f t="shared" si="0"/>
        <v>0</v>
      </c>
      <c r="E58">
        <f t="shared" si="1"/>
        <v>0</v>
      </c>
    </row>
    <row r="59" spans="1:5" x14ac:dyDescent="0.35">
      <c r="D59">
        <f t="shared" si="0"/>
        <v>0</v>
      </c>
      <c r="E59">
        <f t="shared" si="1"/>
        <v>0</v>
      </c>
    </row>
    <row r="60" spans="1:5" x14ac:dyDescent="0.35">
      <c r="D60">
        <f t="shared" si="0"/>
        <v>0</v>
      </c>
      <c r="E60">
        <f t="shared" si="1"/>
        <v>0</v>
      </c>
    </row>
    <row r="61" spans="1:5" x14ac:dyDescent="0.35">
      <c r="D61">
        <f t="shared" si="0"/>
        <v>0</v>
      </c>
      <c r="E61">
        <f t="shared" si="1"/>
        <v>0</v>
      </c>
    </row>
    <row r="62" spans="1:5" x14ac:dyDescent="0.35">
      <c r="D62">
        <f t="shared" si="0"/>
        <v>0</v>
      </c>
      <c r="E62">
        <f t="shared" si="1"/>
        <v>0</v>
      </c>
    </row>
    <row r="63" spans="1:5" x14ac:dyDescent="0.35">
      <c r="D63">
        <f t="shared" si="0"/>
        <v>0</v>
      </c>
      <c r="E63">
        <f t="shared" si="1"/>
        <v>0</v>
      </c>
    </row>
    <row r="64" spans="1:5" x14ac:dyDescent="0.35">
      <c r="D64">
        <f t="shared" si="0"/>
        <v>0</v>
      </c>
      <c r="E64">
        <f t="shared" si="1"/>
        <v>0</v>
      </c>
    </row>
    <row r="65" spans="4:5" x14ac:dyDescent="0.35">
      <c r="D65">
        <f t="shared" si="0"/>
        <v>0</v>
      </c>
      <c r="E65">
        <f t="shared" si="1"/>
        <v>0</v>
      </c>
    </row>
    <row r="66" spans="4:5" x14ac:dyDescent="0.35">
      <c r="D66">
        <f t="shared" si="0"/>
        <v>0</v>
      </c>
      <c r="E66">
        <f t="shared" si="1"/>
        <v>0</v>
      </c>
    </row>
    <row r="67" spans="4:5" x14ac:dyDescent="0.35">
      <c r="D67">
        <f t="shared" si="0"/>
        <v>0</v>
      </c>
      <c r="E67">
        <f t="shared" si="1"/>
        <v>0</v>
      </c>
    </row>
    <row r="68" spans="4:5" x14ac:dyDescent="0.35">
      <c r="D68">
        <f t="shared" si="0"/>
        <v>0</v>
      </c>
      <c r="E68">
        <f t="shared" si="1"/>
        <v>0</v>
      </c>
    </row>
    <row r="69" spans="4:5" x14ac:dyDescent="0.35">
      <c r="D69">
        <f t="shared" ref="D69:D132" si="2">A69</f>
        <v>0</v>
      </c>
      <c r="E69">
        <f t="shared" ref="E69:E132" si="3">B69</f>
        <v>0</v>
      </c>
    </row>
    <row r="70" spans="4:5" x14ac:dyDescent="0.35">
      <c r="D70">
        <f t="shared" si="2"/>
        <v>0</v>
      </c>
      <c r="E70">
        <f t="shared" si="3"/>
        <v>0</v>
      </c>
    </row>
    <row r="71" spans="4:5" x14ac:dyDescent="0.35">
      <c r="D71">
        <f t="shared" si="2"/>
        <v>0</v>
      </c>
      <c r="E71">
        <f t="shared" si="3"/>
        <v>0</v>
      </c>
    </row>
    <row r="72" spans="4:5" x14ac:dyDescent="0.35">
      <c r="D72">
        <f t="shared" si="2"/>
        <v>0</v>
      </c>
      <c r="E72">
        <f t="shared" si="3"/>
        <v>0</v>
      </c>
    </row>
    <row r="73" spans="4:5" x14ac:dyDescent="0.35">
      <c r="D73">
        <f t="shared" si="2"/>
        <v>0</v>
      </c>
      <c r="E73">
        <f t="shared" si="3"/>
        <v>0</v>
      </c>
    </row>
    <row r="74" spans="4:5" x14ac:dyDescent="0.35">
      <c r="D74">
        <f t="shared" si="2"/>
        <v>0</v>
      </c>
      <c r="E74">
        <f t="shared" si="3"/>
        <v>0</v>
      </c>
    </row>
    <row r="75" spans="4:5" x14ac:dyDescent="0.35">
      <c r="D75">
        <f t="shared" si="2"/>
        <v>0</v>
      </c>
      <c r="E75">
        <f t="shared" si="3"/>
        <v>0</v>
      </c>
    </row>
    <row r="76" spans="4:5" x14ac:dyDescent="0.35">
      <c r="D76">
        <f t="shared" si="2"/>
        <v>0</v>
      </c>
      <c r="E76">
        <f t="shared" si="3"/>
        <v>0</v>
      </c>
    </row>
    <row r="77" spans="4:5" x14ac:dyDescent="0.35">
      <c r="D77">
        <f t="shared" si="2"/>
        <v>0</v>
      </c>
      <c r="E77">
        <f t="shared" si="3"/>
        <v>0</v>
      </c>
    </row>
    <row r="78" spans="4:5" x14ac:dyDescent="0.35">
      <c r="D78">
        <f t="shared" si="2"/>
        <v>0</v>
      </c>
      <c r="E78">
        <f t="shared" si="3"/>
        <v>0</v>
      </c>
    </row>
    <row r="79" spans="4:5" x14ac:dyDescent="0.35">
      <c r="D79">
        <f t="shared" si="2"/>
        <v>0</v>
      </c>
      <c r="E79">
        <f t="shared" si="3"/>
        <v>0</v>
      </c>
    </row>
    <row r="80" spans="4:5" x14ac:dyDescent="0.35">
      <c r="D80">
        <f t="shared" si="2"/>
        <v>0</v>
      </c>
      <c r="E80">
        <f t="shared" si="3"/>
        <v>0</v>
      </c>
    </row>
    <row r="81" spans="4:5" x14ac:dyDescent="0.35">
      <c r="D81">
        <f t="shared" si="2"/>
        <v>0</v>
      </c>
      <c r="E81">
        <f t="shared" si="3"/>
        <v>0</v>
      </c>
    </row>
    <row r="82" spans="4:5" x14ac:dyDescent="0.35">
      <c r="D82">
        <f t="shared" si="2"/>
        <v>0</v>
      </c>
      <c r="E82">
        <f t="shared" si="3"/>
        <v>0</v>
      </c>
    </row>
    <row r="83" spans="4:5" x14ac:dyDescent="0.35">
      <c r="D83">
        <f t="shared" si="2"/>
        <v>0</v>
      </c>
      <c r="E83">
        <f t="shared" si="3"/>
        <v>0</v>
      </c>
    </row>
    <row r="84" spans="4:5" x14ac:dyDescent="0.35">
      <c r="D84">
        <f t="shared" si="2"/>
        <v>0</v>
      </c>
      <c r="E84">
        <f t="shared" si="3"/>
        <v>0</v>
      </c>
    </row>
    <row r="85" spans="4:5" x14ac:dyDescent="0.35">
      <c r="D85">
        <f t="shared" si="2"/>
        <v>0</v>
      </c>
      <c r="E85">
        <f t="shared" si="3"/>
        <v>0</v>
      </c>
    </row>
    <row r="86" spans="4:5" x14ac:dyDescent="0.35">
      <c r="D86">
        <f t="shared" si="2"/>
        <v>0</v>
      </c>
      <c r="E86">
        <f t="shared" si="3"/>
        <v>0</v>
      </c>
    </row>
    <row r="87" spans="4:5" x14ac:dyDescent="0.35">
      <c r="D87">
        <f t="shared" si="2"/>
        <v>0</v>
      </c>
      <c r="E87">
        <f t="shared" si="3"/>
        <v>0</v>
      </c>
    </row>
    <row r="88" spans="4:5" x14ac:dyDescent="0.35">
      <c r="D88">
        <f t="shared" si="2"/>
        <v>0</v>
      </c>
      <c r="E88">
        <f t="shared" si="3"/>
        <v>0</v>
      </c>
    </row>
    <row r="89" spans="4:5" x14ac:dyDescent="0.35">
      <c r="D89">
        <f t="shared" si="2"/>
        <v>0</v>
      </c>
      <c r="E89">
        <f t="shared" si="3"/>
        <v>0</v>
      </c>
    </row>
    <row r="90" spans="4:5" x14ac:dyDescent="0.35">
      <c r="D90">
        <f t="shared" si="2"/>
        <v>0</v>
      </c>
      <c r="E90">
        <f t="shared" si="3"/>
        <v>0</v>
      </c>
    </row>
    <row r="91" spans="4:5" x14ac:dyDescent="0.35">
      <c r="D91">
        <f t="shared" si="2"/>
        <v>0</v>
      </c>
      <c r="E91">
        <f t="shared" si="3"/>
        <v>0</v>
      </c>
    </row>
    <row r="92" spans="4:5" x14ac:dyDescent="0.35">
      <c r="D92">
        <f t="shared" si="2"/>
        <v>0</v>
      </c>
      <c r="E92">
        <f t="shared" si="3"/>
        <v>0</v>
      </c>
    </row>
    <row r="93" spans="4:5" x14ac:dyDescent="0.35">
      <c r="D93">
        <f t="shared" si="2"/>
        <v>0</v>
      </c>
      <c r="E93">
        <f t="shared" si="3"/>
        <v>0</v>
      </c>
    </row>
    <row r="94" spans="4:5" x14ac:dyDescent="0.35">
      <c r="D94">
        <f t="shared" si="2"/>
        <v>0</v>
      </c>
      <c r="E94">
        <f t="shared" si="3"/>
        <v>0</v>
      </c>
    </row>
    <row r="95" spans="4:5" x14ac:dyDescent="0.35">
      <c r="D95">
        <f t="shared" si="2"/>
        <v>0</v>
      </c>
      <c r="E95">
        <f t="shared" si="3"/>
        <v>0</v>
      </c>
    </row>
    <row r="96" spans="4:5" x14ac:dyDescent="0.35">
      <c r="D96">
        <f t="shared" si="2"/>
        <v>0</v>
      </c>
      <c r="E96">
        <f t="shared" si="3"/>
        <v>0</v>
      </c>
    </row>
    <row r="97" spans="4:5" x14ac:dyDescent="0.35">
      <c r="D97">
        <f t="shared" si="2"/>
        <v>0</v>
      </c>
      <c r="E97">
        <f t="shared" si="3"/>
        <v>0</v>
      </c>
    </row>
    <row r="98" spans="4:5" x14ac:dyDescent="0.35">
      <c r="D98">
        <f t="shared" si="2"/>
        <v>0</v>
      </c>
      <c r="E98">
        <f t="shared" si="3"/>
        <v>0</v>
      </c>
    </row>
    <row r="99" spans="4:5" x14ac:dyDescent="0.35">
      <c r="D99">
        <f t="shared" si="2"/>
        <v>0</v>
      </c>
      <c r="E99">
        <f t="shared" si="3"/>
        <v>0</v>
      </c>
    </row>
    <row r="100" spans="4:5" x14ac:dyDescent="0.35">
      <c r="D100">
        <f t="shared" si="2"/>
        <v>0</v>
      </c>
      <c r="E100">
        <f t="shared" si="3"/>
        <v>0</v>
      </c>
    </row>
    <row r="101" spans="4:5" x14ac:dyDescent="0.35">
      <c r="D101">
        <f t="shared" si="2"/>
        <v>0</v>
      </c>
      <c r="E101">
        <f t="shared" si="3"/>
        <v>0</v>
      </c>
    </row>
    <row r="102" spans="4:5" x14ac:dyDescent="0.35">
      <c r="D102">
        <f t="shared" si="2"/>
        <v>0</v>
      </c>
      <c r="E102">
        <f t="shared" si="3"/>
        <v>0</v>
      </c>
    </row>
    <row r="103" spans="4:5" x14ac:dyDescent="0.35">
      <c r="D103">
        <f t="shared" si="2"/>
        <v>0</v>
      </c>
      <c r="E103">
        <f t="shared" si="3"/>
        <v>0</v>
      </c>
    </row>
    <row r="104" spans="4:5" x14ac:dyDescent="0.35">
      <c r="D104">
        <f t="shared" si="2"/>
        <v>0</v>
      </c>
      <c r="E104">
        <f t="shared" si="3"/>
        <v>0</v>
      </c>
    </row>
    <row r="105" spans="4:5" x14ac:dyDescent="0.35">
      <c r="D105">
        <f t="shared" si="2"/>
        <v>0</v>
      </c>
      <c r="E105">
        <f t="shared" si="3"/>
        <v>0</v>
      </c>
    </row>
    <row r="106" spans="4:5" x14ac:dyDescent="0.35">
      <c r="D106">
        <f t="shared" si="2"/>
        <v>0</v>
      </c>
      <c r="E106">
        <f t="shared" si="3"/>
        <v>0</v>
      </c>
    </row>
    <row r="107" spans="4:5" x14ac:dyDescent="0.35">
      <c r="D107">
        <f t="shared" si="2"/>
        <v>0</v>
      </c>
      <c r="E107">
        <f t="shared" si="3"/>
        <v>0</v>
      </c>
    </row>
    <row r="108" spans="4:5" x14ac:dyDescent="0.35">
      <c r="D108">
        <f t="shared" si="2"/>
        <v>0</v>
      </c>
      <c r="E108">
        <f t="shared" si="3"/>
        <v>0</v>
      </c>
    </row>
    <row r="109" spans="4:5" x14ac:dyDescent="0.35">
      <c r="D109">
        <f t="shared" si="2"/>
        <v>0</v>
      </c>
      <c r="E109">
        <f t="shared" si="3"/>
        <v>0</v>
      </c>
    </row>
    <row r="110" spans="4:5" x14ac:dyDescent="0.35">
      <c r="D110">
        <f t="shared" si="2"/>
        <v>0</v>
      </c>
      <c r="E110">
        <f t="shared" si="3"/>
        <v>0</v>
      </c>
    </row>
    <row r="111" spans="4:5" x14ac:dyDescent="0.35">
      <c r="D111">
        <f t="shared" si="2"/>
        <v>0</v>
      </c>
      <c r="E111">
        <f t="shared" si="3"/>
        <v>0</v>
      </c>
    </row>
    <row r="112" spans="4:5" x14ac:dyDescent="0.35">
      <c r="D112">
        <f t="shared" si="2"/>
        <v>0</v>
      </c>
      <c r="E112">
        <f t="shared" si="3"/>
        <v>0</v>
      </c>
    </row>
    <row r="113" spans="4:5" x14ac:dyDescent="0.35">
      <c r="D113">
        <f t="shared" si="2"/>
        <v>0</v>
      </c>
      <c r="E113">
        <f t="shared" si="3"/>
        <v>0</v>
      </c>
    </row>
    <row r="114" spans="4:5" x14ac:dyDescent="0.35">
      <c r="D114">
        <f t="shared" si="2"/>
        <v>0</v>
      </c>
      <c r="E114">
        <f t="shared" si="3"/>
        <v>0</v>
      </c>
    </row>
    <row r="115" spans="4:5" x14ac:dyDescent="0.35">
      <c r="D115">
        <f t="shared" si="2"/>
        <v>0</v>
      </c>
      <c r="E115">
        <f t="shared" si="3"/>
        <v>0</v>
      </c>
    </row>
    <row r="116" spans="4:5" x14ac:dyDescent="0.35">
      <c r="D116">
        <f t="shared" si="2"/>
        <v>0</v>
      </c>
      <c r="E116">
        <f t="shared" si="3"/>
        <v>0</v>
      </c>
    </row>
    <row r="117" spans="4:5" x14ac:dyDescent="0.35">
      <c r="D117">
        <f t="shared" si="2"/>
        <v>0</v>
      </c>
      <c r="E117">
        <f t="shared" si="3"/>
        <v>0</v>
      </c>
    </row>
    <row r="118" spans="4:5" x14ac:dyDescent="0.35">
      <c r="D118">
        <f t="shared" si="2"/>
        <v>0</v>
      </c>
      <c r="E118">
        <f t="shared" si="3"/>
        <v>0</v>
      </c>
    </row>
    <row r="119" spans="4:5" x14ac:dyDescent="0.35">
      <c r="D119">
        <f t="shared" si="2"/>
        <v>0</v>
      </c>
      <c r="E119">
        <f t="shared" si="3"/>
        <v>0</v>
      </c>
    </row>
    <row r="120" spans="4:5" x14ac:dyDescent="0.35">
      <c r="D120">
        <f t="shared" si="2"/>
        <v>0</v>
      </c>
      <c r="E120">
        <f t="shared" si="3"/>
        <v>0</v>
      </c>
    </row>
    <row r="121" spans="4:5" x14ac:dyDescent="0.35">
      <c r="D121">
        <f t="shared" si="2"/>
        <v>0</v>
      </c>
      <c r="E121">
        <f t="shared" si="3"/>
        <v>0</v>
      </c>
    </row>
    <row r="122" spans="4:5" x14ac:dyDescent="0.35">
      <c r="D122">
        <f t="shared" si="2"/>
        <v>0</v>
      </c>
      <c r="E122">
        <f t="shared" si="3"/>
        <v>0</v>
      </c>
    </row>
    <row r="123" spans="4:5" x14ac:dyDescent="0.35">
      <c r="D123">
        <f t="shared" si="2"/>
        <v>0</v>
      </c>
      <c r="E123">
        <f t="shared" si="3"/>
        <v>0</v>
      </c>
    </row>
    <row r="124" spans="4:5" x14ac:dyDescent="0.35">
      <c r="D124">
        <f t="shared" si="2"/>
        <v>0</v>
      </c>
      <c r="E124">
        <f t="shared" si="3"/>
        <v>0</v>
      </c>
    </row>
    <row r="125" spans="4:5" x14ac:dyDescent="0.35">
      <c r="D125">
        <f t="shared" si="2"/>
        <v>0</v>
      </c>
      <c r="E125">
        <f t="shared" si="3"/>
        <v>0</v>
      </c>
    </row>
    <row r="126" spans="4:5" x14ac:dyDescent="0.35">
      <c r="D126">
        <f t="shared" si="2"/>
        <v>0</v>
      </c>
      <c r="E126">
        <f t="shared" si="3"/>
        <v>0</v>
      </c>
    </row>
    <row r="127" spans="4:5" x14ac:dyDescent="0.35">
      <c r="D127">
        <f t="shared" si="2"/>
        <v>0</v>
      </c>
      <c r="E127">
        <f t="shared" si="3"/>
        <v>0</v>
      </c>
    </row>
    <row r="128" spans="4:5" x14ac:dyDescent="0.35">
      <c r="D128">
        <f t="shared" si="2"/>
        <v>0</v>
      </c>
      <c r="E128">
        <f t="shared" si="3"/>
        <v>0</v>
      </c>
    </row>
    <row r="129" spans="4:5" x14ac:dyDescent="0.35">
      <c r="D129">
        <f t="shared" si="2"/>
        <v>0</v>
      </c>
      <c r="E129">
        <f t="shared" si="3"/>
        <v>0</v>
      </c>
    </row>
    <row r="130" spans="4:5" x14ac:dyDescent="0.35">
      <c r="D130">
        <f t="shared" si="2"/>
        <v>0</v>
      </c>
      <c r="E130">
        <f t="shared" si="3"/>
        <v>0</v>
      </c>
    </row>
    <row r="131" spans="4:5" x14ac:dyDescent="0.35">
      <c r="D131">
        <f t="shared" si="2"/>
        <v>0</v>
      </c>
      <c r="E131">
        <f t="shared" si="3"/>
        <v>0</v>
      </c>
    </row>
    <row r="132" spans="4:5" x14ac:dyDescent="0.35">
      <c r="D132">
        <f t="shared" si="2"/>
        <v>0</v>
      </c>
      <c r="E132">
        <f t="shared" si="3"/>
        <v>0</v>
      </c>
    </row>
    <row r="133" spans="4:5" x14ac:dyDescent="0.35">
      <c r="D133">
        <f t="shared" ref="D133:D196" si="4">A133</f>
        <v>0</v>
      </c>
      <c r="E133">
        <f t="shared" ref="E133:E196" si="5">B133</f>
        <v>0</v>
      </c>
    </row>
    <row r="134" spans="4:5" x14ac:dyDescent="0.35">
      <c r="D134">
        <f t="shared" si="4"/>
        <v>0</v>
      </c>
      <c r="E134">
        <f t="shared" si="5"/>
        <v>0</v>
      </c>
    </row>
    <row r="135" spans="4:5" x14ac:dyDescent="0.35">
      <c r="D135">
        <f t="shared" si="4"/>
        <v>0</v>
      </c>
      <c r="E135">
        <f t="shared" si="5"/>
        <v>0</v>
      </c>
    </row>
    <row r="136" spans="4:5" x14ac:dyDescent="0.35">
      <c r="D136">
        <f t="shared" si="4"/>
        <v>0</v>
      </c>
      <c r="E136">
        <f t="shared" si="5"/>
        <v>0</v>
      </c>
    </row>
    <row r="137" spans="4:5" x14ac:dyDescent="0.35">
      <c r="D137">
        <f t="shared" si="4"/>
        <v>0</v>
      </c>
      <c r="E137">
        <f t="shared" si="5"/>
        <v>0</v>
      </c>
    </row>
    <row r="138" spans="4:5" x14ac:dyDescent="0.35">
      <c r="D138">
        <f t="shared" si="4"/>
        <v>0</v>
      </c>
      <c r="E138">
        <f t="shared" si="5"/>
        <v>0</v>
      </c>
    </row>
    <row r="139" spans="4:5" x14ac:dyDescent="0.35">
      <c r="D139">
        <f t="shared" si="4"/>
        <v>0</v>
      </c>
      <c r="E139">
        <f t="shared" si="5"/>
        <v>0</v>
      </c>
    </row>
    <row r="140" spans="4:5" x14ac:dyDescent="0.35">
      <c r="D140">
        <f t="shared" si="4"/>
        <v>0</v>
      </c>
      <c r="E140">
        <f t="shared" si="5"/>
        <v>0</v>
      </c>
    </row>
    <row r="141" spans="4:5" x14ac:dyDescent="0.35">
      <c r="D141">
        <f t="shared" si="4"/>
        <v>0</v>
      </c>
      <c r="E141">
        <f t="shared" si="5"/>
        <v>0</v>
      </c>
    </row>
    <row r="142" spans="4:5" x14ac:dyDescent="0.35">
      <c r="D142">
        <f t="shared" si="4"/>
        <v>0</v>
      </c>
      <c r="E142">
        <f t="shared" si="5"/>
        <v>0</v>
      </c>
    </row>
    <row r="143" spans="4:5" x14ac:dyDescent="0.35">
      <c r="D143">
        <f t="shared" si="4"/>
        <v>0</v>
      </c>
      <c r="E143">
        <f t="shared" si="5"/>
        <v>0</v>
      </c>
    </row>
    <row r="144" spans="4:5" x14ac:dyDescent="0.35">
      <c r="D144">
        <f t="shared" si="4"/>
        <v>0</v>
      </c>
      <c r="E144">
        <f t="shared" si="5"/>
        <v>0</v>
      </c>
    </row>
    <row r="145" spans="4:5" x14ac:dyDescent="0.35">
      <c r="D145">
        <f t="shared" si="4"/>
        <v>0</v>
      </c>
      <c r="E145">
        <f t="shared" si="5"/>
        <v>0</v>
      </c>
    </row>
    <row r="146" spans="4:5" x14ac:dyDescent="0.35">
      <c r="D146">
        <f t="shared" si="4"/>
        <v>0</v>
      </c>
      <c r="E146">
        <f t="shared" si="5"/>
        <v>0</v>
      </c>
    </row>
    <row r="147" spans="4:5" x14ac:dyDescent="0.35">
      <c r="D147">
        <f t="shared" si="4"/>
        <v>0</v>
      </c>
      <c r="E147">
        <f t="shared" si="5"/>
        <v>0</v>
      </c>
    </row>
    <row r="148" spans="4:5" x14ac:dyDescent="0.35">
      <c r="D148">
        <f t="shared" si="4"/>
        <v>0</v>
      </c>
      <c r="E148">
        <f t="shared" si="5"/>
        <v>0</v>
      </c>
    </row>
    <row r="149" spans="4:5" x14ac:dyDescent="0.35">
      <c r="D149">
        <f t="shared" si="4"/>
        <v>0</v>
      </c>
      <c r="E149">
        <f t="shared" si="5"/>
        <v>0</v>
      </c>
    </row>
    <row r="150" spans="4:5" x14ac:dyDescent="0.35">
      <c r="D150">
        <f t="shared" si="4"/>
        <v>0</v>
      </c>
      <c r="E150">
        <f t="shared" si="5"/>
        <v>0</v>
      </c>
    </row>
    <row r="151" spans="4:5" x14ac:dyDescent="0.35">
      <c r="D151">
        <f t="shared" si="4"/>
        <v>0</v>
      </c>
      <c r="E151">
        <f t="shared" si="5"/>
        <v>0</v>
      </c>
    </row>
    <row r="152" spans="4:5" x14ac:dyDescent="0.35">
      <c r="D152">
        <f t="shared" si="4"/>
        <v>0</v>
      </c>
      <c r="E152">
        <f t="shared" si="5"/>
        <v>0</v>
      </c>
    </row>
    <row r="153" spans="4:5" x14ac:dyDescent="0.35">
      <c r="D153">
        <f t="shared" si="4"/>
        <v>0</v>
      </c>
      <c r="E153">
        <f t="shared" si="5"/>
        <v>0</v>
      </c>
    </row>
    <row r="154" spans="4:5" x14ac:dyDescent="0.35">
      <c r="D154">
        <f t="shared" si="4"/>
        <v>0</v>
      </c>
      <c r="E154">
        <f t="shared" si="5"/>
        <v>0</v>
      </c>
    </row>
    <row r="155" spans="4:5" x14ac:dyDescent="0.35">
      <c r="D155">
        <f t="shared" si="4"/>
        <v>0</v>
      </c>
      <c r="E155">
        <f t="shared" si="5"/>
        <v>0</v>
      </c>
    </row>
    <row r="156" spans="4:5" x14ac:dyDescent="0.35">
      <c r="D156">
        <f t="shared" si="4"/>
        <v>0</v>
      </c>
      <c r="E156">
        <f t="shared" si="5"/>
        <v>0</v>
      </c>
    </row>
    <row r="157" spans="4:5" x14ac:dyDescent="0.35">
      <c r="D157">
        <f t="shared" si="4"/>
        <v>0</v>
      </c>
      <c r="E157">
        <f t="shared" si="5"/>
        <v>0</v>
      </c>
    </row>
    <row r="158" spans="4:5" x14ac:dyDescent="0.35">
      <c r="D158">
        <f t="shared" si="4"/>
        <v>0</v>
      </c>
      <c r="E158">
        <f t="shared" si="5"/>
        <v>0</v>
      </c>
    </row>
    <row r="159" spans="4:5" x14ac:dyDescent="0.35">
      <c r="D159">
        <f t="shared" si="4"/>
        <v>0</v>
      </c>
      <c r="E159">
        <f t="shared" si="5"/>
        <v>0</v>
      </c>
    </row>
    <row r="160" spans="4:5" x14ac:dyDescent="0.35">
      <c r="D160">
        <f t="shared" si="4"/>
        <v>0</v>
      </c>
      <c r="E160">
        <f t="shared" si="5"/>
        <v>0</v>
      </c>
    </row>
    <row r="161" spans="4:5" x14ac:dyDescent="0.35">
      <c r="D161">
        <f t="shared" si="4"/>
        <v>0</v>
      </c>
      <c r="E161">
        <f t="shared" si="5"/>
        <v>0</v>
      </c>
    </row>
    <row r="162" spans="4:5" x14ac:dyDescent="0.35">
      <c r="D162">
        <f t="shared" si="4"/>
        <v>0</v>
      </c>
      <c r="E162">
        <f t="shared" si="5"/>
        <v>0</v>
      </c>
    </row>
    <row r="163" spans="4:5" x14ac:dyDescent="0.35">
      <c r="D163">
        <f t="shared" si="4"/>
        <v>0</v>
      </c>
      <c r="E163">
        <f t="shared" si="5"/>
        <v>0</v>
      </c>
    </row>
    <row r="164" spans="4:5" x14ac:dyDescent="0.35">
      <c r="D164">
        <f t="shared" si="4"/>
        <v>0</v>
      </c>
      <c r="E164">
        <f t="shared" si="5"/>
        <v>0</v>
      </c>
    </row>
    <row r="165" spans="4:5" x14ac:dyDescent="0.35">
      <c r="D165">
        <f t="shared" si="4"/>
        <v>0</v>
      </c>
      <c r="E165">
        <f t="shared" si="5"/>
        <v>0</v>
      </c>
    </row>
    <row r="166" spans="4:5" x14ac:dyDescent="0.35">
      <c r="D166">
        <f t="shared" si="4"/>
        <v>0</v>
      </c>
      <c r="E166">
        <f t="shared" si="5"/>
        <v>0</v>
      </c>
    </row>
    <row r="167" spans="4:5" x14ac:dyDescent="0.35">
      <c r="D167">
        <f t="shared" si="4"/>
        <v>0</v>
      </c>
      <c r="E167">
        <f t="shared" si="5"/>
        <v>0</v>
      </c>
    </row>
    <row r="168" spans="4:5" x14ac:dyDescent="0.35">
      <c r="D168">
        <f t="shared" si="4"/>
        <v>0</v>
      </c>
      <c r="E168">
        <f t="shared" si="5"/>
        <v>0</v>
      </c>
    </row>
    <row r="169" spans="4:5" x14ac:dyDescent="0.35">
      <c r="D169">
        <f t="shared" si="4"/>
        <v>0</v>
      </c>
      <c r="E169">
        <f t="shared" si="5"/>
        <v>0</v>
      </c>
    </row>
    <row r="170" spans="4:5" x14ac:dyDescent="0.35">
      <c r="D170">
        <f t="shared" si="4"/>
        <v>0</v>
      </c>
      <c r="E170">
        <f t="shared" si="5"/>
        <v>0</v>
      </c>
    </row>
    <row r="171" spans="4:5" x14ac:dyDescent="0.35">
      <c r="D171">
        <f t="shared" si="4"/>
        <v>0</v>
      </c>
      <c r="E171">
        <f t="shared" si="5"/>
        <v>0</v>
      </c>
    </row>
    <row r="172" spans="4:5" x14ac:dyDescent="0.35">
      <c r="D172">
        <f t="shared" si="4"/>
        <v>0</v>
      </c>
      <c r="E172">
        <f t="shared" si="5"/>
        <v>0</v>
      </c>
    </row>
    <row r="173" spans="4:5" x14ac:dyDescent="0.35">
      <c r="D173">
        <f t="shared" si="4"/>
        <v>0</v>
      </c>
      <c r="E173">
        <f t="shared" si="5"/>
        <v>0</v>
      </c>
    </row>
    <row r="174" spans="4:5" x14ac:dyDescent="0.35">
      <c r="D174">
        <f t="shared" si="4"/>
        <v>0</v>
      </c>
      <c r="E174">
        <f t="shared" si="5"/>
        <v>0</v>
      </c>
    </row>
    <row r="175" spans="4:5" x14ac:dyDescent="0.35">
      <c r="D175">
        <f t="shared" si="4"/>
        <v>0</v>
      </c>
      <c r="E175">
        <f t="shared" si="5"/>
        <v>0</v>
      </c>
    </row>
    <row r="176" spans="4:5" x14ac:dyDescent="0.35">
      <c r="D176">
        <f t="shared" si="4"/>
        <v>0</v>
      </c>
      <c r="E176">
        <f t="shared" si="5"/>
        <v>0</v>
      </c>
    </row>
    <row r="177" spans="4:5" x14ac:dyDescent="0.35">
      <c r="D177">
        <f t="shared" si="4"/>
        <v>0</v>
      </c>
      <c r="E177">
        <f t="shared" si="5"/>
        <v>0</v>
      </c>
    </row>
    <row r="178" spans="4:5" x14ac:dyDescent="0.35">
      <c r="D178">
        <f t="shared" si="4"/>
        <v>0</v>
      </c>
      <c r="E178">
        <f t="shared" si="5"/>
        <v>0</v>
      </c>
    </row>
    <row r="179" spans="4:5" x14ac:dyDescent="0.35">
      <c r="D179">
        <f t="shared" si="4"/>
        <v>0</v>
      </c>
      <c r="E179">
        <f t="shared" si="5"/>
        <v>0</v>
      </c>
    </row>
    <row r="180" spans="4:5" x14ac:dyDescent="0.35">
      <c r="D180">
        <f t="shared" si="4"/>
        <v>0</v>
      </c>
      <c r="E180">
        <f t="shared" si="5"/>
        <v>0</v>
      </c>
    </row>
    <row r="181" spans="4:5" x14ac:dyDescent="0.35">
      <c r="D181">
        <f t="shared" si="4"/>
        <v>0</v>
      </c>
      <c r="E181">
        <f t="shared" si="5"/>
        <v>0</v>
      </c>
    </row>
    <row r="182" spans="4:5" x14ac:dyDescent="0.35">
      <c r="D182">
        <f t="shared" si="4"/>
        <v>0</v>
      </c>
      <c r="E182">
        <f t="shared" si="5"/>
        <v>0</v>
      </c>
    </row>
    <row r="183" spans="4:5" x14ac:dyDescent="0.35">
      <c r="D183">
        <f t="shared" si="4"/>
        <v>0</v>
      </c>
      <c r="E183">
        <f t="shared" si="5"/>
        <v>0</v>
      </c>
    </row>
    <row r="184" spans="4:5" x14ac:dyDescent="0.35">
      <c r="D184">
        <f t="shared" si="4"/>
        <v>0</v>
      </c>
      <c r="E184">
        <f t="shared" si="5"/>
        <v>0</v>
      </c>
    </row>
    <row r="185" spans="4:5" x14ac:dyDescent="0.35">
      <c r="D185">
        <f t="shared" si="4"/>
        <v>0</v>
      </c>
      <c r="E185">
        <f t="shared" si="5"/>
        <v>0</v>
      </c>
    </row>
    <row r="186" spans="4:5" x14ac:dyDescent="0.35">
      <c r="D186">
        <f t="shared" si="4"/>
        <v>0</v>
      </c>
      <c r="E186">
        <f t="shared" si="5"/>
        <v>0</v>
      </c>
    </row>
    <row r="187" spans="4:5" x14ac:dyDescent="0.35">
      <c r="D187">
        <f t="shared" si="4"/>
        <v>0</v>
      </c>
      <c r="E187">
        <f t="shared" si="5"/>
        <v>0</v>
      </c>
    </row>
    <row r="188" spans="4:5" x14ac:dyDescent="0.35">
      <c r="D188">
        <f t="shared" si="4"/>
        <v>0</v>
      </c>
      <c r="E188">
        <f t="shared" si="5"/>
        <v>0</v>
      </c>
    </row>
    <row r="189" spans="4:5" x14ac:dyDescent="0.35">
      <c r="D189">
        <f t="shared" si="4"/>
        <v>0</v>
      </c>
      <c r="E189">
        <f t="shared" si="5"/>
        <v>0</v>
      </c>
    </row>
    <row r="190" spans="4:5" x14ac:dyDescent="0.35">
      <c r="D190">
        <f t="shared" si="4"/>
        <v>0</v>
      </c>
      <c r="E190">
        <f t="shared" si="5"/>
        <v>0</v>
      </c>
    </row>
    <row r="191" spans="4:5" x14ac:dyDescent="0.35">
      <c r="D191">
        <f t="shared" si="4"/>
        <v>0</v>
      </c>
      <c r="E191">
        <f t="shared" si="5"/>
        <v>0</v>
      </c>
    </row>
    <row r="192" spans="4:5" x14ac:dyDescent="0.35">
      <c r="D192">
        <f t="shared" si="4"/>
        <v>0</v>
      </c>
      <c r="E192">
        <f t="shared" si="5"/>
        <v>0</v>
      </c>
    </row>
    <row r="193" spans="4:5" x14ac:dyDescent="0.35">
      <c r="D193">
        <f t="shared" si="4"/>
        <v>0</v>
      </c>
      <c r="E193">
        <f t="shared" si="5"/>
        <v>0</v>
      </c>
    </row>
    <row r="194" spans="4:5" x14ac:dyDescent="0.35">
      <c r="D194">
        <f t="shared" si="4"/>
        <v>0</v>
      </c>
      <c r="E194">
        <f t="shared" si="5"/>
        <v>0</v>
      </c>
    </row>
    <row r="195" spans="4:5" x14ac:dyDescent="0.35">
      <c r="D195">
        <f t="shared" si="4"/>
        <v>0</v>
      </c>
      <c r="E195">
        <f t="shared" si="5"/>
        <v>0</v>
      </c>
    </row>
    <row r="196" spans="4:5" x14ac:dyDescent="0.35">
      <c r="D196">
        <f t="shared" si="4"/>
        <v>0</v>
      </c>
      <c r="E196">
        <f t="shared" si="5"/>
        <v>0</v>
      </c>
    </row>
    <row r="197" spans="4:5" x14ac:dyDescent="0.35">
      <c r="D197">
        <f t="shared" ref="D197:D260" si="6">A197</f>
        <v>0</v>
      </c>
      <c r="E197">
        <f t="shared" ref="E197:E260" si="7">B197</f>
        <v>0</v>
      </c>
    </row>
    <row r="198" spans="4:5" x14ac:dyDescent="0.35">
      <c r="D198">
        <f t="shared" si="6"/>
        <v>0</v>
      </c>
      <c r="E198">
        <f t="shared" si="7"/>
        <v>0</v>
      </c>
    </row>
    <row r="199" spans="4:5" x14ac:dyDescent="0.35">
      <c r="D199">
        <f t="shared" si="6"/>
        <v>0</v>
      </c>
      <c r="E199">
        <f t="shared" si="7"/>
        <v>0</v>
      </c>
    </row>
    <row r="200" spans="4:5" x14ac:dyDescent="0.35">
      <c r="D200">
        <f t="shared" si="6"/>
        <v>0</v>
      </c>
      <c r="E200">
        <f t="shared" si="7"/>
        <v>0</v>
      </c>
    </row>
    <row r="201" spans="4:5" x14ac:dyDescent="0.35">
      <c r="D201">
        <f t="shared" si="6"/>
        <v>0</v>
      </c>
      <c r="E201">
        <f t="shared" si="7"/>
        <v>0</v>
      </c>
    </row>
    <row r="202" spans="4:5" x14ac:dyDescent="0.35">
      <c r="D202">
        <f t="shared" si="6"/>
        <v>0</v>
      </c>
      <c r="E202">
        <f t="shared" si="7"/>
        <v>0</v>
      </c>
    </row>
    <row r="203" spans="4:5" x14ac:dyDescent="0.35">
      <c r="D203">
        <f t="shared" si="6"/>
        <v>0</v>
      </c>
      <c r="E203">
        <f t="shared" si="7"/>
        <v>0</v>
      </c>
    </row>
    <row r="204" spans="4:5" x14ac:dyDescent="0.35">
      <c r="D204">
        <f t="shared" si="6"/>
        <v>0</v>
      </c>
      <c r="E204">
        <f t="shared" si="7"/>
        <v>0</v>
      </c>
    </row>
    <row r="205" spans="4:5" x14ac:dyDescent="0.35">
      <c r="D205">
        <f t="shared" si="6"/>
        <v>0</v>
      </c>
      <c r="E205">
        <f t="shared" si="7"/>
        <v>0</v>
      </c>
    </row>
    <row r="206" spans="4:5" x14ac:dyDescent="0.35">
      <c r="D206">
        <f t="shared" si="6"/>
        <v>0</v>
      </c>
      <c r="E206">
        <f t="shared" si="7"/>
        <v>0</v>
      </c>
    </row>
    <row r="207" spans="4:5" x14ac:dyDescent="0.35">
      <c r="D207">
        <f t="shared" si="6"/>
        <v>0</v>
      </c>
      <c r="E207">
        <f t="shared" si="7"/>
        <v>0</v>
      </c>
    </row>
    <row r="208" spans="4:5" x14ac:dyDescent="0.35">
      <c r="D208">
        <f t="shared" si="6"/>
        <v>0</v>
      </c>
      <c r="E208">
        <f t="shared" si="7"/>
        <v>0</v>
      </c>
    </row>
    <row r="209" spans="4:5" x14ac:dyDescent="0.35">
      <c r="D209">
        <f t="shared" si="6"/>
        <v>0</v>
      </c>
      <c r="E209">
        <f t="shared" si="7"/>
        <v>0</v>
      </c>
    </row>
    <row r="210" spans="4:5" x14ac:dyDescent="0.35">
      <c r="D210">
        <f t="shared" si="6"/>
        <v>0</v>
      </c>
      <c r="E210">
        <f t="shared" si="7"/>
        <v>0</v>
      </c>
    </row>
    <row r="211" spans="4:5" x14ac:dyDescent="0.35">
      <c r="D211">
        <f t="shared" si="6"/>
        <v>0</v>
      </c>
      <c r="E211">
        <f t="shared" si="7"/>
        <v>0</v>
      </c>
    </row>
    <row r="212" spans="4:5" x14ac:dyDescent="0.35">
      <c r="D212">
        <f t="shared" si="6"/>
        <v>0</v>
      </c>
      <c r="E212">
        <f t="shared" si="7"/>
        <v>0</v>
      </c>
    </row>
    <row r="213" spans="4:5" x14ac:dyDescent="0.35">
      <c r="D213">
        <f t="shared" si="6"/>
        <v>0</v>
      </c>
      <c r="E213">
        <f t="shared" si="7"/>
        <v>0</v>
      </c>
    </row>
    <row r="214" spans="4:5" x14ac:dyDescent="0.35">
      <c r="D214">
        <f t="shared" si="6"/>
        <v>0</v>
      </c>
      <c r="E214">
        <f t="shared" si="7"/>
        <v>0</v>
      </c>
    </row>
    <row r="215" spans="4:5" x14ac:dyDescent="0.35">
      <c r="D215">
        <f t="shared" si="6"/>
        <v>0</v>
      </c>
      <c r="E215">
        <f t="shared" si="7"/>
        <v>0</v>
      </c>
    </row>
    <row r="216" spans="4:5" x14ac:dyDescent="0.35">
      <c r="D216">
        <f t="shared" si="6"/>
        <v>0</v>
      </c>
      <c r="E216">
        <f t="shared" si="7"/>
        <v>0</v>
      </c>
    </row>
    <row r="217" spans="4:5" x14ac:dyDescent="0.35">
      <c r="D217">
        <f t="shared" si="6"/>
        <v>0</v>
      </c>
      <c r="E217">
        <f t="shared" si="7"/>
        <v>0</v>
      </c>
    </row>
    <row r="218" spans="4:5" x14ac:dyDescent="0.35">
      <c r="D218">
        <f t="shared" si="6"/>
        <v>0</v>
      </c>
      <c r="E218">
        <f t="shared" si="7"/>
        <v>0</v>
      </c>
    </row>
    <row r="219" spans="4:5" x14ac:dyDescent="0.35">
      <c r="D219">
        <f t="shared" si="6"/>
        <v>0</v>
      </c>
      <c r="E219">
        <f t="shared" si="7"/>
        <v>0</v>
      </c>
    </row>
    <row r="220" spans="4:5" x14ac:dyDescent="0.35">
      <c r="D220">
        <f t="shared" si="6"/>
        <v>0</v>
      </c>
      <c r="E220">
        <f t="shared" si="7"/>
        <v>0</v>
      </c>
    </row>
    <row r="221" spans="4:5" x14ac:dyDescent="0.35">
      <c r="D221">
        <f t="shared" si="6"/>
        <v>0</v>
      </c>
      <c r="E221">
        <f t="shared" si="7"/>
        <v>0</v>
      </c>
    </row>
    <row r="222" spans="4:5" x14ac:dyDescent="0.35">
      <c r="D222">
        <f t="shared" si="6"/>
        <v>0</v>
      </c>
      <c r="E222">
        <f t="shared" si="7"/>
        <v>0</v>
      </c>
    </row>
    <row r="223" spans="4:5" x14ac:dyDescent="0.35">
      <c r="D223">
        <f t="shared" si="6"/>
        <v>0</v>
      </c>
      <c r="E223">
        <f t="shared" si="7"/>
        <v>0</v>
      </c>
    </row>
    <row r="224" spans="4:5" x14ac:dyDescent="0.35">
      <c r="D224">
        <f t="shared" si="6"/>
        <v>0</v>
      </c>
      <c r="E224">
        <f t="shared" si="7"/>
        <v>0</v>
      </c>
    </row>
    <row r="225" spans="4:5" x14ac:dyDescent="0.35">
      <c r="D225">
        <f t="shared" si="6"/>
        <v>0</v>
      </c>
      <c r="E225">
        <f t="shared" si="7"/>
        <v>0</v>
      </c>
    </row>
    <row r="226" spans="4:5" x14ac:dyDescent="0.35">
      <c r="D226">
        <f t="shared" si="6"/>
        <v>0</v>
      </c>
      <c r="E226">
        <f t="shared" si="7"/>
        <v>0</v>
      </c>
    </row>
    <row r="227" spans="4:5" x14ac:dyDescent="0.35">
      <c r="D227">
        <f t="shared" si="6"/>
        <v>0</v>
      </c>
      <c r="E227">
        <f t="shared" si="7"/>
        <v>0</v>
      </c>
    </row>
    <row r="228" spans="4:5" x14ac:dyDescent="0.35">
      <c r="D228">
        <f t="shared" si="6"/>
        <v>0</v>
      </c>
      <c r="E228">
        <f t="shared" si="7"/>
        <v>0</v>
      </c>
    </row>
    <row r="229" spans="4:5" x14ac:dyDescent="0.35">
      <c r="D229">
        <f t="shared" si="6"/>
        <v>0</v>
      </c>
      <c r="E229">
        <f t="shared" si="7"/>
        <v>0</v>
      </c>
    </row>
    <row r="230" spans="4:5" x14ac:dyDescent="0.35">
      <c r="D230">
        <f t="shared" si="6"/>
        <v>0</v>
      </c>
      <c r="E230">
        <f t="shared" si="7"/>
        <v>0</v>
      </c>
    </row>
    <row r="231" spans="4:5" x14ac:dyDescent="0.35">
      <c r="D231">
        <f t="shared" si="6"/>
        <v>0</v>
      </c>
      <c r="E231">
        <f t="shared" si="7"/>
        <v>0</v>
      </c>
    </row>
    <row r="232" spans="4:5" x14ac:dyDescent="0.35">
      <c r="D232">
        <f t="shared" si="6"/>
        <v>0</v>
      </c>
      <c r="E232">
        <f t="shared" si="7"/>
        <v>0</v>
      </c>
    </row>
    <row r="233" spans="4:5" x14ac:dyDescent="0.35">
      <c r="D233">
        <f t="shared" si="6"/>
        <v>0</v>
      </c>
      <c r="E233">
        <f t="shared" si="7"/>
        <v>0</v>
      </c>
    </row>
    <row r="234" spans="4:5" x14ac:dyDescent="0.35">
      <c r="D234">
        <f t="shared" si="6"/>
        <v>0</v>
      </c>
      <c r="E234">
        <f t="shared" si="7"/>
        <v>0</v>
      </c>
    </row>
    <row r="235" spans="4:5" x14ac:dyDescent="0.35">
      <c r="D235">
        <f t="shared" si="6"/>
        <v>0</v>
      </c>
      <c r="E235">
        <f t="shared" si="7"/>
        <v>0</v>
      </c>
    </row>
    <row r="236" spans="4:5" x14ac:dyDescent="0.35">
      <c r="D236">
        <f t="shared" si="6"/>
        <v>0</v>
      </c>
      <c r="E236">
        <f t="shared" si="7"/>
        <v>0</v>
      </c>
    </row>
    <row r="237" spans="4:5" x14ac:dyDescent="0.35">
      <c r="D237">
        <f t="shared" si="6"/>
        <v>0</v>
      </c>
      <c r="E237">
        <f t="shared" si="7"/>
        <v>0</v>
      </c>
    </row>
    <row r="238" spans="4:5" x14ac:dyDescent="0.35">
      <c r="D238">
        <f t="shared" si="6"/>
        <v>0</v>
      </c>
      <c r="E238">
        <f t="shared" si="7"/>
        <v>0</v>
      </c>
    </row>
    <row r="239" spans="4:5" x14ac:dyDescent="0.35">
      <c r="D239">
        <f t="shared" si="6"/>
        <v>0</v>
      </c>
      <c r="E239">
        <f t="shared" si="7"/>
        <v>0</v>
      </c>
    </row>
    <row r="240" spans="4:5" x14ac:dyDescent="0.35">
      <c r="D240">
        <f t="shared" si="6"/>
        <v>0</v>
      </c>
      <c r="E240">
        <f t="shared" si="7"/>
        <v>0</v>
      </c>
    </row>
    <row r="241" spans="4:5" x14ac:dyDescent="0.35">
      <c r="D241">
        <f t="shared" si="6"/>
        <v>0</v>
      </c>
      <c r="E241">
        <f t="shared" si="7"/>
        <v>0</v>
      </c>
    </row>
    <row r="242" spans="4:5" x14ac:dyDescent="0.35">
      <c r="D242">
        <f t="shared" si="6"/>
        <v>0</v>
      </c>
      <c r="E242">
        <f t="shared" si="7"/>
        <v>0</v>
      </c>
    </row>
    <row r="243" spans="4:5" x14ac:dyDescent="0.35">
      <c r="D243">
        <f t="shared" si="6"/>
        <v>0</v>
      </c>
      <c r="E243">
        <f t="shared" si="7"/>
        <v>0</v>
      </c>
    </row>
    <row r="244" spans="4:5" x14ac:dyDescent="0.35">
      <c r="D244">
        <f t="shared" si="6"/>
        <v>0</v>
      </c>
      <c r="E244">
        <f t="shared" si="7"/>
        <v>0</v>
      </c>
    </row>
    <row r="245" spans="4:5" x14ac:dyDescent="0.35">
      <c r="D245">
        <f t="shared" si="6"/>
        <v>0</v>
      </c>
      <c r="E245">
        <f t="shared" si="7"/>
        <v>0</v>
      </c>
    </row>
    <row r="246" spans="4:5" x14ac:dyDescent="0.35">
      <c r="D246">
        <f t="shared" si="6"/>
        <v>0</v>
      </c>
      <c r="E246">
        <f t="shared" si="7"/>
        <v>0</v>
      </c>
    </row>
    <row r="247" spans="4:5" x14ac:dyDescent="0.35">
      <c r="D247">
        <f t="shared" si="6"/>
        <v>0</v>
      </c>
      <c r="E247">
        <f t="shared" si="7"/>
        <v>0</v>
      </c>
    </row>
    <row r="248" spans="4:5" x14ac:dyDescent="0.35">
      <c r="D248">
        <f t="shared" si="6"/>
        <v>0</v>
      </c>
      <c r="E248">
        <f t="shared" si="7"/>
        <v>0</v>
      </c>
    </row>
    <row r="249" spans="4:5" x14ac:dyDescent="0.35">
      <c r="D249">
        <f t="shared" si="6"/>
        <v>0</v>
      </c>
      <c r="E249">
        <f t="shared" si="7"/>
        <v>0</v>
      </c>
    </row>
    <row r="250" spans="4:5" x14ac:dyDescent="0.35">
      <c r="D250">
        <f t="shared" si="6"/>
        <v>0</v>
      </c>
      <c r="E250">
        <f t="shared" si="7"/>
        <v>0</v>
      </c>
    </row>
    <row r="251" spans="4:5" x14ac:dyDescent="0.35">
      <c r="D251">
        <f t="shared" si="6"/>
        <v>0</v>
      </c>
      <c r="E251">
        <f t="shared" si="7"/>
        <v>0</v>
      </c>
    </row>
    <row r="252" spans="4:5" x14ac:dyDescent="0.35">
      <c r="D252">
        <f t="shared" si="6"/>
        <v>0</v>
      </c>
      <c r="E252">
        <f t="shared" si="7"/>
        <v>0</v>
      </c>
    </row>
    <row r="253" spans="4:5" x14ac:dyDescent="0.35">
      <c r="D253">
        <f t="shared" si="6"/>
        <v>0</v>
      </c>
      <c r="E253">
        <f t="shared" si="7"/>
        <v>0</v>
      </c>
    </row>
    <row r="254" spans="4:5" x14ac:dyDescent="0.35">
      <c r="D254">
        <f t="shared" si="6"/>
        <v>0</v>
      </c>
      <c r="E254">
        <f t="shared" si="7"/>
        <v>0</v>
      </c>
    </row>
    <row r="255" spans="4:5" x14ac:dyDescent="0.35">
      <c r="D255">
        <f t="shared" si="6"/>
        <v>0</v>
      </c>
      <c r="E255">
        <f t="shared" si="7"/>
        <v>0</v>
      </c>
    </row>
    <row r="256" spans="4:5" x14ac:dyDescent="0.35">
      <c r="D256">
        <f t="shared" si="6"/>
        <v>0</v>
      </c>
      <c r="E256">
        <f t="shared" si="7"/>
        <v>0</v>
      </c>
    </row>
    <row r="257" spans="4:5" x14ac:dyDescent="0.35">
      <c r="D257">
        <f t="shared" si="6"/>
        <v>0</v>
      </c>
      <c r="E257">
        <f t="shared" si="7"/>
        <v>0</v>
      </c>
    </row>
    <row r="258" spans="4:5" x14ac:dyDescent="0.35">
      <c r="D258">
        <f t="shared" si="6"/>
        <v>0</v>
      </c>
      <c r="E258">
        <f t="shared" si="7"/>
        <v>0</v>
      </c>
    </row>
    <row r="259" spans="4:5" x14ac:dyDescent="0.35">
      <c r="D259">
        <f t="shared" si="6"/>
        <v>0</v>
      </c>
      <c r="E259">
        <f t="shared" si="7"/>
        <v>0</v>
      </c>
    </row>
    <row r="260" spans="4:5" x14ac:dyDescent="0.35">
      <c r="D260">
        <f t="shared" si="6"/>
        <v>0</v>
      </c>
      <c r="E260">
        <f t="shared" si="7"/>
        <v>0</v>
      </c>
    </row>
    <row r="261" spans="4:5" x14ac:dyDescent="0.35">
      <c r="D261">
        <f t="shared" ref="D261:D324" si="8">A261</f>
        <v>0</v>
      </c>
      <c r="E261">
        <f t="shared" ref="E261:E324" si="9">B261</f>
        <v>0</v>
      </c>
    </row>
    <row r="262" spans="4:5" x14ac:dyDescent="0.35">
      <c r="D262">
        <f t="shared" si="8"/>
        <v>0</v>
      </c>
      <c r="E262">
        <f t="shared" si="9"/>
        <v>0</v>
      </c>
    </row>
    <row r="263" spans="4:5" x14ac:dyDescent="0.35">
      <c r="D263">
        <f t="shared" si="8"/>
        <v>0</v>
      </c>
      <c r="E263">
        <f t="shared" si="9"/>
        <v>0</v>
      </c>
    </row>
    <row r="264" spans="4:5" x14ac:dyDescent="0.35">
      <c r="D264">
        <f t="shared" si="8"/>
        <v>0</v>
      </c>
      <c r="E264">
        <f t="shared" si="9"/>
        <v>0</v>
      </c>
    </row>
    <row r="265" spans="4:5" x14ac:dyDescent="0.35">
      <c r="D265">
        <f t="shared" si="8"/>
        <v>0</v>
      </c>
      <c r="E265">
        <f t="shared" si="9"/>
        <v>0</v>
      </c>
    </row>
    <row r="266" spans="4:5" x14ac:dyDescent="0.35">
      <c r="D266">
        <f t="shared" si="8"/>
        <v>0</v>
      </c>
      <c r="E266">
        <f t="shared" si="9"/>
        <v>0</v>
      </c>
    </row>
    <row r="267" spans="4:5" x14ac:dyDescent="0.35">
      <c r="D267">
        <f t="shared" si="8"/>
        <v>0</v>
      </c>
      <c r="E267">
        <f t="shared" si="9"/>
        <v>0</v>
      </c>
    </row>
    <row r="268" spans="4:5" x14ac:dyDescent="0.35">
      <c r="D268">
        <f t="shared" si="8"/>
        <v>0</v>
      </c>
      <c r="E268">
        <f t="shared" si="9"/>
        <v>0</v>
      </c>
    </row>
    <row r="269" spans="4:5" x14ac:dyDescent="0.35">
      <c r="D269">
        <f t="shared" si="8"/>
        <v>0</v>
      </c>
      <c r="E269">
        <f t="shared" si="9"/>
        <v>0</v>
      </c>
    </row>
    <row r="270" spans="4:5" x14ac:dyDescent="0.35">
      <c r="D270">
        <f t="shared" si="8"/>
        <v>0</v>
      </c>
      <c r="E270">
        <f t="shared" si="9"/>
        <v>0</v>
      </c>
    </row>
    <row r="271" spans="4:5" x14ac:dyDescent="0.35">
      <c r="D271">
        <f t="shared" si="8"/>
        <v>0</v>
      </c>
      <c r="E271">
        <f t="shared" si="9"/>
        <v>0</v>
      </c>
    </row>
    <row r="272" spans="4:5" x14ac:dyDescent="0.35">
      <c r="D272">
        <f t="shared" si="8"/>
        <v>0</v>
      </c>
      <c r="E272">
        <f t="shared" si="9"/>
        <v>0</v>
      </c>
    </row>
    <row r="273" spans="4:5" x14ac:dyDescent="0.35">
      <c r="D273">
        <f t="shared" si="8"/>
        <v>0</v>
      </c>
      <c r="E273">
        <f t="shared" si="9"/>
        <v>0</v>
      </c>
    </row>
    <row r="274" spans="4:5" x14ac:dyDescent="0.35">
      <c r="D274">
        <f t="shared" si="8"/>
        <v>0</v>
      </c>
      <c r="E274">
        <f t="shared" si="9"/>
        <v>0</v>
      </c>
    </row>
    <row r="275" spans="4:5" x14ac:dyDescent="0.35">
      <c r="D275">
        <f t="shared" si="8"/>
        <v>0</v>
      </c>
      <c r="E275">
        <f t="shared" si="9"/>
        <v>0</v>
      </c>
    </row>
    <row r="276" spans="4:5" x14ac:dyDescent="0.35">
      <c r="D276">
        <f t="shared" si="8"/>
        <v>0</v>
      </c>
      <c r="E276">
        <f t="shared" si="9"/>
        <v>0</v>
      </c>
    </row>
    <row r="277" spans="4:5" x14ac:dyDescent="0.35">
      <c r="D277">
        <f t="shared" si="8"/>
        <v>0</v>
      </c>
      <c r="E277">
        <f t="shared" si="9"/>
        <v>0</v>
      </c>
    </row>
    <row r="278" spans="4:5" x14ac:dyDescent="0.35">
      <c r="D278">
        <f t="shared" si="8"/>
        <v>0</v>
      </c>
      <c r="E278">
        <f t="shared" si="9"/>
        <v>0</v>
      </c>
    </row>
    <row r="279" spans="4:5" x14ac:dyDescent="0.35">
      <c r="D279">
        <f t="shared" si="8"/>
        <v>0</v>
      </c>
      <c r="E279">
        <f t="shared" si="9"/>
        <v>0</v>
      </c>
    </row>
    <row r="280" spans="4:5" x14ac:dyDescent="0.35">
      <c r="D280">
        <f t="shared" si="8"/>
        <v>0</v>
      </c>
      <c r="E280">
        <f t="shared" si="9"/>
        <v>0</v>
      </c>
    </row>
    <row r="281" spans="4:5" x14ac:dyDescent="0.35">
      <c r="D281">
        <f t="shared" si="8"/>
        <v>0</v>
      </c>
      <c r="E281">
        <f t="shared" si="9"/>
        <v>0</v>
      </c>
    </row>
    <row r="282" spans="4:5" x14ac:dyDescent="0.35">
      <c r="D282">
        <f t="shared" si="8"/>
        <v>0</v>
      </c>
      <c r="E282">
        <f t="shared" si="9"/>
        <v>0</v>
      </c>
    </row>
    <row r="283" spans="4:5" x14ac:dyDescent="0.35">
      <c r="D283">
        <f t="shared" si="8"/>
        <v>0</v>
      </c>
      <c r="E283">
        <f t="shared" si="9"/>
        <v>0</v>
      </c>
    </row>
    <row r="284" spans="4:5" x14ac:dyDescent="0.35">
      <c r="D284">
        <f t="shared" si="8"/>
        <v>0</v>
      </c>
      <c r="E284">
        <f t="shared" si="9"/>
        <v>0</v>
      </c>
    </row>
    <row r="285" spans="4:5" x14ac:dyDescent="0.35">
      <c r="D285">
        <f t="shared" si="8"/>
        <v>0</v>
      </c>
      <c r="E285">
        <f t="shared" si="9"/>
        <v>0</v>
      </c>
    </row>
    <row r="286" spans="4:5" x14ac:dyDescent="0.35">
      <c r="D286">
        <f t="shared" si="8"/>
        <v>0</v>
      </c>
      <c r="E286">
        <f t="shared" si="9"/>
        <v>0</v>
      </c>
    </row>
    <row r="287" spans="4:5" x14ac:dyDescent="0.35">
      <c r="D287">
        <f t="shared" si="8"/>
        <v>0</v>
      </c>
      <c r="E287">
        <f t="shared" si="9"/>
        <v>0</v>
      </c>
    </row>
    <row r="288" spans="4:5" x14ac:dyDescent="0.35">
      <c r="D288">
        <f t="shared" si="8"/>
        <v>0</v>
      </c>
      <c r="E288">
        <f t="shared" si="9"/>
        <v>0</v>
      </c>
    </row>
    <row r="289" spans="4:5" x14ac:dyDescent="0.35">
      <c r="D289">
        <f t="shared" si="8"/>
        <v>0</v>
      </c>
      <c r="E289">
        <f t="shared" si="9"/>
        <v>0</v>
      </c>
    </row>
    <row r="290" spans="4:5" x14ac:dyDescent="0.35">
      <c r="D290">
        <f t="shared" si="8"/>
        <v>0</v>
      </c>
      <c r="E290">
        <f t="shared" si="9"/>
        <v>0</v>
      </c>
    </row>
    <row r="291" spans="4:5" x14ac:dyDescent="0.35">
      <c r="D291">
        <f t="shared" si="8"/>
        <v>0</v>
      </c>
      <c r="E291">
        <f t="shared" si="9"/>
        <v>0</v>
      </c>
    </row>
    <row r="292" spans="4:5" x14ac:dyDescent="0.35">
      <c r="D292">
        <f t="shared" si="8"/>
        <v>0</v>
      </c>
      <c r="E292">
        <f t="shared" si="9"/>
        <v>0</v>
      </c>
    </row>
    <row r="293" spans="4:5" x14ac:dyDescent="0.35">
      <c r="D293">
        <f t="shared" si="8"/>
        <v>0</v>
      </c>
      <c r="E293">
        <f t="shared" si="9"/>
        <v>0</v>
      </c>
    </row>
    <row r="294" spans="4:5" x14ac:dyDescent="0.35">
      <c r="D294">
        <f t="shared" si="8"/>
        <v>0</v>
      </c>
      <c r="E294">
        <f t="shared" si="9"/>
        <v>0</v>
      </c>
    </row>
    <row r="295" spans="4:5" x14ac:dyDescent="0.35">
      <c r="D295">
        <f t="shared" si="8"/>
        <v>0</v>
      </c>
      <c r="E295">
        <f t="shared" si="9"/>
        <v>0</v>
      </c>
    </row>
    <row r="296" spans="4:5" x14ac:dyDescent="0.35">
      <c r="D296">
        <f t="shared" si="8"/>
        <v>0</v>
      </c>
      <c r="E296">
        <f t="shared" si="9"/>
        <v>0</v>
      </c>
    </row>
    <row r="297" spans="4:5" x14ac:dyDescent="0.35">
      <c r="D297">
        <f t="shared" si="8"/>
        <v>0</v>
      </c>
      <c r="E297">
        <f t="shared" si="9"/>
        <v>0</v>
      </c>
    </row>
    <row r="298" spans="4:5" x14ac:dyDescent="0.35">
      <c r="D298">
        <f t="shared" si="8"/>
        <v>0</v>
      </c>
      <c r="E298">
        <f t="shared" si="9"/>
        <v>0</v>
      </c>
    </row>
    <row r="299" spans="4:5" x14ac:dyDescent="0.35">
      <c r="D299">
        <f t="shared" si="8"/>
        <v>0</v>
      </c>
      <c r="E299">
        <f t="shared" si="9"/>
        <v>0</v>
      </c>
    </row>
    <row r="300" spans="4:5" x14ac:dyDescent="0.35">
      <c r="D300">
        <f t="shared" si="8"/>
        <v>0</v>
      </c>
      <c r="E300">
        <f t="shared" si="9"/>
        <v>0</v>
      </c>
    </row>
    <row r="301" spans="4:5" x14ac:dyDescent="0.35">
      <c r="D301">
        <f t="shared" si="8"/>
        <v>0</v>
      </c>
      <c r="E301">
        <f t="shared" si="9"/>
        <v>0</v>
      </c>
    </row>
    <row r="302" spans="4:5" x14ac:dyDescent="0.35">
      <c r="D302">
        <f t="shared" si="8"/>
        <v>0</v>
      </c>
      <c r="E302">
        <f t="shared" si="9"/>
        <v>0</v>
      </c>
    </row>
    <row r="303" spans="4:5" x14ac:dyDescent="0.35">
      <c r="D303">
        <f t="shared" si="8"/>
        <v>0</v>
      </c>
      <c r="E303">
        <f t="shared" si="9"/>
        <v>0</v>
      </c>
    </row>
    <row r="304" spans="4:5" x14ac:dyDescent="0.35">
      <c r="D304">
        <f t="shared" si="8"/>
        <v>0</v>
      </c>
      <c r="E304">
        <f t="shared" si="9"/>
        <v>0</v>
      </c>
    </row>
    <row r="305" spans="4:5" x14ac:dyDescent="0.35">
      <c r="D305">
        <f t="shared" si="8"/>
        <v>0</v>
      </c>
      <c r="E305">
        <f t="shared" si="9"/>
        <v>0</v>
      </c>
    </row>
    <row r="306" spans="4:5" x14ac:dyDescent="0.35">
      <c r="D306">
        <f t="shared" si="8"/>
        <v>0</v>
      </c>
      <c r="E306">
        <f t="shared" si="9"/>
        <v>0</v>
      </c>
    </row>
    <row r="307" spans="4:5" x14ac:dyDescent="0.35">
      <c r="D307">
        <f t="shared" si="8"/>
        <v>0</v>
      </c>
      <c r="E307">
        <f t="shared" si="9"/>
        <v>0</v>
      </c>
    </row>
    <row r="308" spans="4:5" x14ac:dyDescent="0.35">
      <c r="D308">
        <f t="shared" si="8"/>
        <v>0</v>
      </c>
      <c r="E308">
        <f t="shared" si="9"/>
        <v>0</v>
      </c>
    </row>
    <row r="309" spans="4:5" x14ac:dyDescent="0.35">
      <c r="D309">
        <f t="shared" si="8"/>
        <v>0</v>
      </c>
      <c r="E309">
        <f t="shared" si="9"/>
        <v>0</v>
      </c>
    </row>
    <row r="310" spans="4:5" x14ac:dyDescent="0.35">
      <c r="D310">
        <f t="shared" si="8"/>
        <v>0</v>
      </c>
      <c r="E310">
        <f t="shared" si="9"/>
        <v>0</v>
      </c>
    </row>
    <row r="311" spans="4:5" x14ac:dyDescent="0.35">
      <c r="D311">
        <f t="shared" si="8"/>
        <v>0</v>
      </c>
      <c r="E311">
        <f t="shared" si="9"/>
        <v>0</v>
      </c>
    </row>
    <row r="312" spans="4:5" x14ac:dyDescent="0.35">
      <c r="D312">
        <f t="shared" si="8"/>
        <v>0</v>
      </c>
      <c r="E312">
        <f t="shared" si="9"/>
        <v>0</v>
      </c>
    </row>
    <row r="313" spans="4:5" x14ac:dyDescent="0.35">
      <c r="D313">
        <f t="shared" si="8"/>
        <v>0</v>
      </c>
      <c r="E313">
        <f t="shared" si="9"/>
        <v>0</v>
      </c>
    </row>
    <row r="314" spans="4:5" x14ac:dyDescent="0.35">
      <c r="D314">
        <f t="shared" si="8"/>
        <v>0</v>
      </c>
      <c r="E314">
        <f t="shared" si="9"/>
        <v>0</v>
      </c>
    </row>
    <row r="315" spans="4:5" x14ac:dyDescent="0.35">
      <c r="D315">
        <f t="shared" si="8"/>
        <v>0</v>
      </c>
      <c r="E315">
        <f t="shared" si="9"/>
        <v>0</v>
      </c>
    </row>
    <row r="316" spans="4:5" x14ac:dyDescent="0.35">
      <c r="D316">
        <f t="shared" si="8"/>
        <v>0</v>
      </c>
      <c r="E316">
        <f t="shared" si="9"/>
        <v>0</v>
      </c>
    </row>
    <row r="317" spans="4:5" x14ac:dyDescent="0.35">
      <c r="D317">
        <f t="shared" si="8"/>
        <v>0</v>
      </c>
      <c r="E317">
        <f t="shared" si="9"/>
        <v>0</v>
      </c>
    </row>
    <row r="318" spans="4:5" x14ac:dyDescent="0.35">
      <c r="D318">
        <f t="shared" si="8"/>
        <v>0</v>
      </c>
      <c r="E318">
        <f t="shared" si="9"/>
        <v>0</v>
      </c>
    </row>
    <row r="319" spans="4:5" x14ac:dyDescent="0.35">
      <c r="D319">
        <f t="shared" si="8"/>
        <v>0</v>
      </c>
      <c r="E319">
        <f t="shared" si="9"/>
        <v>0</v>
      </c>
    </row>
    <row r="320" spans="4:5" x14ac:dyDescent="0.35">
      <c r="D320">
        <f t="shared" si="8"/>
        <v>0</v>
      </c>
      <c r="E320">
        <f t="shared" si="9"/>
        <v>0</v>
      </c>
    </row>
    <row r="321" spans="4:5" x14ac:dyDescent="0.35">
      <c r="D321">
        <f t="shared" si="8"/>
        <v>0</v>
      </c>
      <c r="E321">
        <f t="shared" si="9"/>
        <v>0</v>
      </c>
    </row>
    <row r="322" spans="4:5" x14ac:dyDescent="0.35">
      <c r="D322">
        <f t="shared" si="8"/>
        <v>0</v>
      </c>
      <c r="E322">
        <f t="shared" si="9"/>
        <v>0</v>
      </c>
    </row>
    <row r="323" spans="4:5" x14ac:dyDescent="0.35">
      <c r="D323">
        <f t="shared" si="8"/>
        <v>0</v>
      </c>
      <c r="E323">
        <f t="shared" si="9"/>
        <v>0</v>
      </c>
    </row>
    <row r="324" spans="4:5" x14ac:dyDescent="0.35">
      <c r="D324">
        <f t="shared" si="8"/>
        <v>0</v>
      </c>
      <c r="E324">
        <f t="shared" si="9"/>
        <v>0</v>
      </c>
    </row>
    <row r="325" spans="4:5" x14ac:dyDescent="0.35">
      <c r="D325">
        <f t="shared" ref="D325:D388" si="10">A325</f>
        <v>0</v>
      </c>
      <c r="E325">
        <f t="shared" ref="E325:E388" si="11">B325</f>
        <v>0</v>
      </c>
    </row>
    <row r="326" spans="4:5" x14ac:dyDescent="0.35">
      <c r="D326">
        <f t="shared" si="10"/>
        <v>0</v>
      </c>
      <c r="E326">
        <f t="shared" si="11"/>
        <v>0</v>
      </c>
    </row>
    <row r="327" spans="4:5" x14ac:dyDescent="0.35">
      <c r="D327">
        <f t="shared" si="10"/>
        <v>0</v>
      </c>
      <c r="E327">
        <f t="shared" si="11"/>
        <v>0</v>
      </c>
    </row>
    <row r="328" spans="4:5" x14ac:dyDescent="0.35">
      <c r="D328">
        <f t="shared" si="10"/>
        <v>0</v>
      </c>
      <c r="E328">
        <f t="shared" si="11"/>
        <v>0</v>
      </c>
    </row>
    <row r="329" spans="4:5" x14ac:dyDescent="0.35">
      <c r="D329">
        <f t="shared" si="10"/>
        <v>0</v>
      </c>
      <c r="E329">
        <f t="shared" si="11"/>
        <v>0</v>
      </c>
    </row>
    <row r="330" spans="4:5" x14ac:dyDescent="0.35">
      <c r="D330">
        <f t="shared" si="10"/>
        <v>0</v>
      </c>
      <c r="E330">
        <f t="shared" si="11"/>
        <v>0</v>
      </c>
    </row>
    <row r="331" spans="4:5" x14ac:dyDescent="0.35">
      <c r="D331">
        <f t="shared" si="10"/>
        <v>0</v>
      </c>
      <c r="E331">
        <f t="shared" si="11"/>
        <v>0</v>
      </c>
    </row>
    <row r="332" spans="4:5" x14ac:dyDescent="0.35">
      <c r="D332">
        <f t="shared" si="10"/>
        <v>0</v>
      </c>
      <c r="E332">
        <f t="shared" si="11"/>
        <v>0</v>
      </c>
    </row>
    <row r="333" spans="4:5" x14ac:dyDescent="0.35">
      <c r="D333">
        <f t="shared" si="10"/>
        <v>0</v>
      </c>
      <c r="E333">
        <f t="shared" si="11"/>
        <v>0</v>
      </c>
    </row>
    <row r="334" spans="4:5" x14ac:dyDescent="0.35">
      <c r="D334">
        <f t="shared" si="10"/>
        <v>0</v>
      </c>
      <c r="E334">
        <f t="shared" si="11"/>
        <v>0</v>
      </c>
    </row>
    <row r="335" spans="4:5" x14ac:dyDescent="0.35">
      <c r="D335">
        <f t="shared" si="10"/>
        <v>0</v>
      </c>
      <c r="E335">
        <f t="shared" si="11"/>
        <v>0</v>
      </c>
    </row>
    <row r="336" spans="4:5" x14ac:dyDescent="0.35">
      <c r="D336">
        <f t="shared" si="10"/>
        <v>0</v>
      </c>
      <c r="E336">
        <f t="shared" si="11"/>
        <v>0</v>
      </c>
    </row>
    <row r="337" spans="4:5" x14ac:dyDescent="0.35">
      <c r="D337">
        <f t="shared" si="10"/>
        <v>0</v>
      </c>
      <c r="E337">
        <f t="shared" si="11"/>
        <v>0</v>
      </c>
    </row>
    <row r="338" spans="4:5" x14ac:dyDescent="0.35">
      <c r="D338">
        <f t="shared" si="10"/>
        <v>0</v>
      </c>
      <c r="E338">
        <f t="shared" si="11"/>
        <v>0</v>
      </c>
    </row>
    <row r="339" spans="4:5" x14ac:dyDescent="0.35">
      <c r="D339">
        <f t="shared" si="10"/>
        <v>0</v>
      </c>
      <c r="E339">
        <f t="shared" si="11"/>
        <v>0</v>
      </c>
    </row>
    <row r="340" spans="4:5" x14ac:dyDescent="0.35">
      <c r="D340">
        <f t="shared" si="10"/>
        <v>0</v>
      </c>
      <c r="E340">
        <f t="shared" si="11"/>
        <v>0</v>
      </c>
    </row>
    <row r="341" spans="4:5" x14ac:dyDescent="0.35">
      <c r="D341">
        <f t="shared" si="10"/>
        <v>0</v>
      </c>
      <c r="E341">
        <f t="shared" si="11"/>
        <v>0</v>
      </c>
    </row>
    <row r="342" spans="4:5" x14ac:dyDescent="0.35">
      <c r="D342">
        <f t="shared" si="10"/>
        <v>0</v>
      </c>
      <c r="E342">
        <f t="shared" si="11"/>
        <v>0</v>
      </c>
    </row>
    <row r="343" spans="4:5" x14ac:dyDescent="0.35">
      <c r="D343">
        <f t="shared" si="10"/>
        <v>0</v>
      </c>
      <c r="E343">
        <f t="shared" si="11"/>
        <v>0</v>
      </c>
    </row>
    <row r="344" spans="4:5" x14ac:dyDescent="0.35">
      <c r="D344">
        <f t="shared" si="10"/>
        <v>0</v>
      </c>
      <c r="E344">
        <f t="shared" si="11"/>
        <v>0</v>
      </c>
    </row>
    <row r="345" spans="4:5" x14ac:dyDescent="0.35">
      <c r="D345">
        <f t="shared" si="10"/>
        <v>0</v>
      </c>
      <c r="E345">
        <f t="shared" si="11"/>
        <v>0</v>
      </c>
    </row>
    <row r="346" spans="4:5" x14ac:dyDescent="0.35">
      <c r="D346">
        <f t="shared" si="10"/>
        <v>0</v>
      </c>
      <c r="E346">
        <f t="shared" si="11"/>
        <v>0</v>
      </c>
    </row>
    <row r="347" spans="4:5" x14ac:dyDescent="0.35">
      <c r="D347">
        <f t="shared" si="10"/>
        <v>0</v>
      </c>
      <c r="E347">
        <f t="shared" si="11"/>
        <v>0</v>
      </c>
    </row>
    <row r="348" spans="4:5" x14ac:dyDescent="0.35">
      <c r="D348">
        <f t="shared" si="10"/>
        <v>0</v>
      </c>
      <c r="E348">
        <f t="shared" si="11"/>
        <v>0</v>
      </c>
    </row>
    <row r="349" spans="4:5" x14ac:dyDescent="0.35">
      <c r="D349">
        <f t="shared" si="10"/>
        <v>0</v>
      </c>
      <c r="E349">
        <f t="shared" si="11"/>
        <v>0</v>
      </c>
    </row>
    <row r="350" spans="4:5" x14ac:dyDescent="0.35">
      <c r="D350">
        <f t="shared" si="10"/>
        <v>0</v>
      </c>
      <c r="E350">
        <f t="shared" si="11"/>
        <v>0</v>
      </c>
    </row>
    <row r="351" spans="4:5" x14ac:dyDescent="0.35">
      <c r="D351">
        <f t="shared" si="10"/>
        <v>0</v>
      </c>
      <c r="E351">
        <f t="shared" si="11"/>
        <v>0</v>
      </c>
    </row>
    <row r="352" spans="4:5" x14ac:dyDescent="0.35">
      <c r="D352">
        <f t="shared" si="10"/>
        <v>0</v>
      </c>
      <c r="E352">
        <f t="shared" si="11"/>
        <v>0</v>
      </c>
    </row>
    <row r="353" spans="4:5" x14ac:dyDescent="0.35">
      <c r="D353">
        <f t="shared" si="10"/>
        <v>0</v>
      </c>
      <c r="E353">
        <f t="shared" si="11"/>
        <v>0</v>
      </c>
    </row>
    <row r="354" spans="4:5" x14ac:dyDescent="0.35">
      <c r="D354">
        <f t="shared" si="10"/>
        <v>0</v>
      </c>
      <c r="E354">
        <f t="shared" si="11"/>
        <v>0</v>
      </c>
    </row>
    <row r="355" spans="4:5" x14ac:dyDescent="0.35">
      <c r="D355">
        <f t="shared" si="10"/>
        <v>0</v>
      </c>
      <c r="E355">
        <f t="shared" si="11"/>
        <v>0</v>
      </c>
    </row>
    <row r="356" spans="4:5" x14ac:dyDescent="0.35">
      <c r="D356">
        <f t="shared" si="10"/>
        <v>0</v>
      </c>
      <c r="E356">
        <f t="shared" si="11"/>
        <v>0</v>
      </c>
    </row>
    <row r="357" spans="4:5" x14ac:dyDescent="0.35">
      <c r="D357">
        <f t="shared" si="10"/>
        <v>0</v>
      </c>
      <c r="E357">
        <f t="shared" si="11"/>
        <v>0</v>
      </c>
    </row>
    <row r="358" spans="4:5" x14ac:dyDescent="0.35">
      <c r="D358">
        <f t="shared" si="10"/>
        <v>0</v>
      </c>
      <c r="E358">
        <f t="shared" si="11"/>
        <v>0</v>
      </c>
    </row>
    <row r="359" spans="4:5" x14ac:dyDescent="0.35">
      <c r="D359">
        <f t="shared" si="10"/>
        <v>0</v>
      </c>
      <c r="E359">
        <f t="shared" si="11"/>
        <v>0</v>
      </c>
    </row>
    <row r="360" spans="4:5" x14ac:dyDescent="0.35">
      <c r="D360">
        <f t="shared" si="10"/>
        <v>0</v>
      </c>
      <c r="E360">
        <f t="shared" si="11"/>
        <v>0</v>
      </c>
    </row>
    <row r="361" spans="4:5" x14ac:dyDescent="0.35">
      <c r="D361">
        <f t="shared" si="10"/>
        <v>0</v>
      </c>
      <c r="E361">
        <f t="shared" si="11"/>
        <v>0</v>
      </c>
    </row>
    <row r="362" spans="4:5" x14ac:dyDescent="0.35">
      <c r="D362">
        <f t="shared" si="10"/>
        <v>0</v>
      </c>
      <c r="E362">
        <f t="shared" si="11"/>
        <v>0</v>
      </c>
    </row>
    <row r="363" spans="4:5" x14ac:dyDescent="0.35">
      <c r="D363">
        <f t="shared" si="10"/>
        <v>0</v>
      </c>
      <c r="E363">
        <f t="shared" si="11"/>
        <v>0</v>
      </c>
    </row>
    <row r="364" spans="4:5" x14ac:dyDescent="0.35">
      <c r="D364">
        <f t="shared" si="10"/>
        <v>0</v>
      </c>
      <c r="E364">
        <f t="shared" si="11"/>
        <v>0</v>
      </c>
    </row>
    <row r="365" spans="4:5" x14ac:dyDescent="0.35">
      <c r="D365">
        <f t="shared" si="10"/>
        <v>0</v>
      </c>
      <c r="E365">
        <f t="shared" si="11"/>
        <v>0</v>
      </c>
    </row>
    <row r="366" spans="4:5" x14ac:dyDescent="0.35">
      <c r="D366">
        <f t="shared" si="10"/>
        <v>0</v>
      </c>
      <c r="E366">
        <f t="shared" si="11"/>
        <v>0</v>
      </c>
    </row>
    <row r="367" spans="4:5" x14ac:dyDescent="0.35">
      <c r="D367">
        <f t="shared" si="10"/>
        <v>0</v>
      </c>
      <c r="E367">
        <f t="shared" si="11"/>
        <v>0</v>
      </c>
    </row>
    <row r="368" spans="4:5" x14ac:dyDescent="0.35">
      <c r="D368">
        <f t="shared" si="10"/>
        <v>0</v>
      </c>
      <c r="E368">
        <f t="shared" si="11"/>
        <v>0</v>
      </c>
    </row>
    <row r="369" spans="4:5" x14ac:dyDescent="0.35">
      <c r="D369">
        <f t="shared" si="10"/>
        <v>0</v>
      </c>
      <c r="E369">
        <f t="shared" si="11"/>
        <v>0</v>
      </c>
    </row>
    <row r="370" spans="4:5" x14ac:dyDescent="0.35">
      <c r="D370">
        <f t="shared" si="10"/>
        <v>0</v>
      </c>
      <c r="E370">
        <f t="shared" si="11"/>
        <v>0</v>
      </c>
    </row>
    <row r="371" spans="4:5" x14ac:dyDescent="0.35">
      <c r="D371">
        <f t="shared" si="10"/>
        <v>0</v>
      </c>
      <c r="E371">
        <f t="shared" si="11"/>
        <v>0</v>
      </c>
    </row>
    <row r="372" spans="4:5" x14ac:dyDescent="0.35">
      <c r="D372">
        <f t="shared" si="10"/>
        <v>0</v>
      </c>
      <c r="E372">
        <f t="shared" si="11"/>
        <v>0</v>
      </c>
    </row>
    <row r="373" spans="4:5" x14ac:dyDescent="0.35">
      <c r="D373">
        <f t="shared" si="10"/>
        <v>0</v>
      </c>
      <c r="E373">
        <f t="shared" si="11"/>
        <v>0</v>
      </c>
    </row>
    <row r="374" spans="4:5" x14ac:dyDescent="0.35">
      <c r="D374">
        <f t="shared" si="10"/>
        <v>0</v>
      </c>
      <c r="E374">
        <f t="shared" si="11"/>
        <v>0</v>
      </c>
    </row>
    <row r="375" spans="4:5" x14ac:dyDescent="0.35">
      <c r="D375">
        <f t="shared" si="10"/>
        <v>0</v>
      </c>
      <c r="E375">
        <f t="shared" si="11"/>
        <v>0</v>
      </c>
    </row>
    <row r="376" spans="4:5" x14ac:dyDescent="0.35">
      <c r="D376">
        <f t="shared" si="10"/>
        <v>0</v>
      </c>
      <c r="E376">
        <f t="shared" si="11"/>
        <v>0</v>
      </c>
    </row>
    <row r="377" spans="4:5" x14ac:dyDescent="0.35">
      <c r="D377">
        <f t="shared" si="10"/>
        <v>0</v>
      </c>
      <c r="E377">
        <f t="shared" si="11"/>
        <v>0</v>
      </c>
    </row>
    <row r="378" spans="4:5" x14ac:dyDescent="0.35">
      <c r="D378">
        <f t="shared" si="10"/>
        <v>0</v>
      </c>
      <c r="E378">
        <f t="shared" si="11"/>
        <v>0</v>
      </c>
    </row>
    <row r="379" spans="4:5" x14ac:dyDescent="0.35">
      <c r="D379">
        <f t="shared" si="10"/>
        <v>0</v>
      </c>
      <c r="E379">
        <f t="shared" si="11"/>
        <v>0</v>
      </c>
    </row>
    <row r="380" spans="4:5" x14ac:dyDescent="0.35">
      <c r="D380">
        <f t="shared" si="10"/>
        <v>0</v>
      </c>
      <c r="E380">
        <f t="shared" si="11"/>
        <v>0</v>
      </c>
    </row>
    <row r="381" spans="4:5" x14ac:dyDescent="0.35">
      <c r="D381">
        <f t="shared" si="10"/>
        <v>0</v>
      </c>
      <c r="E381">
        <f t="shared" si="11"/>
        <v>0</v>
      </c>
    </row>
    <row r="382" spans="4:5" x14ac:dyDescent="0.35">
      <c r="D382">
        <f t="shared" si="10"/>
        <v>0</v>
      </c>
      <c r="E382">
        <f t="shared" si="11"/>
        <v>0</v>
      </c>
    </row>
    <row r="383" spans="4:5" x14ac:dyDescent="0.35">
      <c r="D383">
        <f t="shared" si="10"/>
        <v>0</v>
      </c>
      <c r="E383">
        <f t="shared" si="11"/>
        <v>0</v>
      </c>
    </row>
    <row r="384" spans="4:5" x14ac:dyDescent="0.35">
      <c r="D384">
        <f t="shared" si="10"/>
        <v>0</v>
      </c>
      <c r="E384">
        <f t="shared" si="11"/>
        <v>0</v>
      </c>
    </row>
    <row r="385" spans="4:5" x14ac:dyDescent="0.35">
      <c r="D385">
        <f t="shared" si="10"/>
        <v>0</v>
      </c>
      <c r="E385">
        <f t="shared" si="11"/>
        <v>0</v>
      </c>
    </row>
    <row r="386" spans="4:5" x14ac:dyDescent="0.35">
      <c r="D386">
        <f t="shared" si="10"/>
        <v>0</v>
      </c>
      <c r="E386">
        <f t="shared" si="11"/>
        <v>0</v>
      </c>
    </row>
    <row r="387" spans="4:5" x14ac:dyDescent="0.35">
      <c r="D387">
        <f t="shared" si="10"/>
        <v>0</v>
      </c>
      <c r="E387">
        <f t="shared" si="11"/>
        <v>0</v>
      </c>
    </row>
    <row r="388" spans="4:5" x14ac:dyDescent="0.35">
      <c r="D388">
        <f t="shared" si="10"/>
        <v>0</v>
      </c>
      <c r="E388">
        <f t="shared" si="11"/>
        <v>0</v>
      </c>
    </row>
    <row r="389" spans="4:5" x14ac:dyDescent="0.35">
      <c r="D389">
        <f t="shared" ref="D389:D452" si="12">A389</f>
        <v>0</v>
      </c>
      <c r="E389">
        <f t="shared" ref="E389:E452" si="13">B389</f>
        <v>0</v>
      </c>
    </row>
    <row r="390" spans="4:5" x14ac:dyDescent="0.35">
      <c r="D390">
        <f t="shared" si="12"/>
        <v>0</v>
      </c>
      <c r="E390">
        <f t="shared" si="13"/>
        <v>0</v>
      </c>
    </row>
    <row r="391" spans="4:5" x14ac:dyDescent="0.35">
      <c r="D391">
        <f t="shared" si="12"/>
        <v>0</v>
      </c>
      <c r="E391">
        <f t="shared" si="13"/>
        <v>0</v>
      </c>
    </row>
    <row r="392" spans="4:5" x14ac:dyDescent="0.35">
      <c r="D392">
        <f t="shared" si="12"/>
        <v>0</v>
      </c>
      <c r="E392">
        <f t="shared" si="13"/>
        <v>0</v>
      </c>
    </row>
    <row r="393" spans="4:5" x14ac:dyDescent="0.35">
      <c r="D393">
        <f t="shared" si="12"/>
        <v>0</v>
      </c>
      <c r="E393">
        <f t="shared" si="13"/>
        <v>0</v>
      </c>
    </row>
    <row r="394" spans="4:5" x14ac:dyDescent="0.35">
      <c r="D394">
        <f t="shared" si="12"/>
        <v>0</v>
      </c>
      <c r="E394">
        <f t="shared" si="13"/>
        <v>0</v>
      </c>
    </row>
    <row r="395" spans="4:5" x14ac:dyDescent="0.35">
      <c r="D395">
        <f t="shared" si="12"/>
        <v>0</v>
      </c>
      <c r="E395">
        <f t="shared" si="13"/>
        <v>0</v>
      </c>
    </row>
    <row r="396" spans="4:5" x14ac:dyDescent="0.35">
      <c r="D396">
        <f t="shared" si="12"/>
        <v>0</v>
      </c>
      <c r="E396">
        <f t="shared" si="13"/>
        <v>0</v>
      </c>
    </row>
    <row r="397" spans="4:5" x14ac:dyDescent="0.35">
      <c r="D397">
        <f t="shared" si="12"/>
        <v>0</v>
      </c>
      <c r="E397">
        <f t="shared" si="13"/>
        <v>0</v>
      </c>
    </row>
    <row r="398" spans="4:5" x14ac:dyDescent="0.35">
      <c r="D398">
        <f t="shared" si="12"/>
        <v>0</v>
      </c>
      <c r="E398">
        <f t="shared" si="13"/>
        <v>0</v>
      </c>
    </row>
    <row r="399" spans="4:5" x14ac:dyDescent="0.35">
      <c r="D399">
        <f t="shared" si="12"/>
        <v>0</v>
      </c>
      <c r="E399">
        <f t="shared" si="13"/>
        <v>0</v>
      </c>
    </row>
    <row r="400" spans="4:5" x14ac:dyDescent="0.35">
      <c r="D400">
        <f t="shared" si="12"/>
        <v>0</v>
      </c>
      <c r="E400">
        <f t="shared" si="13"/>
        <v>0</v>
      </c>
    </row>
    <row r="401" spans="4:5" x14ac:dyDescent="0.35">
      <c r="D401">
        <f t="shared" si="12"/>
        <v>0</v>
      </c>
      <c r="E401">
        <f t="shared" si="13"/>
        <v>0</v>
      </c>
    </row>
    <row r="402" spans="4:5" x14ac:dyDescent="0.35">
      <c r="D402">
        <f t="shared" si="12"/>
        <v>0</v>
      </c>
      <c r="E402">
        <f t="shared" si="13"/>
        <v>0</v>
      </c>
    </row>
    <row r="403" spans="4:5" x14ac:dyDescent="0.35">
      <c r="D403">
        <f t="shared" si="12"/>
        <v>0</v>
      </c>
      <c r="E403">
        <f t="shared" si="13"/>
        <v>0</v>
      </c>
    </row>
    <row r="404" spans="4:5" x14ac:dyDescent="0.35">
      <c r="D404">
        <f t="shared" si="12"/>
        <v>0</v>
      </c>
      <c r="E404">
        <f t="shared" si="13"/>
        <v>0</v>
      </c>
    </row>
    <row r="405" spans="4:5" x14ac:dyDescent="0.35">
      <c r="D405">
        <f t="shared" si="12"/>
        <v>0</v>
      </c>
      <c r="E405">
        <f t="shared" si="13"/>
        <v>0</v>
      </c>
    </row>
    <row r="406" spans="4:5" x14ac:dyDescent="0.35">
      <c r="D406">
        <f t="shared" si="12"/>
        <v>0</v>
      </c>
      <c r="E406">
        <f t="shared" si="13"/>
        <v>0</v>
      </c>
    </row>
    <row r="407" spans="4:5" x14ac:dyDescent="0.35">
      <c r="D407">
        <f t="shared" si="12"/>
        <v>0</v>
      </c>
      <c r="E407">
        <f t="shared" si="13"/>
        <v>0</v>
      </c>
    </row>
    <row r="408" spans="4:5" x14ac:dyDescent="0.35">
      <c r="D408">
        <f t="shared" si="12"/>
        <v>0</v>
      </c>
      <c r="E408">
        <f t="shared" si="13"/>
        <v>0</v>
      </c>
    </row>
    <row r="409" spans="4:5" x14ac:dyDescent="0.35">
      <c r="D409">
        <f t="shared" si="12"/>
        <v>0</v>
      </c>
      <c r="E409">
        <f t="shared" si="13"/>
        <v>0</v>
      </c>
    </row>
    <row r="410" spans="4:5" x14ac:dyDescent="0.35">
      <c r="D410">
        <f t="shared" si="12"/>
        <v>0</v>
      </c>
      <c r="E410">
        <f t="shared" si="13"/>
        <v>0</v>
      </c>
    </row>
    <row r="411" spans="4:5" x14ac:dyDescent="0.35">
      <c r="D411">
        <f t="shared" si="12"/>
        <v>0</v>
      </c>
      <c r="E411">
        <f t="shared" si="13"/>
        <v>0</v>
      </c>
    </row>
    <row r="412" spans="4:5" x14ac:dyDescent="0.35">
      <c r="D412">
        <f t="shared" si="12"/>
        <v>0</v>
      </c>
      <c r="E412">
        <f t="shared" si="13"/>
        <v>0</v>
      </c>
    </row>
    <row r="413" spans="4:5" x14ac:dyDescent="0.35">
      <c r="D413">
        <f t="shared" si="12"/>
        <v>0</v>
      </c>
      <c r="E413">
        <f t="shared" si="13"/>
        <v>0</v>
      </c>
    </row>
    <row r="414" spans="4:5" x14ac:dyDescent="0.35">
      <c r="D414">
        <f t="shared" si="12"/>
        <v>0</v>
      </c>
      <c r="E414">
        <f t="shared" si="13"/>
        <v>0</v>
      </c>
    </row>
    <row r="415" spans="4:5" x14ac:dyDescent="0.35">
      <c r="D415">
        <f t="shared" si="12"/>
        <v>0</v>
      </c>
      <c r="E415">
        <f t="shared" si="13"/>
        <v>0</v>
      </c>
    </row>
    <row r="416" spans="4:5" x14ac:dyDescent="0.35">
      <c r="D416">
        <f t="shared" si="12"/>
        <v>0</v>
      </c>
      <c r="E416">
        <f t="shared" si="13"/>
        <v>0</v>
      </c>
    </row>
    <row r="417" spans="4:5" x14ac:dyDescent="0.35">
      <c r="D417">
        <f t="shared" si="12"/>
        <v>0</v>
      </c>
      <c r="E417">
        <f t="shared" si="13"/>
        <v>0</v>
      </c>
    </row>
    <row r="418" spans="4:5" x14ac:dyDescent="0.35">
      <c r="D418">
        <f t="shared" si="12"/>
        <v>0</v>
      </c>
      <c r="E418">
        <f t="shared" si="13"/>
        <v>0</v>
      </c>
    </row>
    <row r="419" spans="4:5" x14ac:dyDescent="0.35">
      <c r="D419">
        <f t="shared" si="12"/>
        <v>0</v>
      </c>
      <c r="E419">
        <f t="shared" si="13"/>
        <v>0</v>
      </c>
    </row>
    <row r="420" spans="4:5" x14ac:dyDescent="0.35">
      <c r="D420">
        <f t="shared" si="12"/>
        <v>0</v>
      </c>
      <c r="E420">
        <f t="shared" si="13"/>
        <v>0</v>
      </c>
    </row>
    <row r="421" spans="4:5" x14ac:dyDescent="0.35">
      <c r="D421">
        <f t="shared" si="12"/>
        <v>0</v>
      </c>
      <c r="E421">
        <f t="shared" si="13"/>
        <v>0</v>
      </c>
    </row>
    <row r="422" spans="4:5" x14ac:dyDescent="0.35">
      <c r="D422">
        <f t="shared" si="12"/>
        <v>0</v>
      </c>
      <c r="E422">
        <f t="shared" si="13"/>
        <v>0</v>
      </c>
    </row>
    <row r="423" spans="4:5" x14ac:dyDescent="0.35">
      <c r="D423">
        <f t="shared" si="12"/>
        <v>0</v>
      </c>
      <c r="E423">
        <f t="shared" si="13"/>
        <v>0</v>
      </c>
    </row>
    <row r="424" spans="4:5" x14ac:dyDescent="0.35">
      <c r="D424">
        <f t="shared" si="12"/>
        <v>0</v>
      </c>
      <c r="E424">
        <f t="shared" si="13"/>
        <v>0</v>
      </c>
    </row>
    <row r="425" spans="4:5" x14ac:dyDescent="0.35">
      <c r="D425">
        <f t="shared" si="12"/>
        <v>0</v>
      </c>
      <c r="E425">
        <f t="shared" si="13"/>
        <v>0</v>
      </c>
    </row>
    <row r="426" spans="4:5" x14ac:dyDescent="0.35">
      <c r="D426">
        <f t="shared" si="12"/>
        <v>0</v>
      </c>
      <c r="E426">
        <f t="shared" si="13"/>
        <v>0</v>
      </c>
    </row>
    <row r="427" spans="4:5" x14ac:dyDescent="0.35">
      <c r="D427">
        <f t="shared" si="12"/>
        <v>0</v>
      </c>
      <c r="E427">
        <f t="shared" si="13"/>
        <v>0</v>
      </c>
    </row>
    <row r="428" spans="4:5" x14ac:dyDescent="0.35">
      <c r="D428">
        <f t="shared" si="12"/>
        <v>0</v>
      </c>
      <c r="E428">
        <f t="shared" si="13"/>
        <v>0</v>
      </c>
    </row>
    <row r="429" spans="4:5" x14ac:dyDescent="0.35">
      <c r="D429">
        <f t="shared" si="12"/>
        <v>0</v>
      </c>
      <c r="E429">
        <f t="shared" si="13"/>
        <v>0</v>
      </c>
    </row>
    <row r="430" spans="4:5" x14ac:dyDescent="0.35">
      <c r="D430">
        <f t="shared" si="12"/>
        <v>0</v>
      </c>
      <c r="E430">
        <f t="shared" si="13"/>
        <v>0</v>
      </c>
    </row>
    <row r="431" spans="4:5" x14ac:dyDescent="0.35">
      <c r="D431">
        <f t="shared" si="12"/>
        <v>0</v>
      </c>
      <c r="E431">
        <f t="shared" si="13"/>
        <v>0</v>
      </c>
    </row>
    <row r="432" spans="4:5" x14ac:dyDescent="0.35">
      <c r="D432">
        <f t="shared" si="12"/>
        <v>0</v>
      </c>
      <c r="E432">
        <f t="shared" si="13"/>
        <v>0</v>
      </c>
    </row>
    <row r="433" spans="4:5" x14ac:dyDescent="0.35">
      <c r="D433">
        <f t="shared" si="12"/>
        <v>0</v>
      </c>
      <c r="E433">
        <f t="shared" si="13"/>
        <v>0</v>
      </c>
    </row>
    <row r="434" spans="4:5" x14ac:dyDescent="0.35">
      <c r="D434">
        <f t="shared" si="12"/>
        <v>0</v>
      </c>
      <c r="E434">
        <f t="shared" si="13"/>
        <v>0</v>
      </c>
    </row>
    <row r="435" spans="4:5" x14ac:dyDescent="0.35">
      <c r="D435">
        <f t="shared" si="12"/>
        <v>0</v>
      </c>
      <c r="E435">
        <f t="shared" si="13"/>
        <v>0</v>
      </c>
    </row>
    <row r="436" spans="4:5" x14ac:dyDescent="0.35">
      <c r="D436">
        <f t="shared" si="12"/>
        <v>0</v>
      </c>
      <c r="E436">
        <f t="shared" si="13"/>
        <v>0</v>
      </c>
    </row>
    <row r="437" spans="4:5" x14ac:dyDescent="0.35">
      <c r="D437">
        <f t="shared" si="12"/>
        <v>0</v>
      </c>
      <c r="E437">
        <f t="shared" si="13"/>
        <v>0</v>
      </c>
    </row>
    <row r="438" spans="4:5" x14ac:dyDescent="0.35">
      <c r="D438">
        <f t="shared" si="12"/>
        <v>0</v>
      </c>
      <c r="E438">
        <f t="shared" si="13"/>
        <v>0</v>
      </c>
    </row>
    <row r="439" spans="4:5" x14ac:dyDescent="0.35">
      <c r="D439">
        <f t="shared" si="12"/>
        <v>0</v>
      </c>
      <c r="E439">
        <f t="shared" si="13"/>
        <v>0</v>
      </c>
    </row>
    <row r="440" spans="4:5" x14ac:dyDescent="0.35">
      <c r="D440">
        <f t="shared" si="12"/>
        <v>0</v>
      </c>
      <c r="E440">
        <f t="shared" si="13"/>
        <v>0</v>
      </c>
    </row>
    <row r="441" spans="4:5" x14ac:dyDescent="0.35">
      <c r="D441">
        <f t="shared" si="12"/>
        <v>0</v>
      </c>
      <c r="E441">
        <f t="shared" si="13"/>
        <v>0</v>
      </c>
    </row>
    <row r="442" spans="4:5" x14ac:dyDescent="0.35">
      <c r="D442">
        <f t="shared" si="12"/>
        <v>0</v>
      </c>
      <c r="E442">
        <f t="shared" si="13"/>
        <v>0</v>
      </c>
    </row>
    <row r="443" spans="4:5" x14ac:dyDescent="0.35">
      <c r="D443">
        <f t="shared" si="12"/>
        <v>0</v>
      </c>
      <c r="E443">
        <f t="shared" si="13"/>
        <v>0</v>
      </c>
    </row>
    <row r="444" spans="4:5" x14ac:dyDescent="0.35">
      <c r="D444">
        <f t="shared" si="12"/>
        <v>0</v>
      </c>
      <c r="E444">
        <f t="shared" si="13"/>
        <v>0</v>
      </c>
    </row>
    <row r="445" spans="4:5" x14ac:dyDescent="0.35">
      <c r="D445">
        <f t="shared" si="12"/>
        <v>0</v>
      </c>
      <c r="E445">
        <f t="shared" si="13"/>
        <v>0</v>
      </c>
    </row>
    <row r="446" spans="4:5" x14ac:dyDescent="0.35">
      <c r="D446">
        <f t="shared" si="12"/>
        <v>0</v>
      </c>
      <c r="E446">
        <f t="shared" si="13"/>
        <v>0</v>
      </c>
    </row>
    <row r="447" spans="4:5" x14ac:dyDescent="0.35">
      <c r="D447">
        <f t="shared" si="12"/>
        <v>0</v>
      </c>
      <c r="E447">
        <f t="shared" si="13"/>
        <v>0</v>
      </c>
    </row>
    <row r="448" spans="4:5" x14ac:dyDescent="0.35">
      <c r="D448">
        <f t="shared" si="12"/>
        <v>0</v>
      </c>
      <c r="E448">
        <f t="shared" si="13"/>
        <v>0</v>
      </c>
    </row>
    <row r="449" spans="4:5" x14ac:dyDescent="0.35">
      <c r="D449">
        <f t="shared" si="12"/>
        <v>0</v>
      </c>
      <c r="E449">
        <f t="shared" si="13"/>
        <v>0</v>
      </c>
    </row>
    <row r="450" spans="4:5" x14ac:dyDescent="0.35">
      <c r="D450">
        <f t="shared" si="12"/>
        <v>0</v>
      </c>
      <c r="E450">
        <f t="shared" si="13"/>
        <v>0</v>
      </c>
    </row>
    <row r="451" spans="4:5" x14ac:dyDescent="0.35">
      <c r="D451">
        <f t="shared" si="12"/>
        <v>0</v>
      </c>
      <c r="E451">
        <f t="shared" si="13"/>
        <v>0</v>
      </c>
    </row>
    <row r="452" spans="4:5" x14ac:dyDescent="0.35">
      <c r="D452">
        <f t="shared" si="12"/>
        <v>0</v>
      </c>
      <c r="E452">
        <f t="shared" si="13"/>
        <v>0</v>
      </c>
    </row>
    <row r="453" spans="4:5" x14ac:dyDescent="0.35">
      <c r="D453">
        <f t="shared" ref="D453:D516" si="14">A453</f>
        <v>0</v>
      </c>
      <c r="E453">
        <f t="shared" ref="E453:E516" si="15">B453</f>
        <v>0</v>
      </c>
    </row>
    <row r="454" spans="4:5" x14ac:dyDescent="0.35">
      <c r="D454">
        <f t="shared" si="14"/>
        <v>0</v>
      </c>
      <c r="E454">
        <f t="shared" si="15"/>
        <v>0</v>
      </c>
    </row>
    <row r="455" spans="4:5" x14ac:dyDescent="0.35">
      <c r="D455">
        <f t="shared" si="14"/>
        <v>0</v>
      </c>
      <c r="E455">
        <f t="shared" si="15"/>
        <v>0</v>
      </c>
    </row>
    <row r="456" spans="4:5" x14ac:dyDescent="0.35">
      <c r="D456">
        <f t="shared" si="14"/>
        <v>0</v>
      </c>
      <c r="E456">
        <f t="shared" si="15"/>
        <v>0</v>
      </c>
    </row>
    <row r="457" spans="4:5" x14ac:dyDescent="0.35">
      <c r="D457">
        <f t="shared" si="14"/>
        <v>0</v>
      </c>
      <c r="E457">
        <f t="shared" si="15"/>
        <v>0</v>
      </c>
    </row>
    <row r="458" spans="4:5" x14ac:dyDescent="0.35">
      <c r="D458">
        <f t="shared" si="14"/>
        <v>0</v>
      </c>
      <c r="E458">
        <f t="shared" si="15"/>
        <v>0</v>
      </c>
    </row>
    <row r="459" spans="4:5" x14ac:dyDescent="0.35">
      <c r="D459">
        <f t="shared" si="14"/>
        <v>0</v>
      </c>
      <c r="E459">
        <f t="shared" si="15"/>
        <v>0</v>
      </c>
    </row>
    <row r="460" spans="4:5" x14ac:dyDescent="0.35">
      <c r="D460">
        <f t="shared" si="14"/>
        <v>0</v>
      </c>
      <c r="E460">
        <f t="shared" si="15"/>
        <v>0</v>
      </c>
    </row>
    <row r="461" spans="4:5" x14ac:dyDescent="0.35">
      <c r="D461">
        <f t="shared" si="14"/>
        <v>0</v>
      </c>
      <c r="E461">
        <f t="shared" si="15"/>
        <v>0</v>
      </c>
    </row>
    <row r="462" spans="4:5" x14ac:dyDescent="0.35">
      <c r="D462">
        <f t="shared" si="14"/>
        <v>0</v>
      </c>
      <c r="E462">
        <f t="shared" si="15"/>
        <v>0</v>
      </c>
    </row>
    <row r="463" spans="4:5" x14ac:dyDescent="0.35">
      <c r="D463">
        <f t="shared" si="14"/>
        <v>0</v>
      </c>
      <c r="E463">
        <f t="shared" si="15"/>
        <v>0</v>
      </c>
    </row>
    <row r="464" spans="4:5" x14ac:dyDescent="0.35">
      <c r="D464">
        <f t="shared" si="14"/>
        <v>0</v>
      </c>
      <c r="E464">
        <f t="shared" si="15"/>
        <v>0</v>
      </c>
    </row>
    <row r="465" spans="4:5" x14ac:dyDescent="0.35">
      <c r="D465">
        <f t="shared" si="14"/>
        <v>0</v>
      </c>
      <c r="E465">
        <f t="shared" si="15"/>
        <v>0</v>
      </c>
    </row>
    <row r="466" spans="4:5" x14ac:dyDescent="0.35">
      <c r="D466">
        <f t="shared" si="14"/>
        <v>0</v>
      </c>
      <c r="E466">
        <f t="shared" si="15"/>
        <v>0</v>
      </c>
    </row>
    <row r="467" spans="4:5" x14ac:dyDescent="0.35">
      <c r="D467">
        <f t="shared" si="14"/>
        <v>0</v>
      </c>
      <c r="E467">
        <f t="shared" si="15"/>
        <v>0</v>
      </c>
    </row>
    <row r="468" spans="4:5" x14ac:dyDescent="0.35">
      <c r="D468">
        <f t="shared" si="14"/>
        <v>0</v>
      </c>
      <c r="E468">
        <f t="shared" si="15"/>
        <v>0</v>
      </c>
    </row>
    <row r="469" spans="4:5" x14ac:dyDescent="0.35">
      <c r="D469">
        <f t="shared" si="14"/>
        <v>0</v>
      </c>
      <c r="E469">
        <f t="shared" si="15"/>
        <v>0</v>
      </c>
    </row>
    <row r="470" spans="4:5" x14ac:dyDescent="0.35">
      <c r="D470">
        <f t="shared" si="14"/>
        <v>0</v>
      </c>
      <c r="E470">
        <f t="shared" si="15"/>
        <v>0</v>
      </c>
    </row>
    <row r="471" spans="4:5" x14ac:dyDescent="0.35">
      <c r="D471">
        <f t="shared" si="14"/>
        <v>0</v>
      </c>
      <c r="E471">
        <f t="shared" si="15"/>
        <v>0</v>
      </c>
    </row>
    <row r="472" spans="4:5" x14ac:dyDescent="0.35">
      <c r="D472">
        <f t="shared" si="14"/>
        <v>0</v>
      </c>
      <c r="E472">
        <f t="shared" si="15"/>
        <v>0</v>
      </c>
    </row>
    <row r="473" spans="4:5" x14ac:dyDescent="0.35">
      <c r="D473">
        <f t="shared" si="14"/>
        <v>0</v>
      </c>
      <c r="E473">
        <f t="shared" si="15"/>
        <v>0</v>
      </c>
    </row>
    <row r="474" spans="4:5" x14ac:dyDescent="0.35">
      <c r="D474">
        <f t="shared" si="14"/>
        <v>0</v>
      </c>
      <c r="E474">
        <f t="shared" si="15"/>
        <v>0</v>
      </c>
    </row>
    <row r="475" spans="4:5" x14ac:dyDescent="0.35">
      <c r="D475">
        <f t="shared" si="14"/>
        <v>0</v>
      </c>
      <c r="E475">
        <f t="shared" si="15"/>
        <v>0</v>
      </c>
    </row>
    <row r="476" spans="4:5" x14ac:dyDescent="0.35">
      <c r="D476">
        <f t="shared" si="14"/>
        <v>0</v>
      </c>
      <c r="E476">
        <f t="shared" si="15"/>
        <v>0</v>
      </c>
    </row>
    <row r="477" spans="4:5" x14ac:dyDescent="0.35">
      <c r="D477">
        <f t="shared" si="14"/>
        <v>0</v>
      </c>
      <c r="E477">
        <f t="shared" si="15"/>
        <v>0</v>
      </c>
    </row>
    <row r="478" spans="4:5" x14ac:dyDescent="0.35">
      <c r="D478">
        <f t="shared" si="14"/>
        <v>0</v>
      </c>
      <c r="E478">
        <f t="shared" si="15"/>
        <v>0</v>
      </c>
    </row>
    <row r="479" spans="4:5" x14ac:dyDescent="0.35">
      <c r="D479">
        <f t="shared" si="14"/>
        <v>0</v>
      </c>
      <c r="E479">
        <f t="shared" si="15"/>
        <v>0</v>
      </c>
    </row>
    <row r="480" spans="4:5" x14ac:dyDescent="0.35">
      <c r="D480">
        <f t="shared" si="14"/>
        <v>0</v>
      </c>
      <c r="E480">
        <f t="shared" si="15"/>
        <v>0</v>
      </c>
    </row>
    <row r="481" spans="4:5" x14ac:dyDescent="0.35">
      <c r="D481">
        <f t="shared" si="14"/>
        <v>0</v>
      </c>
      <c r="E481">
        <f t="shared" si="15"/>
        <v>0</v>
      </c>
    </row>
    <row r="482" spans="4:5" x14ac:dyDescent="0.35">
      <c r="D482">
        <f t="shared" si="14"/>
        <v>0</v>
      </c>
      <c r="E482">
        <f t="shared" si="15"/>
        <v>0</v>
      </c>
    </row>
    <row r="483" spans="4:5" x14ac:dyDescent="0.35">
      <c r="D483">
        <f t="shared" si="14"/>
        <v>0</v>
      </c>
      <c r="E483">
        <f t="shared" si="15"/>
        <v>0</v>
      </c>
    </row>
    <row r="484" spans="4:5" x14ac:dyDescent="0.35">
      <c r="D484">
        <f t="shared" si="14"/>
        <v>0</v>
      </c>
      <c r="E484">
        <f t="shared" si="15"/>
        <v>0</v>
      </c>
    </row>
    <row r="485" spans="4:5" x14ac:dyDescent="0.35">
      <c r="D485">
        <f t="shared" si="14"/>
        <v>0</v>
      </c>
      <c r="E485">
        <f t="shared" si="15"/>
        <v>0</v>
      </c>
    </row>
    <row r="486" spans="4:5" x14ac:dyDescent="0.35">
      <c r="D486">
        <f t="shared" si="14"/>
        <v>0</v>
      </c>
      <c r="E486">
        <f t="shared" si="15"/>
        <v>0</v>
      </c>
    </row>
    <row r="487" spans="4:5" x14ac:dyDescent="0.35">
      <c r="D487">
        <f t="shared" si="14"/>
        <v>0</v>
      </c>
      <c r="E487">
        <f t="shared" si="15"/>
        <v>0</v>
      </c>
    </row>
    <row r="488" spans="4:5" x14ac:dyDescent="0.35">
      <c r="D488">
        <f t="shared" si="14"/>
        <v>0</v>
      </c>
      <c r="E488">
        <f t="shared" si="15"/>
        <v>0</v>
      </c>
    </row>
    <row r="489" spans="4:5" x14ac:dyDescent="0.35">
      <c r="D489">
        <f t="shared" si="14"/>
        <v>0</v>
      </c>
      <c r="E489">
        <f t="shared" si="15"/>
        <v>0</v>
      </c>
    </row>
    <row r="490" spans="4:5" x14ac:dyDescent="0.35">
      <c r="D490">
        <f t="shared" si="14"/>
        <v>0</v>
      </c>
      <c r="E490">
        <f t="shared" si="15"/>
        <v>0</v>
      </c>
    </row>
    <row r="491" spans="4:5" x14ac:dyDescent="0.35">
      <c r="D491">
        <f t="shared" si="14"/>
        <v>0</v>
      </c>
      <c r="E491">
        <f t="shared" si="15"/>
        <v>0</v>
      </c>
    </row>
    <row r="492" spans="4:5" x14ac:dyDescent="0.35">
      <c r="D492">
        <f t="shared" si="14"/>
        <v>0</v>
      </c>
      <c r="E492">
        <f t="shared" si="15"/>
        <v>0</v>
      </c>
    </row>
    <row r="493" spans="4:5" x14ac:dyDescent="0.35">
      <c r="D493">
        <f t="shared" si="14"/>
        <v>0</v>
      </c>
      <c r="E493">
        <f t="shared" si="15"/>
        <v>0</v>
      </c>
    </row>
    <row r="494" spans="4:5" x14ac:dyDescent="0.35">
      <c r="D494">
        <f t="shared" si="14"/>
        <v>0</v>
      </c>
      <c r="E494">
        <f t="shared" si="15"/>
        <v>0</v>
      </c>
    </row>
    <row r="495" spans="4:5" x14ac:dyDescent="0.35">
      <c r="D495">
        <f t="shared" si="14"/>
        <v>0</v>
      </c>
      <c r="E495">
        <f t="shared" si="15"/>
        <v>0</v>
      </c>
    </row>
    <row r="496" spans="4:5" x14ac:dyDescent="0.35">
      <c r="D496">
        <f t="shared" si="14"/>
        <v>0</v>
      </c>
      <c r="E496">
        <f t="shared" si="15"/>
        <v>0</v>
      </c>
    </row>
    <row r="497" spans="4:5" x14ac:dyDescent="0.35">
      <c r="D497">
        <f t="shared" si="14"/>
        <v>0</v>
      </c>
      <c r="E497">
        <f t="shared" si="15"/>
        <v>0</v>
      </c>
    </row>
    <row r="498" spans="4:5" x14ac:dyDescent="0.35">
      <c r="D498">
        <f t="shared" si="14"/>
        <v>0</v>
      </c>
      <c r="E498">
        <f t="shared" si="15"/>
        <v>0</v>
      </c>
    </row>
    <row r="499" spans="4:5" x14ac:dyDescent="0.35">
      <c r="D499">
        <f t="shared" si="14"/>
        <v>0</v>
      </c>
      <c r="E499">
        <f t="shared" si="15"/>
        <v>0</v>
      </c>
    </row>
    <row r="500" spans="4:5" x14ac:dyDescent="0.35">
      <c r="D500">
        <f t="shared" si="14"/>
        <v>0</v>
      </c>
      <c r="E500">
        <f t="shared" si="15"/>
        <v>0</v>
      </c>
    </row>
    <row r="501" spans="4:5" x14ac:dyDescent="0.35">
      <c r="D501">
        <f t="shared" si="14"/>
        <v>0</v>
      </c>
      <c r="E501">
        <f t="shared" si="15"/>
        <v>0</v>
      </c>
    </row>
    <row r="502" spans="4:5" x14ac:dyDescent="0.35">
      <c r="D502">
        <f t="shared" si="14"/>
        <v>0</v>
      </c>
      <c r="E502">
        <f t="shared" si="15"/>
        <v>0</v>
      </c>
    </row>
    <row r="503" spans="4:5" x14ac:dyDescent="0.35">
      <c r="D503">
        <f t="shared" si="14"/>
        <v>0</v>
      </c>
      <c r="E503">
        <f t="shared" si="15"/>
        <v>0</v>
      </c>
    </row>
    <row r="504" spans="4:5" x14ac:dyDescent="0.35">
      <c r="D504">
        <f t="shared" si="14"/>
        <v>0</v>
      </c>
      <c r="E504">
        <f t="shared" si="15"/>
        <v>0</v>
      </c>
    </row>
    <row r="505" spans="4:5" x14ac:dyDescent="0.35">
      <c r="D505">
        <f t="shared" si="14"/>
        <v>0</v>
      </c>
      <c r="E505">
        <f t="shared" si="15"/>
        <v>0</v>
      </c>
    </row>
    <row r="506" spans="4:5" x14ac:dyDescent="0.35">
      <c r="D506">
        <f t="shared" si="14"/>
        <v>0</v>
      </c>
      <c r="E506">
        <f t="shared" si="15"/>
        <v>0</v>
      </c>
    </row>
    <row r="507" spans="4:5" x14ac:dyDescent="0.35">
      <c r="D507">
        <f t="shared" si="14"/>
        <v>0</v>
      </c>
      <c r="E507">
        <f t="shared" si="15"/>
        <v>0</v>
      </c>
    </row>
    <row r="508" spans="4:5" x14ac:dyDescent="0.35">
      <c r="D508">
        <f t="shared" si="14"/>
        <v>0</v>
      </c>
      <c r="E508">
        <f t="shared" si="15"/>
        <v>0</v>
      </c>
    </row>
    <row r="509" spans="4:5" x14ac:dyDescent="0.35">
      <c r="D509">
        <f t="shared" si="14"/>
        <v>0</v>
      </c>
      <c r="E509">
        <f t="shared" si="15"/>
        <v>0</v>
      </c>
    </row>
    <row r="510" spans="4:5" x14ac:dyDescent="0.35">
      <c r="D510">
        <f t="shared" si="14"/>
        <v>0</v>
      </c>
      <c r="E510">
        <f t="shared" si="15"/>
        <v>0</v>
      </c>
    </row>
    <row r="511" spans="4:5" x14ac:dyDescent="0.35">
      <c r="D511">
        <f t="shared" si="14"/>
        <v>0</v>
      </c>
      <c r="E511">
        <f t="shared" si="15"/>
        <v>0</v>
      </c>
    </row>
    <row r="512" spans="4:5" x14ac:dyDescent="0.35">
      <c r="D512">
        <f t="shared" si="14"/>
        <v>0</v>
      </c>
      <c r="E512">
        <f t="shared" si="15"/>
        <v>0</v>
      </c>
    </row>
    <row r="513" spans="4:5" x14ac:dyDescent="0.35">
      <c r="D513">
        <f t="shared" si="14"/>
        <v>0</v>
      </c>
      <c r="E513">
        <f t="shared" si="15"/>
        <v>0</v>
      </c>
    </row>
    <row r="514" spans="4:5" x14ac:dyDescent="0.35">
      <c r="D514">
        <f t="shared" si="14"/>
        <v>0</v>
      </c>
      <c r="E514">
        <f t="shared" si="15"/>
        <v>0</v>
      </c>
    </row>
    <row r="515" spans="4:5" x14ac:dyDescent="0.35">
      <c r="D515">
        <f t="shared" si="14"/>
        <v>0</v>
      </c>
      <c r="E515">
        <f t="shared" si="15"/>
        <v>0</v>
      </c>
    </row>
    <row r="516" spans="4:5" x14ac:dyDescent="0.35">
      <c r="D516">
        <f t="shared" si="14"/>
        <v>0</v>
      </c>
      <c r="E516">
        <f t="shared" si="15"/>
        <v>0</v>
      </c>
    </row>
    <row r="517" spans="4:5" x14ac:dyDescent="0.35">
      <c r="D517">
        <f t="shared" ref="D517:D580" si="16">A517</f>
        <v>0</v>
      </c>
      <c r="E517">
        <f t="shared" ref="E517:E580" si="17">B517</f>
        <v>0</v>
      </c>
    </row>
    <row r="518" spans="4:5" x14ac:dyDescent="0.35">
      <c r="D518">
        <f t="shared" si="16"/>
        <v>0</v>
      </c>
      <c r="E518">
        <f t="shared" si="17"/>
        <v>0</v>
      </c>
    </row>
    <row r="519" spans="4:5" x14ac:dyDescent="0.35">
      <c r="D519">
        <f t="shared" si="16"/>
        <v>0</v>
      </c>
      <c r="E519">
        <f t="shared" si="17"/>
        <v>0</v>
      </c>
    </row>
    <row r="520" spans="4:5" x14ac:dyDescent="0.35">
      <c r="D520">
        <f t="shared" si="16"/>
        <v>0</v>
      </c>
      <c r="E520">
        <f t="shared" si="17"/>
        <v>0</v>
      </c>
    </row>
    <row r="521" spans="4:5" x14ac:dyDescent="0.35">
      <c r="D521">
        <f t="shared" si="16"/>
        <v>0</v>
      </c>
      <c r="E521">
        <f t="shared" si="17"/>
        <v>0</v>
      </c>
    </row>
    <row r="522" spans="4:5" x14ac:dyDescent="0.35">
      <c r="D522">
        <f t="shared" si="16"/>
        <v>0</v>
      </c>
      <c r="E522">
        <f t="shared" si="17"/>
        <v>0</v>
      </c>
    </row>
    <row r="523" spans="4:5" x14ac:dyDescent="0.35">
      <c r="D523">
        <f t="shared" si="16"/>
        <v>0</v>
      </c>
      <c r="E523">
        <f t="shared" si="17"/>
        <v>0</v>
      </c>
    </row>
    <row r="524" spans="4:5" x14ac:dyDescent="0.35">
      <c r="D524">
        <f t="shared" si="16"/>
        <v>0</v>
      </c>
      <c r="E524">
        <f t="shared" si="17"/>
        <v>0</v>
      </c>
    </row>
    <row r="525" spans="4:5" x14ac:dyDescent="0.35">
      <c r="D525">
        <f t="shared" si="16"/>
        <v>0</v>
      </c>
      <c r="E525">
        <f t="shared" si="17"/>
        <v>0</v>
      </c>
    </row>
    <row r="526" spans="4:5" x14ac:dyDescent="0.35">
      <c r="D526">
        <f t="shared" si="16"/>
        <v>0</v>
      </c>
      <c r="E526">
        <f t="shared" si="17"/>
        <v>0</v>
      </c>
    </row>
    <row r="527" spans="4:5" x14ac:dyDescent="0.35">
      <c r="D527">
        <f t="shared" si="16"/>
        <v>0</v>
      </c>
      <c r="E527">
        <f t="shared" si="17"/>
        <v>0</v>
      </c>
    </row>
    <row r="528" spans="4:5" x14ac:dyDescent="0.35">
      <c r="D528">
        <f t="shared" si="16"/>
        <v>0</v>
      </c>
      <c r="E528">
        <f t="shared" si="17"/>
        <v>0</v>
      </c>
    </row>
    <row r="529" spans="4:5" x14ac:dyDescent="0.35">
      <c r="D529">
        <f t="shared" si="16"/>
        <v>0</v>
      </c>
      <c r="E529">
        <f t="shared" si="17"/>
        <v>0</v>
      </c>
    </row>
    <row r="530" spans="4:5" x14ac:dyDescent="0.35">
      <c r="D530">
        <f t="shared" si="16"/>
        <v>0</v>
      </c>
      <c r="E530">
        <f t="shared" si="17"/>
        <v>0</v>
      </c>
    </row>
    <row r="531" spans="4:5" x14ac:dyDescent="0.35">
      <c r="D531">
        <f t="shared" si="16"/>
        <v>0</v>
      </c>
      <c r="E531">
        <f t="shared" si="17"/>
        <v>0</v>
      </c>
    </row>
    <row r="532" spans="4:5" x14ac:dyDescent="0.35">
      <c r="D532">
        <f t="shared" si="16"/>
        <v>0</v>
      </c>
      <c r="E532">
        <f t="shared" si="17"/>
        <v>0</v>
      </c>
    </row>
    <row r="533" spans="4:5" x14ac:dyDescent="0.35">
      <c r="D533">
        <f t="shared" si="16"/>
        <v>0</v>
      </c>
      <c r="E533">
        <f t="shared" si="17"/>
        <v>0</v>
      </c>
    </row>
    <row r="534" spans="4:5" x14ac:dyDescent="0.35">
      <c r="D534">
        <f t="shared" si="16"/>
        <v>0</v>
      </c>
      <c r="E534">
        <f t="shared" si="17"/>
        <v>0</v>
      </c>
    </row>
    <row r="535" spans="4:5" x14ac:dyDescent="0.35">
      <c r="D535">
        <f t="shared" si="16"/>
        <v>0</v>
      </c>
      <c r="E535">
        <f t="shared" si="17"/>
        <v>0</v>
      </c>
    </row>
    <row r="536" spans="4:5" x14ac:dyDescent="0.35">
      <c r="D536">
        <f t="shared" si="16"/>
        <v>0</v>
      </c>
      <c r="E536">
        <f t="shared" si="17"/>
        <v>0</v>
      </c>
    </row>
    <row r="537" spans="4:5" x14ac:dyDescent="0.35">
      <c r="D537">
        <f t="shared" si="16"/>
        <v>0</v>
      </c>
      <c r="E537">
        <f t="shared" si="17"/>
        <v>0</v>
      </c>
    </row>
    <row r="538" spans="4:5" x14ac:dyDescent="0.35">
      <c r="D538">
        <f t="shared" si="16"/>
        <v>0</v>
      </c>
      <c r="E538">
        <f t="shared" si="17"/>
        <v>0</v>
      </c>
    </row>
    <row r="539" spans="4:5" x14ac:dyDescent="0.35">
      <c r="D539">
        <f t="shared" si="16"/>
        <v>0</v>
      </c>
      <c r="E539">
        <f t="shared" si="17"/>
        <v>0</v>
      </c>
    </row>
    <row r="540" spans="4:5" x14ac:dyDescent="0.35">
      <c r="D540">
        <f t="shared" si="16"/>
        <v>0</v>
      </c>
      <c r="E540">
        <f t="shared" si="17"/>
        <v>0</v>
      </c>
    </row>
    <row r="541" spans="4:5" x14ac:dyDescent="0.35">
      <c r="D541">
        <f t="shared" si="16"/>
        <v>0</v>
      </c>
      <c r="E541">
        <f t="shared" si="17"/>
        <v>0</v>
      </c>
    </row>
    <row r="542" spans="4:5" x14ac:dyDescent="0.35">
      <c r="D542">
        <f t="shared" si="16"/>
        <v>0</v>
      </c>
      <c r="E542">
        <f t="shared" si="17"/>
        <v>0</v>
      </c>
    </row>
    <row r="543" spans="4:5" x14ac:dyDescent="0.35">
      <c r="D543">
        <f t="shared" si="16"/>
        <v>0</v>
      </c>
      <c r="E543">
        <f t="shared" si="17"/>
        <v>0</v>
      </c>
    </row>
    <row r="544" spans="4:5" x14ac:dyDescent="0.35">
      <c r="D544">
        <f t="shared" si="16"/>
        <v>0</v>
      </c>
      <c r="E544">
        <f t="shared" si="17"/>
        <v>0</v>
      </c>
    </row>
    <row r="545" spans="4:5" x14ac:dyDescent="0.35">
      <c r="D545">
        <f t="shared" si="16"/>
        <v>0</v>
      </c>
      <c r="E545">
        <f t="shared" si="17"/>
        <v>0</v>
      </c>
    </row>
    <row r="546" spans="4:5" x14ac:dyDescent="0.35">
      <c r="D546">
        <f t="shared" si="16"/>
        <v>0</v>
      </c>
      <c r="E546">
        <f t="shared" si="17"/>
        <v>0</v>
      </c>
    </row>
    <row r="547" spans="4:5" x14ac:dyDescent="0.35">
      <c r="D547">
        <f t="shared" si="16"/>
        <v>0</v>
      </c>
      <c r="E547">
        <f t="shared" si="17"/>
        <v>0</v>
      </c>
    </row>
    <row r="548" spans="4:5" x14ac:dyDescent="0.35">
      <c r="D548">
        <f t="shared" si="16"/>
        <v>0</v>
      </c>
      <c r="E548">
        <f t="shared" si="17"/>
        <v>0</v>
      </c>
    </row>
    <row r="549" spans="4:5" x14ac:dyDescent="0.35">
      <c r="D549">
        <f t="shared" si="16"/>
        <v>0</v>
      </c>
      <c r="E549">
        <f t="shared" si="17"/>
        <v>0</v>
      </c>
    </row>
    <row r="550" spans="4:5" x14ac:dyDescent="0.35">
      <c r="D550">
        <f t="shared" si="16"/>
        <v>0</v>
      </c>
      <c r="E550">
        <f t="shared" si="17"/>
        <v>0</v>
      </c>
    </row>
    <row r="551" spans="4:5" x14ac:dyDescent="0.35">
      <c r="D551">
        <f t="shared" si="16"/>
        <v>0</v>
      </c>
      <c r="E551">
        <f t="shared" si="17"/>
        <v>0</v>
      </c>
    </row>
    <row r="552" spans="4:5" x14ac:dyDescent="0.35">
      <c r="D552">
        <f t="shared" si="16"/>
        <v>0</v>
      </c>
      <c r="E552">
        <f t="shared" si="17"/>
        <v>0</v>
      </c>
    </row>
    <row r="553" spans="4:5" x14ac:dyDescent="0.35">
      <c r="D553">
        <f t="shared" si="16"/>
        <v>0</v>
      </c>
      <c r="E553">
        <f t="shared" si="17"/>
        <v>0</v>
      </c>
    </row>
    <row r="554" spans="4:5" x14ac:dyDescent="0.35">
      <c r="D554">
        <f t="shared" si="16"/>
        <v>0</v>
      </c>
      <c r="E554">
        <f t="shared" si="17"/>
        <v>0</v>
      </c>
    </row>
    <row r="555" spans="4:5" x14ac:dyDescent="0.35">
      <c r="D555">
        <f t="shared" si="16"/>
        <v>0</v>
      </c>
      <c r="E555">
        <f t="shared" si="17"/>
        <v>0</v>
      </c>
    </row>
    <row r="556" spans="4:5" x14ac:dyDescent="0.35">
      <c r="D556">
        <f t="shared" si="16"/>
        <v>0</v>
      </c>
      <c r="E556">
        <f t="shared" si="17"/>
        <v>0</v>
      </c>
    </row>
    <row r="557" spans="4:5" x14ac:dyDescent="0.35">
      <c r="D557">
        <f t="shared" si="16"/>
        <v>0</v>
      </c>
      <c r="E557">
        <f t="shared" si="17"/>
        <v>0</v>
      </c>
    </row>
    <row r="558" spans="4:5" x14ac:dyDescent="0.35">
      <c r="D558">
        <f t="shared" si="16"/>
        <v>0</v>
      </c>
      <c r="E558">
        <f t="shared" si="17"/>
        <v>0</v>
      </c>
    </row>
    <row r="559" spans="4:5" x14ac:dyDescent="0.35">
      <c r="D559">
        <f t="shared" si="16"/>
        <v>0</v>
      </c>
      <c r="E559">
        <f t="shared" si="17"/>
        <v>0</v>
      </c>
    </row>
    <row r="560" spans="4:5" x14ac:dyDescent="0.35">
      <c r="D560">
        <f t="shared" si="16"/>
        <v>0</v>
      </c>
      <c r="E560">
        <f t="shared" si="17"/>
        <v>0</v>
      </c>
    </row>
    <row r="561" spans="4:5" x14ac:dyDescent="0.35">
      <c r="D561">
        <f t="shared" si="16"/>
        <v>0</v>
      </c>
      <c r="E561">
        <f t="shared" si="17"/>
        <v>0</v>
      </c>
    </row>
    <row r="562" spans="4:5" x14ac:dyDescent="0.35">
      <c r="D562">
        <f t="shared" si="16"/>
        <v>0</v>
      </c>
      <c r="E562">
        <f t="shared" si="17"/>
        <v>0</v>
      </c>
    </row>
    <row r="563" spans="4:5" x14ac:dyDescent="0.35">
      <c r="D563">
        <f t="shared" si="16"/>
        <v>0</v>
      </c>
      <c r="E563">
        <f t="shared" si="17"/>
        <v>0</v>
      </c>
    </row>
    <row r="564" spans="4:5" x14ac:dyDescent="0.35">
      <c r="D564">
        <f t="shared" si="16"/>
        <v>0</v>
      </c>
      <c r="E564">
        <f t="shared" si="17"/>
        <v>0</v>
      </c>
    </row>
    <row r="565" spans="4:5" x14ac:dyDescent="0.35">
      <c r="D565">
        <f t="shared" si="16"/>
        <v>0</v>
      </c>
      <c r="E565">
        <f t="shared" si="17"/>
        <v>0</v>
      </c>
    </row>
    <row r="566" spans="4:5" x14ac:dyDescent="0.35">
      <c r="D566">
        <f t="shared" si="16"/>
        <v>0</v>
      </c>
      <c r="E566">
        <f t="shared" si="17"/>
        <v>0</v>
      </c>
    </row>
    <row r="567" spans="4:5" x14ac:dyDescent="0.35">
      <c r="D567">
        <f t="shared" si="16"/>
        <v>0</v>
      </c>
      <c r="E567">
        <f t="shared" si="17"/>
        <v>0</v>
      </c>
    </row>
    <row r="568" spans="4:5" x14ac:dyDescent="0.35">
      <c r="D568">
        <f t="shared" si="16"/>
        <v>0</v>
      </c>
      <c r="E568">
        <f t="shared" si="17"/>
        <v>0</v>
      </c>
    </row>
    <row r="569" spans="4:5" x14ac:dyDescent="0.35">
      <c r="D569">
        <f t="shared" si="16"/>
        <v>0</v>
      </c>
      <c r="E569">
        <f t="shared" si="17"/>
        <v>0</v>
      </c>
    </row>
    <row r="570" spans="4:5" x14ac:dyDescent="0.35">
      <c r="D570">
        <f t="shared" si="16"/>
        <v>0</v>
      </c>
      <c r="E570">
        <f t="shared" si="17"/>
        <v>0</v>
      </c>
    </row>
    <row r="571" spans="4:5" x14ac:dyDescent="0.35">
      <c r="D571">
        <f t="shared" si="16"/>
        <v>0</v>
      </c>
      <c r="E571">
        <f t="shared" si="17"/>
        <v>0</v>
      </c>
    </row>
    <row r="572" spans="4:5" x14ac:dyDescent="0.35">
      <c r="D572">
        <f t="shared" si="16"/>
        <v>0</v>
      </c>
      <c r="E572">
        <f t="shared" si="17"/>
        <v>0</v>
      </c>
    </row>
    <row r="573" spans="4:5" x14ac:dyDescent="0.35">
      <c r="D573">
        <f t="shared" si="16"/>
        <v>0</v>
      </c>
      <c r="E573">
        <f t="shared" si="17"/>
        <v>0</v>
      </c>
    </row>
    <row r="574" spans="4:5" x14ac:dyDescent="0.35">
      <c r="D574">
        <f t="shared" si="16"/>
        <v>0</v>
      </c>
      <c r="E574">
        <f t="shared" si="17"/>
        <v>0</v>
      </c>
    </row>
    <row r="575" spans="4:5" x14ac:dyDescent="0.35">
      <c r="D575">
        <f t="shared" si="16"/>
        <v>0</v>
      </c>
      <c r="E575">
        <f t="shared" si="17"/>
        <v>0</v>
      </c>
    </row>
    <row r="576" spans="4:5" x14ac:dyDescent="0.35">
      <c r="D576">
        <f t="shared" si="16"/>
        <v>0</v>
      </c>
      <c r="E576">
        <f t="shared" si="17"/>
        <v>0</v>
      </c>
    </row>
    <row r="577" spans="4:5" x14ac:dyDescent="0.35">
      <c r="D577">
        <f t="shared" si="16"/>
        <v>0</v>
      </c>
      <c r="E577">
        <f t="shared" si="17"/>
        <v>0</v>
      </c>
    </row>
    <row r="578" spans="4:5" x14ac:dyDescent="0.35">
      <c r="D578">
        <f t="shared" si="16"/>
        <v>0</v>
      </c>
      <c r="E578">
        <f t="shared" si="17"/>
        <v>0</v>
      </c>
    </row>
    <row r="579" spans="4:5" x14ac:dyDescent="0.35">
      <c r="D579">
        <f t="shared" si="16"/>
        <v>0</v>
      </c>
      <c r="E579">
        <f t="shared" si="17"/>
        <v>0</v>
      </c>
    </row>
    <row r="580" spans="4:5" x14ac:dyDescent="0.35">
      <c r="D580">
        <f t="shared" si="16"/>
        <v>0</v>
      </c>
      <c r="E580">
        <f t="shared" si="17"/>
        <v>0</v>
      </c>
    </row>
    <row r="581" spans="4:5" x14ac:dyDescent="0.35">
      <c r="D581">
        <f t="shared" ref="D581:D644" si="18">A581</f>
        <v>0</v>
      </c>
      <c r="E581">
        <f t="shared" ref="E581:E644" si="19">B581</f>
        <v>0</v>
      </c>
    </row>
    <row r="582" spans="4:5" x14ac:dyDescent="0.35">
      <c r="D582">
        <f t="shared" si="18"/>
        <v>0</v>
      </c>
      <c r="E582">
        <f t="shared" si="19"/>
        <v>0</v>
      </c>
    </row>
    <row r="583" spans="4:5" x14ac:dyDescent="0.35">
      <c r="D583">
        <f t="shared" si="18"/>
        <v>0</v>
      </c>
      <c r="E583">
        <f t="shared" si="19"/>
        <v>0</v>
      </c>
    </row>
    <row r="584" spans="4:5" x14ac:dyDescent="0.35">
      <c r="D584">
        <f t="shared" si="18"/>
        <v>0</v>
      </c>
      <c r="E584">
        <f t="shared" si="19"/>
        <v>0</v>
      </c>
    </row>
    <row r="585" spans="4:5" x14ac:dyDescent="0.35">
      <c r="D585">
        <f t="shared" si="18"/>
        <v>0</v>
      </c>
      <c r="E585">
        <f t="shared" si="19"/>
        <v>0</v>
      </c>
    </row>
    <row r="586" spans="4:5" x14ac:dyDescent="0.35">
      <c r="D586">
        <f t="shared" si="18"/>
        <v>0</v>
      </c>
      <c r="E586">
        <f t="shared" si="19"/>
        <v>0</v>
      </c>
    </row>
    <row r="587" spans="4:5" x14ac:dyDescent="0.35">
      <c r="D587">
        <f t="shared" si="18"/>
        <v>0</v>
      </c>
      <c r="E587">
        <f t="shared" si="19"/>
        <v>0</v>
      </c>
    </row>
    <row r="588" spans="4:5" x14ac:dyDescent="0.35">
      <c r="D588">
        <f t="shared" si="18"/>
        <v>0</v>
      </c>
      <c r="E588">
        <f t="shared" si="19"/>
        <v>0</v>
      </c>
    </row>
    <row r="589" spans="4:5" x14ac:dyDescent="0.35">
      <c r="D589">
        <f t="shared" si="18"/>
        <v>0</v>
      </c>
      <c r="E589">
        <f t="shared" si="19"/>
        <v>0</v>
      </c>
    </row>
    <row r="590" spans="4:5" x14ac:dyDescent="0.35">
      <c r="D590">
        <f t="shared" si="18"/>
        <v>0</v>
      </c>
      <c r="E590">
        <f t="shared" si="19"/>
        <v>0</v>
      </c>
    </row>
    <row r="591" spans="4:5" x14ac:dyDescent="0.35">
      <c r="D591">
        <f t="shared" si="18"/>
        <v>0</v>
      </c>
      <c r="E591">
        <f t="shared" si="19"/>
        <v>0</v>
      </c>
    </row>
    <row r="592" spans="4:5" x14ac:dyDescent="0.35">
      <c r="D592">
        <f t="shared" si="18"/>
        <v>0</v>
      </c>
      <c r="E592">
        <f t="shared" si="19"/>
        <v>0</v>
      </c>
    </row>
    <row r="593" spans="4:5" x14ac:dyDescent="0.35">
      <c r="D593">
        <f t="shared" si="18"/>
        <v>0</v>
      </c>
      <c r="E593">
        <f t="shared" si="19"/>
        <v>0</v>
      </c>
    </row>
    <row r="594" spans="4:5" x14ac:dyDescent="0.35">
      <c r="D594">
        <f t="shared" si="18"/>
        <v>0</v>
      </c>
      <c r="E594">
        <f t="shared" si="19"/>
        <v>0</v>
      </c>
    </row>
    <row r="595" spans="4:5" x14ac:dyDescent="0.35">
      <c r="D595">
        <f t="shared" si="18"/>
        <v>0</v>
      </c>
      <c r="E595">
        <f t="shared" si="19"/>
        <v>0</v>
      </c>
    </row>
    <row r="596" spans="4:5" x14ac:dyDescent="0.35">
      <c r="D596">
        <f t="shared" si="18"/>
        <v>0</v>
      </c>
      <c r="E596">
        <f t="shared" si="19"/>
        <v>0</v>
      </c>
    </row>
    <row r="597" spans="4:5" x14ac:dyDescent="0.35">
      <c r="D597">
        <f t="shared" si="18"/>
        <v>0</v>
      </c>
      <c r="E597">
        <f t="shared" si="19"/>
        <v>0</v>
      </c>
    </row>
    <row r="598" spans="4:5" x14ac:dyDescent="0.35">
      <c r="D598">
        <f t="shared" si="18"/>
        <v>0</v>
      </c>
      <c r="E598">
        <f t="shared" si="19"/>
        <v>0</v>
      </c>
    </row>
    <row r="599" spans="4:5" x14ac:dyDescent="0.35">
      <c r="D599">
        <f t="shared" si="18"/>
        <v>0</v>
      </c>
      <c r="E599">
        <f t="shared" si="19"/>
        <v>0</v>
      </c>
    </row>
    <row r="600" spans="4:5" x14ac:dyDescent="0.35">
      <c r="D600">
        <f t="shared" si="18"/>
        <v>0</v>
      </c>
      <c r="E600">
        <f t="shared" si="19"/>
        <v>0</v>
      </c>
    </row>
    <row r="601" spans="4:5" x14ac:dyDescent="0.35">
      <c r="D601">
        <f t="shared" si="18"/>
        <v>0</v>
      </c>
      <c r="E601">
        <f t="shared" si="19"/>
        <v>0</v>
      </c>
    </row>
    <row r="602" spans="4:5" x14ac:dyDescent="0.35">
      <c r="D602">
        <f t="shared" si="18"/>
        <v>0</v>
      </c>
      <c r="E602">
        <f t="shared" si="19"/>
        <v>0</v>
      </c>
    </row>
    <row r="603" spans="4:5" x14ac:dyDescent="0.35">
      <c r="D603">
        <f t="shared" si="18"/>
        <v>0</v>
      </c>
      <c r="E603">
        <f t="shared" si="19"/>
        <v>0</v>
      </c>
    </row>
    <row r="604" spans="4:5" x14ac:dyDescent="0.35">
      <c r="D604">
        <f t="shared" si="18"/>
        <v>0</v>
      </c>
      <c r="E604">
        <f t="shared" si="19"/>
        <v>0</v>
      </c>
    </row>
    <row r="605" spans="4:5" x14ac:dyDescent="0.35">
      <c r="D605">
        <f t="shared" si="18"/>
        <v>0</v>
      </c>
      <c r="E605">
        <f t="shared" si="19"/>
        <v>0</v>
      </c>
    </row>
    <row r="606" spans="4:5" x14ac:dyDescent="0.35">
      <c r="D606">
        <f t="shared" si="18"/>
        <v>0</v>
      </c>
      <c r="E606">
        <f t="shared" si="19"/>
        <v>0</v>
      </c>
    </row>
    <row r="607" spans="4:5" x14ac:dyDescent="0.35">
      <c r="D607">
        <f t="shared" si="18"/>
        <v>0</v>
      </c>
      <c r="E607">
        <f t="shared" si="19"/>
        <v>0</v>
      </c>
    </row>
    <row r="608" spans="4:5" x14ac:dyDescent="0.35">
      <c r="D608">
        <f t="shared" si="18"/>
        <v>0</v>
      </c>
      <c r="E608">
        <f t="shared" si="19"/>
        <v>0</v>
      </c>
    </row>
    <row r="609" spans="4:5" x14ac:dyDescent="0.35">
      <c r="D609">
        <f t="shared" si="18"/>
        <v>0</v>
      </c>
      <c r="E609">
        <f t="shared" si="19"/>
        <v>0</v>
      </c>
    </row>
    <row r="610" spans="4:5" x14ac:dyDescent="0.35">
      <c r="D610">
        <f t="shared" si="18"/>
        <v>0</v>
      </c>
      <c r="E610">
        <f t="shared" si="19"/>
        <v>0</v>
      </c>
    </row>
    <row r="611" spans="4:5" x14ac:dyDescent="0.35">
      <c r="D611">
        <f t="shared" si="18"/>
        <v>0</v>
      </c>
      <c r="E611">
        <f t="shared" si="19"/>
        <v>0</v>
      </c>
    </row>
    <row r="612" spans="4:5" x14ac:dyDescent="0.35">
      <c r="D612">
        <f t="shared" si="18"/>
        <v>0</v>
      </c>
      <c r="E612">
        <f t="shared" si="19"/>
        <v>0</v>
      </c>
    </row>
    <row r="613" spans="4:5" x14ac:dyDescent="0.35">
      <c r="D613">
        <f t="shared" si="18"/>
        <v>0</v>
      </c>
      <c r="E613">
        <f t="shared" si="19"/>
        <v>0</v>
      </c>
    </row>
    <row r="614" spans="4:5" x14ac:dyDescent="0.35">
      <c r="D614">
        <f t="shared" si="18"/>
        <v>0</v>
      </c>
      <c r="E614">
        <f t="shared" si="19"/>
        <v>0</v>
      </c>
    </row>
    <row r="615" spans="4:5" x14ac:dyDescent="0.35">
      <c r="D615">
        <f t="shared" si="18"/>
        <v>0</v>
      </c>
      <c r="E615">
        <f t="shared" si="19"/>
        <v>0</v>
      </c>
    </row>
    <row r="616" spans="4:5" x14ac:dyDescent="0.35">
      <c r="D616">
        <f t="shared" si="18"/>
        <v>0</v>
      </c>
      <c r="E616">
        <f t="shared" si="19"/>
        <v>0</v>
      </c>
    </row>
    <row r="617" spans="4:5" x14ac:dyDescent="0.35">
      <c r="D617">
        <f t="shared" si="18"/>
        <v>0</v>
      </c>
      <c r="E617">
        <f t="shared" si="19"/>
        <v>0</v>
      </c>
    </row>
    <row r="618" spans="4:5" x14ac:dyDescent="0.35">
      <c r="D618">
        <f t="shared" si="18"/>
        <v>0</v>
      </c>
      <c r="E618">
        <f t="shared" si="19"/>
        <v>0</v>
      </c>
    </row>
    <row r="619" spans="4:5" x14ac:dyDescent="0.35">
      <c r="D619">
        <f t="shared" si="18"/>
        <v>0</v>
      </c>
      <c r="E619">
        <f t="shared" si="19"/>
        <v>0</v>
      </c>
    </row>
    <row r="620" spans="4:5" x14ac:dyDescent="0.35">
      <c r="D620">
        <f t="shared" si="18"/>
        <v>0</v>
      </c>
      <c r="E620">
        <f t="shared" si="19"/>
        <v>0</v>
      </c>
    </row>
    <row r="621" spans="4:5" x14ac:dyDescent="0.35">
      <c r="D621">
        <f t="shared" si="18"/>
        <v>0</v>
      </c>
      <c r="E621">
        <f t="shared" si="19"/>
        <v>0</v>
      </c>
    </row>
    <row r="622" spans="4:5" x14ac:dyDescent="0.35">
      <c r="D622">
        <f t="shared" si="18"/>
        <v>0</v>
      </c>
      <c r="E622">
        <f t="shared" si="19"/>
        <v>0</v>
      </c>
    </row>
    <row r="623" spans="4:5" x14ac:dyDescent="0.35">
      <c r="D623">
        <f t="shared" si="18"/>
        <v>0</v>
      </c>
      <c r="E623">
        <f t="shared" si="19"/>
        <v>0</v>
      </c>
    </row>
    <row r="624" spans="4:5" x14ac:dyDescent="0.35">
      <c r="D624">
        <f t="shared" si="18"/>
        <v>0</v>
      </c>
      <c r="E624">
        <f t="shared" si="19"/>
        <v>0</v>
      </c>
    </row>
    <row r="625" spans="4:5" x14ac:dyDescent="0.35">
      <c r="D625">
        <f t="shared" si="18"/>
        <v>0</v>
      </c>
      <c r="E625">
        <f t="shared" si="19"/>
        <v>0</v>
      </c>
    </row>
    <row r="626" spans="4:5" x14ac:dyDescent="0.35">
      <c r="D626">
        <f t="shared" si="18"/>
        <v>0</v>
      </c>
      <c r="E626">
        <f t="shared" si="19"/>
        <v>0</v>
      </c>
    </row>
    <row r="627" spans="4:5" x14ac:dyDescent="0.35">
      <c r="D627">
        <f t="shared" si="18"/>
        <v>0</v>
      </c>
      <c r="E627">
        <f t="shared" si="19"/>
        <v>0</v>
      </c>
    </row>
    <row r="628" spans="4:5" x14ac:dyDescent="0.35">
      <c r="D628">
        <f t="shared" si="18"/>
        <v>0</v>
      </c>
      <c r="E628">
        <f t="shared" si="19"/>
        <v>0</v>
      </c>
    </row>
    <row r="629" spans="4:5" x14ac:dyDescent="0.35">
      <c r="D629">
        <f t="shared" si="18"/>
        <v>0</v>
      </c>
      <c r="E629">
        <f t="shared" si="19"/>
        <v>0</v>
      </c>
    </row>
    <row r="630" spans="4:5" x14ac:dyDescent="0.35">
      <c r="D630">
        <f t="shared" si="18"/>
        <v>0</v>
      </c>
      <c r="E630">
        <f t="shared" si="19"/>
        <v>0</v>
      </c>
    </row>
    <row r="631" spans="4:5" x14ac:dyDescent="0.35">
      <c r="D631">
        <f t="shared" si="18"/>
        <v>0</v>
      </c>
      <c r="E631">
        <f t="shared" si="19"/>
        <v>0</v>
      </c>
    </row>
    <row r="632" spans="4:5" x14ac:dyDescent="0.35">
      <c r="D632">
        <f t="shared" si="18"/>
        <v>0</v>
      </c>
      <c r="E632">
        <f t="shared" si="19"/>
        <v>0</v>
      </c>
    </row>
    <row r="633" spans="4:5" x14ac:dyDescent="0.35">
      <c r="D633">
        <f t="shared" si="18"/>
        <v>0</v>
      </c>
      <c r="E633">
        <f t="shared" si="19"/>
        <v>0</v>
      </c>
    </row>
    <row r="634" spans="4:5" x14ac:dyDescent="0.35">
      <c r="D634">
        <f t="shared" si="18"/>
        <v>0</v>
      </c>
      <c r="E634">
        <f t="shared" si="19"/>
        <v>0</v>
      </c>
    </row>
    <row r="635" spans="4:5" x14ac:dyDescent="0.35">
      <c r="D635">
        <f t="shared" si="18"/>
        <v>0</v>
      </c>
      <c r="E635">
        <f t="shared" si="19"/>
        <v>0</v>
      </c>
    </row>
    <row r="636" spans="4:5" x14ac:dyDescent="0.35">
      <c r="D636">
        <f t="shared" si="18"/>
        <v>0</v>
      </c>
      <c r="E636">
        <f t="shared" si="19"/>
        <v>0</v>
      </c>
    </row>
    <row r="637" spans="4:5" x14ac:dyDescent="0.35">
      <c r="D637">
        <f t="shared" si="18"/>
        <v>0</v>
      </c>
      <c r="E637">
        <f t="shared" si="19"/>
        <v>0</v>
      </c>
    </row>
    <row r="638" spans="4:5" x14ac:dyDescent="0.35">
      <c r="D638">
        <f t="shared" si="18"/>
        <v>0</v>
      </c>
      <c r="E638">
        <f t="shared" si="19"/>
        <v>0</v>
      </c>
    </row>
    <row r="639" spans="4:5" x14ac:dyDescent="0.35">
      <c r="D639">
        <f t="shared" si="18"/>
        <v>0</v>
      </c>
      <c r="E639">
        <f t="shared" si="19"/>
        <v>0</v>
      </c>
    </row>
    <row r="640" spans="4:5" x14ac:dyDescent="0.35">
      <c r="D640">
        <f t="shared" si="18"/>
        <v>0</v>
      </c>
      <c r="E640">
        <f t="shared" si="19"/>
        <v>0</v>
      </c>
    </row>
    <row r="641" spans="4:5" x14ac:dyDescent="0.35">
      <c r="D641">
        <f t="shared" si="18"/>
        <v>0</v>
      </c>
      <c r="E641">
        <f t="shared" si="19"/>
        <v>0</v>
      </c>
    </row>
    <row r="642" spans="4:5" x14ac:dyDescent="0.35">
      <c r="D642">
        <f t="shared" si="18"/>
        <v>0</v>
      </c>
      <c r="E642">
        <f t="shared" si="19"/>
        <v>0</v>
      </c>
    </row>
    <row r="643" spans="4:5" x14ac:dyDescent="0.35">
      <c r="D643">
        <f t="shared" si="18"/>
        <v>0</v>
      </c>
      <c r="E643">
        <f t="shared" si="19"/>
        <v>0</v>
      </c>
    </row>
    <row r="644" spans="4:5" x14ac:dyDescent="0.35">
      <c r="D644">
        <f t="shared" si="18"/>
        <v>0</v>
      </c>
      <c r="E644">
        <f t="shared" si="19"/>
        <v>0</v>
      </c>
    </row>
    <row r="645" spans="4:5" x14ac:dyDescent="0.35">
      <c r="D645">
        <f t="shared" ref="D645:D708" si="20">A645</f>
        <v>0</v>
      </c>
      <c r="E645">
        <f t="shared" ref="E645:E708" si="21">B645</f>
        <v>0</v>
      </c>
    </row>
    <row r="646" spans="4:5" x14ac:dyDescent="0.35">
      <c r="D646">
        <f t="shared" si="20"/>
        <v>0</v>
      </c>
      <c r="E646">
        <f t="shared" si="21"/>
        <v>0</v>
      </c>
    </row>
    <row r="647" spans="4:5" x14ac:dyDescent="0.35">
      <c r="D647">
        <f t="shared" si="20"/>
        <v>0</v>
      </c>
      <c r="E647">
        <f t="shared" si="21"/>
        <v>0</v>
      </c>
    </row>
    <row r="648" spans="4:5" x14ac:dyDescent="0.35">
      <c r="D648">
        <f t="shared" si="20"/>
        <v>0</v>
      </c>
      <c r="E648">
        <f t="shared" si="21"/>
        <v>0</v>
      </c>
    </row>
    <row r="649" spans="4:5" x14ac:dyDescent="0.35">
      <c r="D649">
        <f t="shared" si="20"/>
        <v>0</v>
      </c>
      <c r="E649">
        <f t="shared" si="21"/>
        <v>0</v>
      </c>
    </row>
    <row r="650" spans="4:5" x14ac:dyDescent="0.35">
      <c r="D650">
        <f t="shared" si="20"/>
        <v>0</v>
      </c>
      <c r="E650">
        <f t="shared" si="21"/>
        <v>0</v>
      </c>
    </row>
    <row r="651" spans="4:5" x14ac:dyDescent="0.35">
      <c r="D651">
        <f t="shared" si="20"/>
        <v>0</v>
      </c>
      <c r="E651">
        <f t="shared" si="21"/>
        <v>0</v>
      </c>
    </row>
    <row r="652" spans="4:5" x14ac:dyDescent="0.35">
      <c r="D652">
        <f t="shared" si="20"/>
        <v>0</v>
      </c>
      <c r="E652">
        <f t="shared" si="21"/>
        <v>0</v>
      </c>
    </row>
    <row r="653" spans="4:5" x14ac:dyDescent="0.35">
      <c r="D653">
        <f t="shared" si="20"/>
        <v>0</v>
      </c>
      <c r="E653">
        <f t="shared" si="21"/>
        <v>0</v>
      </c>
    </row>
    <row r="654" spans="4:5" x14ac:dyDescent="0.35">
      <c r="D654">
        <f t="shared" si="20"/>
        <v>0</v>
      </c>
      <c r="E654">
        <f t="shared" si="21"/>
        <v>0</v>
      </c>
    </row>
    <row r="655" spans="4:5" x14ac:dyDescent="0.35">
      <c r="D655">
        <f t="shared" si="20"/>
        <v>0</v>
      </c>
      <c r="E655">
        <f t="shared" si="21"/>
        <v>0</v>
      </c>
    </row>
    <row r="656" spans="4:5" x14ac:dyDescent="0.35">
      <c r="D656">
        <f t="shared" si="20"/>
        <v>0</v>
      </c>
      <c r="E656">
        <f t="shared" si="21"/>
        <v>0</v>
      </c>
    </row>
    <row r="657" spans="4:5" x14ac:dyDescent="0.35">
      <c r="D657">
        <f t="shared" si="20"/>
        <v>0</v>
      </c>
      <c r="E657">
        <f t="shared" si="21"/>
        <v>0</v>
      </c>
    </row>
    <row r="658" spans="4:5" x14ac:dyDescent="0.35">
      <c r="D658">
        <f t="shared" si="20"/>
        <v>0</v>
      </c>
      <c r="E658">
        <f t="shared" si="21"/>
        <v>0</v>
      </c>
    </row>
    <row r="659" spans="4:5" x14ac:dyDescent="0.35">
      <c r="D659">
        <f t="shared" si="20"/>
        <v>0</v>
      </c>
      <c r="E659">
        <f t="shared" si="21"/>
        <v>0</v>
      </c>
    </row>
    <row r="660" spans="4:5" x14ac:dyDescent="0.35">
      <c r="D660">
        <f t="shared" si="20"/>
        <v>0</v>
      </c>
      <c r="E660">
        <f t="shared" si="21"/>
        <v>0</v>
      </c>
    </row>
    <row r="661" spans="4:5" x14ac:dyDescent="0.35">
      <c r="D661">
        <f t="shared" si="20"/>
        <v>0</v>
      </c>
      <c r="E661">
        <f t="shared" si="21"/>
        <v>0</v>
      </c>
    </row>
    <row r="662" spans="4:5" x14ac:dyDescent="0.35">
      <c r="D662">
        <f t="shared" si="20"/>
        <v>0</v>
      </c>
      <c r="E662">
        <f t="shared" si="21"/>
        <v>0</v>
      </c>
    </row>
    <row r="663" spans="4:5" x14ac:dyDescent="0.35">
      <c r="D663">
        <f t="shared" si="20"/>
        <v>0</v>
      </c>
      <c r="E663">
        <f t="shared" si="21"/>
        <v>0</v>
      </c>
    </row>
    <row r="664" spans="4:5" x14ac:dyDescent="0.35">
      <c r="D664">
        <f t="shared" si="20"/>
        <v>0</v>
      </c>
      <c r="E664">
        <f t="shared" si="21"/>
        <v>0</v>
      </c>
    </row>
    <row r="665" spans="4:5" x14ac:dyDescent="0.35">
      <c r="D665">
        <f t="shared" si="20"/>
        <v>0</v>
      </c>
      <c r="E665">
        <f t="shared" si="21"/>
        <v>0</v>
      </c>
    </row>
    <row r="666" spans="4:5" x14ac:dyDescent="0.35">
      <c r="D666">
        <f t="shared" si="20"/>
        <v>0</v>
      </c>
      <c r="E666">
        <f t="shared" si="21"/>
        <v>0</v>
      </c>
    </row>
    <row r="667" spans="4:5" x14ac:dyDescent="0.35">
      <c r="D667">
        <f t="shared" si="20"/>
        <v>0</v>
      </c>
      <c r="E667">
        <f t="shared" si="21"/>
        <v>0</v>
      </c>
    </row>
    <row r="668" spans="4:5" x14ac:dyDescent="0.35">
      <c r="D668">
        <f t="shared" si="20"/>
        <v>0</v>
      </c>
      <c r="E668">
        <f t="shared" si="21"/>
        <v>0</v>
      </c>
    </row>
    <row r="669" spans="4:5" x14ac:dyDescent="0.35">
      <c r="D669">
        <f t="shared" si="20"/>
        <v>0</v>
      </c>
      <c r="E669">
        <f t="shared" si="21"/>
        <v>0</v>
      </c>
    </row>
    <row r="670" spans="4:5" x14ac:dyDescent="0.35">
      <c r="D670">
        <f t="shared" si="20"/>
        <v>0</v>
      </c>
      <c r="E670">
        <f t="shared" si="21"/>
        <v>0</v>
      </c>
    </row>
    <row r="671" spans="4:5" x14ac:dyDescent="0.35">
      <c r="D671">
        <f t="shared" si="20"/>
        <v>0</v>
      </c>
      <c r="E671">
        <f t="shared" si="21"/>
        <v>0</v>
      </c>
    </row>
    <row r="672" spans="4:5" x14ac:dyDescent="0.35">
      <c r="D672">
        <f t="shared" si="20"/>
        <v>0</v>
      </c>
      <c r="E672">
        <f t="shared" si="21"/>
        <v>0</v>
      </c>
    </row>
    <row r="673" spans="4:5" x14ac:dyDescent="0.35">
      <c r="D673">
        <f t="shared" si="20"/>
        <v>0</v>
      </c>
      <c r="E673">
        <f t="shared" si="21"/>
        <v>0</v>
      </c>
    </row>
    <row r="674" spans="4:5" x14ac:dyDescent="0.35">
      <c r="D674">
        <f t="shared" si="20"/>
        <v>0</v>
      </c>
      <c r="E674">
        <f t="shared" si="21"/>
        <v>0</v>
      </c>
    </row>
    <row r="675" spans="4:5" x14ac:dyDescent="0.35">
      <c r="D675">
        <f t="shared" si="20"/>
        <v>0</v>
      </c>
      <c r="E675">
        <f t="shared" si="21"/>
        <v>0</v>
      </c>
    </row>
    <row r="676" spans="4:5" x14ac:dyDescent="0.35">
      <c r="D676">
        <f t="shared" si="20"/>
        <v>0</v>
      </c>
      <c r="E676">
        <f t="shared" si="21"/>
        <v>0</v>
      </c>
    </row>
    <row r="677" spans="4:5" x14ac:dyDescent="0.35">
      <c r="D677">
        <f t="shared" si="20"/>
        <v>0</v>
      </c>
      <c r="E677">
        <f t="shared" si="21"/>
        <v>0</v>
      </c>
    </row>
    <row r="678" spans="4:5" x14ac:dyDescent="0.35">
      <c r="D678">
        <f t="shared" si="20"/>
        <v>0</v>
      </c>
      <c r="E678">
        <f t="shared" si="21"/>
        <v>0</v>
      </c>
    </row>
    <row r="679" spans="4:5" x14ac:dyDescent="0.35">
      <c r="D679">
        <f t="shared" si="20"/>
        <v>0</v>
      </c>
      <c r="E679">
        <f t="shared" si="21"/>
        <v>0</v>
      </c>
    </row>
    <row r="680" spans="4:5" x14ac:dyDescent="0.35">
      <c r="D680">
        <f t="shared" si="20"/>
        <v>0</v>
      </c>
      <c r="E680">
        <f t="shared" si="21"/>
        <v>0</v>
      </c>
    </row>
    <row r="681" spans="4:5" x14ac:dyDescent="0.35">
      <c r="D681">
        <f t="shared" si="20"/>
        <v>0</v>
      </c>
      <c r="E681">
        <f t="shared" si="21"/>
        <v>0</v>
      </c>
    </row>
    <row r="682" spans="4:5" x14ac:dyDescent="0.35">
      <c r="D682">
        <f t="shared" si="20"/>
        <v>0</v>
      </c>
      <c r="E682">
        <f t="shared" si="21"/>
        <v>0</v>
      </c>
    </row>
    <row r="683" spans="4:5" x14ac:dyDescent="0.35">
      <c r="D683">
        <f t="shared" si="20"/>
        <v>0</v>
      </c>
      <c r="E683">
        <f t="shared" si="21"/>
        <v>0</v>
      </c>
    </row>
    <row r="684" spans="4:5" x14ac:dyDescent="0.35">
      <c r="D684">
        <f t="shared" si="20"/>
        <v>0</v>
      </c>
      <c r="E684">
        <f t="shared" si="21"/>
        <v>0</v>
      </c>
    </row>
    <row r="685" spans="4:5" x14ac:dyDescent="0.35">
      <c r="D685">
        <f t="shared" si="20"/>
        <v>0</v>
      </c>
      <c r="E685">
        <f t="shared" si="21"/>
        <v>0</v>
      </c>
    </row>
    <row r="686" spans="4:5" x14ac:dyDescent="0.35">
      <c r="D686">
        <f t="shared" si="20"/>
        <v>0</v>
      </c>
      <c r="E686">
        <f t="shared" si="21"/>
        <v>0</v>
      </c>
    </row>
    <row r="687" spans="4:5" x14ac:dyDescent="0.35">
      <c r="D687">
        <f t="shared" si="20"/>
        <v>0</v>
      </c>
      <c r="E687">
        <f t="shared" si="21"/>
        <v>0</v>
      </c>
    </row>
    <row r="688" spans="4:5" x14ac:dyDescent="0.35">
      <c r="D688">
        <f t="shared" si="20"/>
        <v>0</v>
      </c>
      <c r="E688">
        <f t="shared" si="21"/>
        <v>0</v>
      </c>
    </row>
    <row r="689" spans="4:5" x14ac:dyDescent="0.35">
      <c r="D689">
        <f t="shared" si="20"/>
        <v>0</v>
      </c>
      <c r="E689">
        <f t="shared" si="21"/>
        <v>0</v>
      </c>
    </row>
    <row r="690" spans="4:5" x14ac:dyDescent="0.35">
      <c r="D690">
        <f t="shared" si="20"/>
        <v>0</v>
      </c>
      <c r="E690">
        <f t="shared" si="21"/>
        <v>0</v>
      </c>
    </row>
    <row r="691" spans="4:5" x14ac:dyDescent="0.35">
      <c r="D691">
        <f t="shared" si="20"/>
        <v>0</v>
      </c>
      <c r="E691">
        <f t="shared" si="21"/>
        <v>0</v>
      </c>
    </row>
    <row r="692" spans="4:5" x14ac:dyDescent="0.35">
      <c r="D692">
        <f t="shared" si="20"/>
        <v>0</v>
      </c>
      <c r="E692">
        <f t="shared" si="21"/>
        <v>0</v>
      </c>
    </row>
    <row r="693" spans="4:5" x14ac:dyDescent="0.35">
      <c r="D693">
        <f t="shared" si="20"/>
        <v>0</v>
      </c>
      <c r="E693">
        <f t="shared" si="21"/>
        <v>0</v>
      </c>
    </row>
    <row r="694" spans="4:5" x14ac:dyDescent="0.35">
      <c r="D694">
        <f t="shared" si="20"/>
        <v>0</v>
      </c>
      <c r="E694">
        <f t="shared" si="21"/>
        <v>0</v>
      </c>
    </row>
    <row r="695" spans="4:5" x14ac:dyDescent="0.35">
      <c r="D695">
        <f t="shared" si="20"/>
        <v>0</v>
      </c>
      <c r="E695">
        <f t="shared" si="21"/>
        <v>0</v>
      </c>
    </row>
    <row r="696" spans="4:5" x14ac:dyDescent="0.35">
      <c r="D696">
        <f t="shared" si="20"/>
        <v>0</v>
      </c>
      <c r="E696">
        <f t="shared" si="21"/>
        <v>0</v>
      </c>
    </row>
    <row r="697" spans="4:5" x14ac:dyDescent="0.35">
      <c r="D697">
        <f t="shared" si="20"/>
        <v>0</v>
      </c>
      <c r="E697">
        <f t="shared" si="21"/>
        <v>0</v>
      </c>
    </row>
    <row r="698" spans="4:5" x14ac:dyDescent="0.35">
      <c r="D698">
        <f t="shared" si="20"/>
        <v>0</v>
      </c>
      <c r="E698">
        <f t="shared" si="21"/>
        <v>0</v>
      </c>
    </row>
    <row r="699" spans="4:5" x14ac:dyDescent="0.35">
      <c r="D699">
        <f t="shared" si="20"/>
        <v>0</v>
      </c>
      <c r="E699">
        <f t="shared" si="21"/>
        <v>0</v>
      </c>
    </row>
    <row r="700" spans="4:5" x14ac:dyDescent="0.35">
      <c r="D700">
        <f t="shared" si="20"/>
        <v>0</v>
      </c>
      <c r="E700">
        <f t="shared" si="21"/>
        <v>0</v>
      </c>
    </row>
    <row r="701" spans="4:5" x14ac:dyDescent="0.35">
      <c r="D701">
        <f t="shared" si="20"/>
        <v>0</v>
      </c>
      <c r="E701">
        <f t="shared" si="21"/>
        <v>0</v>
      </c>
    </row>
    <row r="702" spans="4:5" x14ac:dyDescent="0.35">
      <c r="D702">
        <f t="shared" si="20"/>
        <v>0</v>
      </c>
      <c r="E702">
        <f t="shared" si="21"/>
        <v>0</v>
      </c>
    </row>
    <row r="703" spans="4:5" x14ac:dyDescent="0.35">
      <c r="D703">
        <f t="shared" si="20"/>
        <v>0</v>
      </c>
      <c r="E703">
        <f t="shared" si="21"/>
        <v>0</v>
      </c>
    </row>
    <row r="704" spans="4:5" x14ac:dyDescent="0.35">
      <c r="D704">
        <f t="shared" si="20"/>
        <v>0</v>
      </c>
      <c r="E704">
        <f t="shared" si="21"/>
        <v>0</v>
      </c>
    </row>
    <row r="705" spans="4:5" x14ac:dyDescent="0.35">
      <c r="D705">
        <f t="shared" si="20"/>
        <v>0</v>
      </c>
      <c r="E705">
        <f t="shared" si="21"/>
        <v>0</v>
      </c>
    </row>
    <row r="706" spans="4:5" x14ac:dyDescent="0.35">
      <c r="D706">
        <f t="shared" si="20"/>
        <v>0</v>
      </c>
      <c r="E706">
        <f t="shared" si="21"/>
        <v>0</v>
      </c>
    </row>
    <row r="707" spans="4:5" x14ac:dyDescent="0.35">
      <c r="D707">
        <f t="shared" si="20"/>
        <v>0</v>
      </c>
      <c r="E707">
        <f t="shared" si="21"/>
        <v>0</v>
      </c>
    </row>
    <row r="708" spans="4:5" x14ac:dyDescent="0.35">
      <c r="D708">
        <f t="shared" si="20"/>
        <v>0</v>
      </c>
      <c r="E708">
        <f t="shared" si="21"/>
        <v>0</v>
      </c>
    </row>
    <row r="709" spans="4:5" x14ac:dyDescent="0.35">
      <c r="D709">
        <f t="shared" ref="D709:D772" si="22">A709</f>
        <v>0</v>
      </c>
      <c r="E709">
        <f t="shared" ref="E709:E772" si="23">B709</f>
        <v>0</v>
      </c>
    </row>
    <row r="710" spans="4:5" x14ac:dyDescent="0.35">
      <c r="D710">
        <f t="shared" si="22"/>
        <v>0</v>
      </c>
      <c r="E710">
        <f t="shared" si="23"/>
        <v>0</v>
      </c>
    </row>
    <row r="711" spans="4:5" x14ac:dyDescent="0.35">
      <c r="D711">
        <f t="shared" si="22"/>
        <v>0</v>
      </c>
      <c r="E711">
        <f t="shared" si="23"/>
        <v>0</v>
      </c>
    </row>
    <row r="712" spans="4:5" x14ac:dyDescent="0.35">
      <c r="D712">
        <f t="shared" si="22"/>
        <v>0</v>
      </c>
      <c r="E712">
        <f t="shared" si="23"/>
        <v>0</v>
      </c>
    </row>
    <row r="713" spans="4:5" x14ac:dyDescent="0.35">
      <c r="D713">
        <f t="shared" si="22"/>
        <v>0</v>
      </c>
      <c r="E713">
        <f t="shared" si="23"/>
        <v>0</v>
      </c>
    </row>
    <row r="714" spans="4:5" x14ac:dyDescent="0.35">
      <c r="D714">
        <f t="shared" si="22"/>
        <v>0</v>
      </c>
      <c r="E714">
        <f t="shared" si="23"/>
        <v>0</v>
      </c>
    </row>
    <row r="715" spans="4:5" x14ac:dyDescent="0.35">
      <c r="D715">
        <f t="shared" si="22"/>
        <v>0</v>
      </c>
      <c r="E715">
        <f t="shared" si="23"/>
        <v>0</v>
      </c>
    </row>
    <row r="716" spans="4:5" x14ac:dyDescent="0.35">
      <c r="D716">
        <f t="shared" si="22"/>
        <v>0</v>
      </c>
      <c r="E716">
        <f t="shared" si="23"/>
        <v>0</v>
      </c>
    </row>
    <row r="717" spans="4:5" x14ac:dyDescent="0.35">
      <c r="D717">
        <f t="shared" si="22"/>
        <v>0</v>
      </c>
      <c r="E717">
        <f t="shared" si="23"/>
        <v>0</v>
      </c>
    </row>
    <row r="718" spans="4:5" x14ac:dyDescent="0.35">
      <c r="D718">
        <f t="shared" si="22"/>
        <v>0</v>
      </c>
      <c r="E718">
        <f t="shared" si="23"/>
        <v>0</v>
      </c>
    </row>
    <row r="719" spans="4:5" x14ac:dyDescent="0.35">
      <c r="D719">
        <f t="shared" si="22"/>
        <v>0</v>
      </c>
      <c r="E719">
        <f t="shared" si="23"/>
        <v>0</v>
      </c>
    </row>
    <row r="720" spans="4:5" x14ac:dyDescent="0.35">
      <c r="D720">
        <f t="shared" si="22"/>
        <v>0</v>
      </c>
      <c r="E720">
        <f t="shared" si="23"/>
        <v>0</v>
      </c>
    </row>
    <row r="721" spans="4:5" x14ac:dyDescent="0.35">
      <c r="D721">
        <f t="shared" si="22"/>
        <v>0</v>
      </c>
      <c r="E721">
        <f t="shared" si="23"/>
        <v>0</v>
      </c>
    </row>
    <row r="722" spans="4:5" x14ac:dyDescent="0.35">
      <c r="D722">
        <f t="shared" si="22"/>
        <v>0</v>
      </c>
      <c r="E722">
        <f t="shared" si="23"/>
        <v>0</v>
      </c>
    </row>
    <row r="723" spans="4:5" x14ac:dyDescent="0.35">
      <c r="D723">
        <f t="shared" si="22"/>
        <v>0</v>
      </c>
      <c r="E723">
        <f t="shared" si="23"/>
        <v>0</v>
      </c>
    </row>
    <row r="724" spans="4:5" x14ac:dyDescent="0.35">
      <c r="D724">
        <f t="shared" si="22"/>
        <v>0</v>
      </c>
      <c r="E724">
        <f t="shared" si="23"/>
        <v>0</v>
      </c>
    </row>
    <row r="725" spans="4:5" x14ac:dyDescent="0.35">
      <c r="D725">
        <f t="shared" si="22"/>
        <v>0</v>
      </c>
      <c r="E725">
        <f t="shared" si="23"/>
        <v>0</v>
      </c>
    </row>
    <row r="726" spans="4:5" x14ac:dyDescent="0.35">
      <c r="D726">
        <f t="shared" si="22"/>
        <v>0</v>
      </c>
      <c r="E726">
        <f t="shared" si="23"/>
        <v>0</v>
      </c>
    </row>
    <row r="727" spans="4:5" x14ac:dyDescent="0.35">
      <c r="D727">
        <f t="shared" si="22"/>
        <v>0</v>
      </c>
      <c r="E727">
        <f t="shared" si="23"/>
        <v>0</v>
      </c>
    </row>
    <row r="728" spans="4:5" x14ac:dyDescent="0.35">
      <c r="D728">
        <f t="shared" si="22"/>
        <v>0</v>
      </c>
      <c r="E728">
        <f t="shared" si="23"/>
        <v>0</v>
      </c>
    </row>
    <row r="729" spans="4:5" x14ac:dyDescent="0.35">
      <c r="D729">
        <f t="shared" si="22"/>
        <v>0</v>
      </c>
      <c r="E729">
        <f t="shared" si="23"/>
        <v>0</v>
      </c>
    </row>
    <row r="730" spans="4:5" x14ac:dyDescent="0.35">
      <c r="D730">
        <f t="shared" si="22"/>
        <v>0</v>
      </c>
      <c r="E730">
        <f t="shared" si="23"/>
        <v>0</v>
      </c>
    </row>
    <row r="731" spans="4:5" x14ac:dyDescent="0.35">
      <c r="D731">
        <f t="shared" si="22"/>
        <v>0</v>
      </c>
      <c r="E731">
        <f t="shared" si="23"/>
        <v>0</v>
      </c>
    </row>
    <row r="732" spans="4:5" x14ac:dyDescent="0.35">
      <c r="D732">
        <f t="shared" si="22"/>
        <v>0</v>
      </c>
      <c r="E732">
        <f t="shared" si="23"/>
        <v>0</v>
      </c>
    </row>
    <row r="733" spans="4:5" x14ac:dyDescent="0.35">
      <c r="D733">
        <f t="shared" si="22"/>
        <v>0</v>
      </c>
      <c r="E733">
        <f t="shared" si="23"/>
        <v>0</v>
      </c>
    </row>
    <row r="734" spans="4:5" x14ac:dyDescent="0.35">
      <c r="D734">
        <f t="shared" si="22"/>
        <v>0</v>
      </c>
      <c r="E734">
        <f t="shared" si="23"/>
        <v>0</v>
      </c>
    </row>
    <row r="735" spans="4:5" x14ac:dyDescent="0.35">
      <c r="D735">
        <f t="shared" si="22"/>
        <v>0</v>
      </c>
      <c r="E735">
        <f t="shared" si="23"/>
        <v>0</v>
      </c>
    </row>
    <row r="736" spans="4:5" x14ac:dyDescent="0.35">
      <c r="D736">
        <f t="shared" si="22"/>
        <v>0</v>
      </c>
      <c r="E736">
        <f t="shared" si="23"/>
        <v>0</v>
      </c>
    </row>
    <row r="737" spans="4:5" x14ac:dyDescent="0.35">
      <c r="D737">
        <f t="shared" si="22"/>
        <v>0</v>
      </c>
      <c r="E737">
        <f t="shared" si="23"/>
        <v>0</v>
      </c>
    </row>
    <row r="738" spans="4:5" x14ac:dyDescent="0.35">
      <c r="D738">
        <f t="shared" si="22"/>
        <v>0</v>
      </c>
      <c r="E738">
        <f t="shared" si="23"/>
        <v>0</v>
      </c>
    </row>
    <row r="739" spans="4:5" x14ac:dyDescent="0.35">
      <c r="D739">
        <f t="shared" si="22"/>
        <v>0</v>
      </c>
      <c r="E739">
        <f t="shared" si="23"/>
        <v>0</v>
      </c>
    </row>
    <row r="740" spans="4:5" x14ac:dyDescent="0.35">
      <c r="D740">
        <f t="shared" si="22"/>
        <v>0</v>
      </c>
      <c r="E740">
        <f t="shared" si="23"/>
        <v>0</v>
      </c>
    </row>
    <row r="741" spans="4:5" x14ac:dyDescent="0.35">
      <c r="D741">
        <f t="shared" si="22"/>
        <v>0</v>
      </c>
      <c r="E741">
        <f t="shared" si="23"/>
        <v>0</v>
      </c>
    </row>
    <row r="742" spans="4:5" x14ac:dyDescent="0.35">
      <c r="D742">
        <f t="shared" si="22"/>
        <v>0</v>
      </c>
      <c r="E742">
        <f t="shared" si="23"/>
        <v>0</v>
      </c>
    </row>
    <row r="743" spans="4:5" x14ac:dyDescent="0.35">
      <c r="D743">
        <f t="shared" si="22"/>
        <v>0</v>
      </c>
      <c r="E743">
        <f t="shared" si="23"/>
        <v>0</v>
      </c>
    </row>
    <row r="744" spans="4:5" x14ac:dyDescent="0.35">
      <c r="D744">
        <f t="shared" si="22"/>
        <v>0</v>
      </c>
      <c r="E744">
        <f t="shared" si="23"/>
        <v>0</v>
      </c>
    </row>
    <row r="745" spans="4:5" x14ac:dyDescent="0.35">
      <c r="D745">
        <f t="shared" si="22"/>
        <v>0</v>
      </c>
      <c r="E745">
        <f t="shared" si="23"/>
        <v>0</v>
      </c>
    </row>
    <row r="746" spans="4:5" x14ac:dyDescent="0.35">
      <c r="D746">
        <f t="shared" si="22"/>
        <v>0</v>
      </c>
      <c r="E746">
        <f t="shared" si="23"/>
        <v>0</v>
      </c>
    </row>
    <row r="747" spans="4:5" x14ac:dyDescent="0.35">
      <c r="D747">
        <f t="shared" si="22"/>
        <v>0</v>
      </c>
      <c r="E747">
        <f t="shared" si="23"/>
        <v>0</v>
      </c>
    </row>
    <row r="748" spans="4:5" x14ac:dyDescent="0.35">
      <c r="D748">
        <f t="shared" si="22"/>
        <v>0</v>
      </c>
      <c r="E748">
        <f t="shared" si="23"/>
        <v>0</v>
      </c>
    </row>
    <row r="749" spans="4:5" x14ac:dyDescent="0.35">
      <c r="D749">
        <f t="shared" si="22"/>
        <v>0</v>
      </c>
      <c r="E749">
        <f t="shared" si="23"/>
        <v>0</v>
      </c>
    </row>
    <row r="750" spans="4:5" x14ac:dyDescent="0.35">
      <c r="D750">
        <f t="shared" si="22"/>
        <v>0</v>
      </c>
      <c r="E750">
        <f t="shared" si="23"/>
        <v>0</v>
      </c>
    </row>
    <row r="751" spans="4:5" x14ac:dyDescent="0.35">
      <c r="D751">
        <f t="shared" si="22"/>
        <v>0</v>
      </c>
      <c r="E751">
        <f t="shared" si="23"/>
        <v>0</v>
      </c>
    </row>
    <row r="752" spans="4:5" x14ac:dyDescent="0.35">
      <c r="D752">
        <f t="shared" si="22"/>
        <v>0</v>
      </c>
      <c r="E752">
        <f t="shared" si="23"/>
        <v>0</v>
      </c>
    </row>
    <row r="753" spans="4:5" x14ac:dyDescent="0.35">
      <c r="D753">
        <f t="shared" si="22"/>
        <v>0</v>
      </c>
      <c r="E753">
        <f t="shared" si="23"/>
        <v>0</v>
      </c>
    </row>
    <row r="754" spans="4:5" x14ac:dyDescent="0.35">
      <c r="D754">
        <f t="shared" si="22"/>
        <v>0</v>
      </c>
      <c r="E754">
        <f t="shared" si="23"/>
        <v>0</v>
      </c>
    </row>
    <row r="755" spans="4:5" x14ac:dyDescent="0.35">
      <c r="D755">
        <f t="shared" si="22"/>
        <v>0</v>
      </c>
      <c r="E755">
        <f t="shared" si="23"/>
        <v>0</v>
      </c>
    </row>
    <row r="756" spans="4:5" x14ac:dyDescent="0.35">
      <c r="D756">
        <f t="shared" si="22"/>
        <v>0</v>
      </c>
      <c r="E756">
        <f t="shared" si="23"/>
        <v>0</v>
      </c>
    </row>
    <row r="757" spans="4:5" x14ac:dyDescent="0.35">
      <c r="D757">
        <f t="shared" si="22"/>
        <v>0</v>
      </c>
      <c r="E757">
        <f t="shared" si="23"/>
        <v>0</v>
      </c>
    </row>
    <row r="758" spans="4:5" x14ac:dyDescent="0.35">
      <c r="D758">
        <f t="shared" si="22"/>
        <v>0</v>
      </c>
      <c r="E758">
        <f t="shared" si="23"/>
        <v>0</v>
      </c>
    </row>
    <row r="759" spans="4:5" x14ac:dyDescent="0.35">
      <c r="D759">
        <f t="shared" si="22"/>
        <v>0</v>
      </c>
      <c r="E759">
        <f t="shared" si="23"/>
        <v>0</v>
      </c>
    </row>
    <row r="760" spans="4:5" x14ac:dyDescent="0.35">
      <c r="D760">
        <f t="shared" si="22"/>
        <v>0</v>
      </c>
      <c r="E760">
        <f t="shared" si="23"/>
        <v>0</v>
      </c>
    </row>
    <row r="761" spans="4:5" x14ac:dyDescent="0.35">
      <c r="D761">
        <f t="shared" si="22"/>
        <v>0</v>
      </c>
      <c r="E761">
        <f t="shared" si="23"/>
        <v>0</v>
      </c>
    </row>
    <row r="762" spans="4:5" x14ac:dyDescent="0.35">
      <c r="D762">
        <f t="shared" si="22"/>
        <v>0</v>
      </c>
      <c r="E762">
        <f t="shared" si="23"/>
        <v>0</v>
      </c>
    </row>
    <row r="763" spans="4:5" x14ac:dyDescent="0.35">
      <c r="D763">
        <f t="shared" si="22"/>
        <v>0</v>
      </c>
      <c r="E763">
        <f t="shared" si="23"/>
        <v>0</v>
      </c>
    </row>
    <row r="764" spans="4:5" x14ac:dyDescent="0.35">
      <c r="D764">
        <f t="shared" si="22"/>
        <v>0</v>
      </c>
      <c r="E764">
        <f t="shared" si="23"/>
        <v>0</v>
      </c>
    </row>
    <row r="765" spans="4:5" x14ac:dyDescent="0.35">
      <c r="D765">
        <f t="shared" si="22"/>
        <v>0</v>
      </c>
      <c r="E765">
        <f t="shared" si="23"/>
        <v>0</v>
      </c>
    </row>
    <row r="766" spans="4:5" x14ac:dyDescent="0.35">
      <c r="D766">
        <f t="shared" si="22"/>
        <v>0</v>
      </c>
      <c r="E766">
        <f t="shared" si="23"/>
        <v>0</v>
      </c>
    </row>
    <row r="767" spans="4:5" x14ac:dyDescent="0.35">
      <c r="D767">
        <f t="shared" si="22"/>
        <v>0</v>
      </c>
      <c r="E767">
        <f t="shared" si="23"/>
        <v>0</v>
      </c>
    </row>
    <row r="768" spans="4:5" x14ac:dyDescent="0.35">
      <c r="D768">
        <f t="shared" si="22"/>
        <v>0</v>
      </c>
      <c r="E768">
        <f t="shared" si="23"/>
        <v>0</v>
      </c>
    </row>
    <row r="769" spans="4:5" x14ac:dyDescent="0.35">
      <c r="D769">
        <f t="shared" si="22"/>
        <v>0</v>
      </c>
      <c r="E769">
        <f t="shared" si="23"/>
        <v>0</v>
      </c>
    </row>
    <row r="770" spans="4:5" x14ac:dyDescent="0.35">
      <c r="D770">
        <f t="shared" si="22"/>
        <v>0</v>
      </c>
      <c r="E770">
        <f t="shared" si="23"/>
        <v>0</v>
      </c>
    </row>
    <row r="771" spans="4:5" x14ac:dyDescent="0.35">
      <c r="D771">
        <f t="shared" si="22"/>
        <v>0</v>
      </c>
      <c r="E771">
        <f t="shared" si="23"/>
        <v>0</v>
      </c>
    </row>
    <row r="772" spans="4:5" x14ac:dyDescent="0.35">
      <c r="D772">
        <f t="shared" si="22"/>
        <v>0</v>
      </c>
      <c r="E772">
        <f t="shared" si="23"/>
        <v>0</v>
      </c>
    </row>
    <row r="773" spans="4:5" x14ac:dyDescent="0.35">
      <c r="D773">
        <f t="shared" ref="D773:D836" si="24">A773</f>
        <v>0</v>
      </c>
      <c r="E773">
        <f t="shared" ref="E773:E836" si="25">B773</f>
        <v>0</v>
      </c>
    </row>
    <row r="774" spans="4:5" x14ac:dyDescent="0.35">
      <c r="D774">
        <f t="shared" si="24"/>
        <v>0</v>
      </c>
      <c r="E774">
        <f t="shared" si="25"/>
        <v>0</v>
      </c>
    </row>
    <row r="775" spans="4:5" x14ac:dyDescent="0.35">
      <c r="D775">
        <f t="shared" si="24"/>
        <v>0</v>
      </c>
      <c r="E775">
        <f t="shared" si="25"/>
        <v>0</v>
      </c>
    </row>
    <row r="776" spans="4:5" x14ac:dyDescent="0.35">
      <c r="D776">
        <f t="shared" si="24"/>
        <v>0</v>
      </c>
      <c r="E776">
        <f t="shared" si="25"/>
        <v>0</v>
      </c>
    </row>
    <row r="777" spans="4:5" x14ac:dyDescent="0.35">
      <c r="D777">
        <f t="shared" si="24"/>
        <v>0</v>
      </c>
      <c r="E777">
        <f t="shared" si="25"/>
        <v>0</v>
      </c>
    </row>
    <row r="778" spans="4:5" x14ac:dyDescent="0.35">
      <c r="D778">
        <f t="shared" si="24"/>
        <v>0</v>
      </c>
      <c r="E778">
        <f t="shared" si="25"/>
        <v>0</v>
      </c>
    </row>
    <row r="779" spans="4:5" x14ac:dyDescent="0.35">
      <c r="D779">
        <f t="shared" si="24"/>
        <v>0</v>
      </c>
      <c r="E779">
        <f t="shared" si="25"/>
        <v>0</v>
      </c>
    </row>
    <row r="780" spans="4:5" x14ac:dyDescent="0.35">
      <c r="D780">
        <f t="shared" si="24"/>
        <v>0</v>
      </c>
      <c r="E780">
        <f t="shared" si="25"/>
        <v>0</v>
      </c>
    </row>
    <row r="781" spans="4:5" x14ac:dyDescent="0.35">
      <c r="D781">
        <f t="shared" si="24"/>
        <v>0</v>
      </c>
      <c r="E781">
        <f t="shared" si="25"/>
        <v>0</v>
      </c>
    </row>
    <row r="782" spans="4:5" x14ac:dyDescent="0.35">
      <c r="D782">
        <f t="shared" si="24"/>
        <v>0</v>
      </c>
      <c r="E782">
        <f t="shared" si="25"/>
        <v>0</v>
      </c>
    </row>
    <row r="783" spans="4:5" x14ac:dyDescent="0.35">
      <c r="D783">
        <f t="shared" si="24"/>
        <v>0</v>
      </c>
      <c r="E783">
        <f t="shared" si="25"/>
        <v>0</v>
      </c>
    </row>
    <row r="784" spans="4:5" x14ac:dyDescent="0.35">
      <c r="D784">
        <f t="shared" si="24"/>
        <v>0</v>
      </c>
      <c r="E784">
        <f t="shared" si="25"/>
        <v>0</v>
      </c>
    </row>
    <row r="785" spans="4:5" x14ac:dyDescent="0.35">
      <c r="D785">
        <f t="shared" si="24"/>
        <v>0</v>
      </c>
      <c r="E785">
        <f t="shared" si="25"/>
        <v>0</v>
      </c>
    </row>
    <row r="786" spans="4:5" x14ac:dyDescent="0.35">
      <c r="D786">
        <f t="shared" si="24"/>
        <v>0</v>
      </c>
      <c r="E786">
        <f t="shared" si="25"/>
        <v>0</v>
      </c>
    </row>
    <row r="787" spans="4:5" x14ac:dyDescent="0.35">
      <c r="D787">
        <f t="shared" si="24"/>
        <v>0</v>
      </c>
      <c r="E787">
        <f t="shared" si="25"/>
        <v>0</v>
      </c>
    </row>
    <row r="788" spans="4:5" x14ac:dyDescent="0.35">
      <c r="D788">
        <f t="shared" si="24"/>
        <v>0</v>
      </c>
      <c r="E788">
        <f t="shared" si="25"/>
        <v>0</v>
      </c>
    </row>
    <row r="789" spans="4:5" x14ac:dyDescent="0.35">
      <c r="D789">
        <f t="shared" si="24"/>
        <v>0</v>
      </c>
      <c r="E789">
        <f t="shared" si="25"/>
        <v>0</v>
      </c>
    </row>
    <row r="790" spans="4:5" x14ac:dyDescent="0.35">
      <c r="D790">
        <f t="shared" si="24"/>
        <v>0</v>
      </c>
      <c r="E790">
        <f t="shared" si="25"/>
        <v>0</v>
      </c>
    </row>
    <row r="791" spans="4:5" x14ac:dyDescent="0.35">
      <c r="D791">
        <f t="shared" si="24"/>
        <v>0</v>
      </c>
      <c r="E791">
        <f t="shared" si="25"/>
        <v>0</v>
      </c>
    </row>
    <row r="792" spans="4:5" x14ac:dyDescent="0.35">
      <c r="D792">
        <f t="shared" si="24"/>
        <v>0</v>
      </c>
      <c r="E792">
        <f t="shared" si="25"/>
        <v>0</v>
      </c>
    </row>
    <row r="793" spans="4:5" x14ac:dyDescent="0.35">
      <c r="D793">
        <f t="shared" si="24"/>
        <v>0</v>
      </c>
      <c r="E793">
        <f t="shared" si="25"/>
        <v>0</v>
      </c>
    </row>
    <row r="794" spans="4:5" x14ac:dyDescent="0.35">
      <c r="D794">
        <f t="shared" si="24"/>
        <v>0</v>
      </c>
      <c r="E794">
        <f t="shared" si="25"/>
        <v>0</v>
      </c>
    </row>
    <row r="795" spans="4:5" x14ac:dyDescent="0.35">
      <c r="D795">
        <f t="shared" si="24"/>
        <v>0</v>
      </c>
      <c r="E795">
        <f t="shared" si="25"/>
        <v>0</v>
      </c>
    </row>
    <row r="796" spans="4:5" x14ac:dyDescent="0.35">
      <c r="D796">
        <f t="shared" si="24"/>
        <v>0</v>
      </c>
      <c r="E796">
        <f t="shared" si="25"/>
        <v>0</v>
      </c>
    </row>
    <row r="797" spans="4:5" x14ac:dyDescent="0.35">
      <c r="D797">
        <f t="shared" si="24"/>
        <v>0</v>
      </c>
      <c r="E797">
        <f t="shared" si="25"/>
        <v>0</v>
      </c>
    </row>
    <row r="798" spans="4:5" x14ac:dyDescent="0.35">
      <c r="D798">
        <f t="shared" si="24"/>
        <v>0</v>
      </c>
      <c r="E798">
        <f t="shared" si="25"/>
        <v>0</v>
      </c>
    </row>
    <row r="799" spans="4:5" x14ac:dyDescent="0.35">
      <c r="D799">
        <f t="shared" si="24"/>
        <v>0</v>
      </c>
      <c r="E799">
        <f t="shared" si="25"/>
        <v>0</v>
      </c>
    </row>
    <row r="800" spans="4:5" x14ac:dyDescent="0.35">
      <c r="D800">
        <f t="shared" si="24"/>
        <v>0</v>
      </c>
      <c r="E800">
        <f t="shared" si="25"/>
        <v>0</v>
      </c>
    </row>
    <row r="801" spans="4:5" x14ac:dyDescent="0.35">
      <c r="D801">
        <f t="shared" si="24"/>
        <v>0</v>
      </c>
      <c r="E801">
        <f t="shared" si="25"/>
        <v>0</v>
      </c>
    </row>
    <row r="802" spans="4:5" x14ac:dyDescent="0.35">
      <c r="D802">
        <f t="shared" si="24"/>
        <v>0</v>
      </c>
      <c r="E802">
        <f t="shared" si="25"/>
        <v>0</v>
      </c>
    </row>
    <row r="803" spans="4:5" x14ac:dyDescent="0.35">
      <c r="D803">
        <f t="shared" si="24"/>
        <v>0</v>
      </c>
      <c r="E803">
        <f t="shared" si="25"/>
        <v>0</v>
      </c>
    </row>
    <row r="804" spans="4:5" x14ac:dyDescent="0.35">
      <c r="D804">
        <f t="shared" si="24"/>
        <v>0</v>
      </c>
      <c r="E804">
        <f t="shared" si="25"/>
        <v>0</v>
      </c>
    </row>
    <row r="805" spans="4:5" x14ac:dyDescent="0.35">
      <c r="D805">
        <f t="shared" si="24"/>
        <v>0</v>
      </c>
      <c r="E805">
        <f t="shared" si="25"/>
        <v>0</v>
      </c>
    </row>
    <row r="806" spans="4:5" x14ac:dyDescent="0.35">
      <c r="D806">
        <f t="shared" si="24"/>
        <v>0</v>
      </c>
      <c r="E806">
        <f t="shared" si="25"/>
        <v>0</v>
      </c>
    </row>
    <row r="807" spans="4:5" x14ac:dyDescent="0.35">
      <c r="D807">
        <f t="shared" si="24"/>
        <v>0</v>
      </c>
      <c r="E807">
        <f t="shared" si="25"/>
        <v>0</v>
      </c>
    </row>
    <row r="808" spans="4:5" x14ac:dyDescent="0.35">
      <c r="D808">
        <f t="shared" si="24"/>
        <v>0</v>
      </c>
      <c r="E808">
        <f t="shared" si="25"/>
        <v>0</v>
      </c>
    </row>
    <row r="809" spans="4:5" x14ac:dyDescent="0.35">
      <c r="D809">
        <f t="shared" si="24"/>
        <v>0</v>
      </c>
      <c r="E809">
        <f t="shared" si="25"/>
        <v>0</v>
      </c>
    </row>
    <row r="810" spans="4:5" x14ac:dyDescent="0.35">
      <c r="D810">
        <f t="shared" si="24"/>
        <v>0</v>
      </c>
      <c r="E810">
        <f t="shared" si="25"/>
        <v>0</v>
      </c>
    </row>
    <row r="811" spans="4:5" x14ac:dyDescent="0.35">
      <c r="D811">
        <f t="shared" si="24"/>
        <v>0</v>
      </c>
      <c r="E811">
        <f t="shared" si="25"/>
        <v>0</v>
      </c>
    </row>
    <row r="812" spans="4:5" x14ac:dyDescent="0.35">
      <c r="D812">
        <f t="shared" si="24"/>
        <v>0</v>
      </c>
      <c r="E812">
        <f t="shared" si="25"/>
        <v>0</v>
      </c>
    </row>
    <row r="813" spans="4:5" x14ac:dyDescent="0.35">
      <c r="D813">
        <f t="shared" si="24"/>
        <v>0</v>
      </c>
      <c r="E813">
        <f t="shared" si="25"/>
        <v>0</v>
      </c>
    </row>
    <row r="814" spans="4:5" x14ac:dyDescent="0.35">
      <c r="D814">
        <f t="shared" si="24"/>
        <v>0</v>
      </c>
      <c r="E814">
        <f t="shared" si="25"/>
        <v>0</v>
      </c>
    </row>
    <row r="815" spans="4:5" x14ac:dyDescent="0.35">
      <c r="D815">
        <f t="shared" si="24"/>
        <v>0</v>
      </c>
      <c r="E815">
        <f t="shared" si="25"/>
        <v>0</v>
      </c>
    </row>
    <row r="816" spans="4:5" x14ac:dyDescent="0.35">
      <c r="D816">
        <f t="shared" si="24"/>
        <v>0</v>
      </c>
      <c r="E816">
        <f t="shared" si="25"/>
        <v>0</v>
      </c>
    </row>
    <row r="817" spans="4:5" x14ac:dyDescent="0.35">
      <c r="D817">
        <f t="shared" si="24"/>
        <v>0</v>
      </c>
      <c r="E817">
        <f t="shared" si="25"/>
        <v>0</v>
      </c>
    </row>
    <row r="818" spans="4:5" x14ac:dyDescent="0.35">
      <c r="D818">
        <f t="shared" si="24"/>
        <v>0</v>
      </c>
      <c r="E818">
        <f t="shared" si="25"/>
        <v>0</v>
      </c>
    </row>
    <row r="819" spans="4:5" x14ac:dyDescent="0.35">
      <c r="D819">
        <f t="shared" si="24"/>
        <v>0</v>
      </c>
      <c r="E819">
        <f t="shared" si="25"/>
        <v>0</v>
      </c>
    </row>
    <row r="820" spans="4:5" x14ac:dyDescent="0.35">
      <c r="D820">
        <f t="shared" si="24"/>
        <v>0</v>
      </c>
      <c r="E820">
        <f t="shared" si="25"/>
        <v>0</v>
      </c>
    </row>
    <row r="821" spans="4:5" x14ac:dyDescent="0.35">
      <c r="D821">
        <f t="shared" si="24"/>
        <v>0</v>
      </c>
      <c r="E821">
        <f t="shared" si="25"/>
        <v>0</v>
      </c>
    </row>
    <row r="822" spans="4:5" x14ac:dyDescent="0.35">
      <c r="D822">
        <f t="shared" si="24"/>
        <v>0</v>
      </c>
      <c r="E822">
        <f t="shared" si="25"/>
        <v>0</v>
      </c>
    </row>
    <row r="823" spans="4:5" x14ac:dyDescent="0.35">
      <c r="D823">
        <f t="shared" si="24"/>
        <v>0</v>
      </c>
      <c r="E823">
        <f t="shared" si="25"/>
        <v>0</v>
      </c>
    </row>
    <row r="824" spans="4:5" x14ac:dyDescent="0.35">
      <c r="D824">
        <f t="shared" si="24"/>
        <v>0</v>
      </c>
      <c r="E824">
        <f t="shared" si="25"/>
        <v>0</v>
      </c>
    </row>
    <row r="825" spans="4:5" x14ac:dyDescent="0.35">
      <c r="D825">
        <f t="shared" si="24"/>
        <v>0</v>
      </c>
      <c r="E825">
        <f t="shared" si="25"/>
        <v>0</v>
      </c>
    </row>
    <row r="826" spans="4:5" x14ac:dyDescent="0.35">
      <c r="D826">
        <f t="shared" si="24"/>
        <v>0</v>
      </c>
      <c r="E826">
        <f t="shared" si="25"/>
        <v>0</v>
      </c>
    </row>
    <row r="827" spans="4:5" x14ac:dyDescent="0.35">
      <c r="D827">
        <f t="shared" si="24"/>
        <v>0</v>
      </c>
      <c r="E827">
        <f t="shared" si="25"/>
        <v>0</v>
      </c>
    </row>
    <row r="828" spans="4:5" x14ac:dyDescent="0.35">
      <c r="D828">
        <f t="shared" si="24"/>
        <v>0</v>
      </c>
      <c r="E828">
        <f t="shared" si="25"/>
        <v>0</v>
      </c>
    </row>
    <row r="829" spans="4:5" x14ac:dyDescent="0.35">
      <c r="D829">
        <f t="shared" si="24"/>
        <v>0</v>
      </c>
      <c r="E829">
        <f t="shared" si="25"/>
        <v>0</v>
      </c>
    </row>
    <row r="830" spans="4:5" x14ac:dyDescent="0.35">
      <c r="D830">
        <f t="shared" si="24"/>
        <v>0</v>
      </c>
      <c r="E830">
        <f t="shared" si="25"/>
        <v>0</v>
      </c>
    </row>
    <row r="831" spans="4:5" x14ac:dyDescent="0.35">
      <c r="D831">
        <f t="shared" si="24"/>
        <v>0</v>
      </c>
      <c r="E831">
        <f t="shared" si="25"/>
        <v>0</v>
      </c>
    </row>
    <row r="832" spans="4:5" x14ac:dyDescent="0.35">
      <c r="D832">
        <f t="shared" si="24"/>
        <v>0</v>
      </c>
      <c r="E832">
        <f t="shared" si="25"/>
        <v>0</v>
      </c>
    </row>
    <row r="833" spans="4:5" x14ac:dyDescent="0.35">
      <c r="D833">
        <f t="shared" si="24"/>
        <v>0</v>
      </c>
      <c r="E833">
        <f t="shared" si="25"/>
        <v>0</v>
      </c>
    </row>
    <row r="834" spans="4:5" x14ac:dyDescent="0.35">
      <c r="D834">
        <f t="shared" si="24"/>
        <v>0</v>
      </c>
      <c r="E834">
        <f t="shared" si="25"/>
        <v>0</v>
      </c>
    </row>
    <row r="835" spans="4:5" x14ac:dyDescent="0.35">
      <c r="D835">
        <f t="shared" si="24"/>
        <v>0</v>
      </c>
      <c r="E835">
        <f t="shared" si="25"/>
        <v>0</v>
      </c>
    </row>
    <row r="836" spans="4:5" x14ac:dyDescent="0.35">
      <c r="D836">
        <f t="shared" si="24"/>
        <v>0</v>
      </c>
      <c r="E836">
        <f t="shared" si="25"/>
        <v>0</v>
      </c>
    </row>
    <row r="837" spans="4:5" x14ac:dyDescent="0.35">
      <c r="D837">
        <f t="shared" ref="D837:D862" si="26">A837</f>
        <v>0</v>
      </c>
      <c r="E837">
        <f t="shared" ref="E837:E862" si="27">B837</f>
        <v>0</v>
      </c>
    </row>
    <row r="838" spans="4:5" x14ac:dyDescent="0.35">
      <c r="D838">
        <f t="shared" si="26"/>
        <v>0</v>
      </c>
      <c r="E838">
        <f t="shared" si="27"/>
        <v>0</v>
      </c>
    </row>
    <row r="839" spans="4:5" x14ac:dyDescent="0.35">
      <c r="D839">
        <f t="shared" si="26"/>
        <v>0</v>
      </c>
      <c r="E839">
        <f t="shared" si="27"/>
        <v>0</v>
      </c>
    </row>
    <row r="840" spans="4:5" x14ac:dyDescent="0.35">
      <c r="D840">
        <f t="shared" si="26"/>
        <v>0</v>
      </c>
      <c r="E840">
        <f t="shared" si="27"/>
        <v>0</v>
      </c>
    </row>
    <row r="841" spans="4:5" x14ac:dyDescent="0.35">
      <c r="D841">
        <f t="shared" si="26"/>
        <v>0</v>
      </c>
      <c r="E841">
        <f t="shared" si="27"/>
        <v>0</v>
      </c>
    </row>
    <row r="842" spans="4:5" x14ac:dyDescent="0.35">
      <c r="D842">
        <f t="shared" si="26"/>
        <v>0</v>
      </c>
      <c r="E842">
        <f t="shared" si="27"/>
        <v>0</v>
      </c>
    </row>
    <row r="843" spans="4:5" x14ac:dyDescent="0.35">
      <c r="D843">
        <f t="shared" si="26"/>
        <v>0</v>
      </c>
      <c r="E843">
        <f t="shared" si="27"/>
        <v>0</v>
      </c>
    </row>
    <row r="844" spans="4:5" x14ac:dyDescent="0.35">
      <c r="D844">
        <f t="shared" si="26"/>
        <v>0</v>
      </c>
      <c r="E844">
        <f t="shared" si="27"/>
        <v>0</v>
      </c>
    </row>
    <row r="845" spans="4:5" x14ac:dyDescent="0.35">
      <c r="D845">
        <f t="shared" si="26"/>
        <v>0</v>
      </c>
      <c r="E845">
        <f t="shared" si="27"/>
        <v>0</v>
      </c>
    </row>
    <row r="846" spans="4:5" x14ac:dyDescent="0.35">
      <c r="D846">
        <f t="shared" si="26"/>
        <v>0</v>
      </c>
      <c r="E846">
        <f t="shared" si="27"/>
        <v>0</v>
      </c>
    </row>
    <row r="847" spans="4:5" x14ac:dyDescent="0.35">
      <c r="D847">
        <f t="shared" si="26"/>
        <v>0</v>
      </c>
      <c r="E847">
        <f t="shared" si="27"/>
        <v>0</v>
      </c>
    </row>
    <row r="848" spans="4:5" x14ac:dyDescent="0.35">
      <c r="D848">
        <f t="shared" si="26"/>
        <v>0</v>
      </c>
      <c r="E848">
        <f t="shared" si="27"/>
        <v>0</v>
      </c>
    </row>
    <row r="849" spans="4:5" x14ac:dyDescent="0.35">
      <c r="D849">
        <f t="shared" si="26"/>
        <v>0</v>
      </c>
      <c r="E849">
        <f t="shared" si="27"/>
        <v>0</v>
      </c>
    </row>
    <row r="850" spans="4:5" x14ac:dyDescent="0.35">
      <c r="D850">
        <f t="shared" si="26"/>
        <v>0</v>
      </c>
      <c r="E850">
        <f t="shared" si="27"/>
        <v>0</v>
      </c>
    </row>
    <row r="851" spans="4:5" x14ac:dyDescent="0.35">
      <c r="D851">
        <f t="shared" si="26"/>
        <v>0</v>
      </c>
      <c r="E851">
        <f t="shared" si="27"/>
        <v>0</v>
      </c>
    </row>
    <row r="852" spans="4:5" x14ac:dyDescent="0.35">
      <c r="D852">
        <f t="shared" si="26"/>
        <v>0</v>
      </c>
      <c r="E852">
        <f t="shared" si="27"/>
        <v>0</v>
      </c>
    </row>
    <row r="853" spans="4:5" x14ac:dyDescent="0.35">
      <c r="D853">
        <f t="shared" si="26"/>
        <v>0</v>
      </c>
      <c r="E853">
        <f t="shared" si="27"/>
        <v>0</v>
      </c>
    </row>
    <row r="854" spans="4:5" x14ac:dyDescent="0.35">
      <c r="D854">
        <f t="shared" si="26"/>
        <v>0</v>
      </c>
      <c r="E854">
        <f t="shared" si="27"/>
        <v>0</v>
      </c>
    </row>
    <row r="855" spans="4:5" x14ac:dyDescent="0.35">
      <c r="D855">
        <f t="shared" si="26"/>
        <v>0</v>
      </c>
      <c r="E855">
        <f t="shared" si="27"/>
        <v>0</v>
      </c>
    </row>
    <row r="856" spans="4:5" x14ac:dyDescent="0.35">
      <c r="D856">
        <f t="shared" si="26"/>
        <v>0</v>
      </c>
      <c r="E856">
        <f t="shared" si="27"/>
        <v>0</v>
      </c>
    </row>
    <row r="857" spans="4:5" x14ac:dyDescent="0.35">
      <c r="D857">
        <f t="shared" si="26"/>
        <v>0</v>
      </c>
      <c r="E857">
        <f t="shared" si="27"/>
        <v>0</v>
      </c>
    </row>
    <row r="858" spans="4:5" x14ac:dyDescent="0.35">
      <c r="D858">
        <f t="shared" si="26"/>
        <v>0</v>
      </c>
      <c r="E858">
        <f t="shared" si="27"/>
        <v>0</v>
      </c>
    </row>
    <row r="859" spans="4:5" x14ac:dyDescent="0.35">
      <c r="D859">
        <f t="shared" si="26"/>
        <v>0</v>
      </c>
      <c r="E859">
        <f t="shared" si="27"/>
        <v>0</v>
      </c>
    </row>
    <row r="860" spans="4:5" x14ac:dyDescent="0.35">
      <c r="D860">
        <f t="shared" si="26"/>
        <v>0</v>
      </c>
      <c r="E860">
        <f t="shared" si="27"/>
        <v>0</v>
      </c>
    </row>
    <row r="861" spans="4:5" x14ac:dyDescent="0.35">
      <c r="D861">
        <f t="shared" si="26"/>
        <v>0</v>
      </c>
      <c r="E861">
        <f t="shared" si="27"/>
        <v>0</v>
      </c>
    </row>
    <row r="862" spans="4:5" x14ac:dyDescent="0.35">
      <c r="D862">
        <f t="shared" si="26"/>
        <v>0</v>
      </c>
      <c r="E862">
        <f t="shared" si="2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E417-7DC9-4B08-A79E-10561AE57871}">
  <dimension ref="A1:G3"/>
  <sheetViews>
    <sheetView workbookViewId="0">
      <selection activeCell="L9" sqref="L9"/>
    </sheetView>
  </sheetViews>
  <sheetFormatPr defaultRowHeight="14.5" x14ac:dyDescent="0.35"/>
  <cols>
    <col min="1" max="1" width="13.453125" bestFit="1" customWidth="1"/>
    <col min="3" max="3" width="14.08984375" bestFit="1" customWidth="1"/>
    <col min="4" max="4" width="16.26953125" bestFit="1" customWidth="1"/>
    <col min="5" max="5" width="13.08984375" bestFit="1" customWidth="1"/>
    <col min="6" max="6" width="15.6328125" bestFit="1" customWidth="1"/>
    <col min="7" max="7" width="7" bestFit="1" customWidth="1"/>
    <col min="8" max="8" width="10.36328125" bestFit="1" customWidth="1"/>
  </cols>
  <sheetData>
    <row r="1" spans="1:7" x14ac:dyDescent="0.35">
      <c r="A1" t="s">
        <v>56</v>
      </c>
      <c r="C1" t="s">
        <v>61</v>
      </c>
      <c r="D1" t="s">
        <v>63</v>
      </c>
      <c r="F1" s="2" t="s">
        <v>60</v>
      </c>
    </row>
    <row r="2" spans="1:7" x14ac:dyDescent="0.35">
      <c r="A2" s="1">
        <v>2500</v>
      </c>
      <c r="C2" s="5">
        <v>52638.022532000003</v>
      </c>
      <c r="D2" s="5">
        <v>149749.84479999999</v>
      </c>
      <c r="F2" t="s">
        <v>14</v>
      </c>
      <c r="G2" t="s">
        <v>22</v>
      </c>
    </row>
    <row r="3" spans="1:7" x14ac:dyDescent="0.35">
      <c r="E3" t="s">
        <v>56</v>
      </c>
      <c r="F3" s="1">
        <v>1394</v>
      </c>
      <c r="G3" s="1">
        <v>1106</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8A1F-F42D-4574-A1B1-60F59BC0D648}">
  <dimension ref="A1:B9"/>
  <sheetViews>
    <sheetView workbookViewId="0">
      <selection activeCell="L9" sqref="L9"/>
    </sheetView>
  </sheetViews>
  <sheetFormatPr defaultRowHeight="14.5" x14ac:dyDescent="0.35"/>
  <cols>
    <col min="1" max="1" width="12.453125" bestFit="1" customWidth="1"/>
    <col min="2" max="2" width="11.81640625" bestFit="1" customWidth="1"/>
    <col min="3" max="7" width="15.6328125" bestFit="1" customWidth="1"/>
    <col min="8" max="9" width="10.36328125" bestFit="1" customWidth="1"/>
  </cols>
  <sheetData>
    <row r="1" spans="1:2" x14ac:dyDescent="0.35">
      <c r="A1" s="2" t="s">
        <v>54</v>
      </c>
      <c r="B1" t="s">
        <v>58</v>
      </c>
    </row>
    <row r="2" spans="1:2" x14ac:dyDescent="0.35">
      <c r="A2" s="3" t="s">
        <v>25</v>
      </c>
      <c r="B2" s="1">
        <v>19118860.329999998</v>
      </c>
    </row>
    <row r="3" spans="1:2" x14ac:dyDescent="0.35">
      <c r="A3" s="3" t="s">
        <v>27</v>
      </c>
      <c r="B3" s="1">
        <v>19388246.949999999</v>
      </c>
    </row>
    <row r="4" spans="1:2" x14ac:dyDescent="0.35">
      <c r="A4" s="3" t="s">
        <v>23</v>
      </c>
      <c r="B4" s="1">
        <v>17902859.420000002</v>
      </c>
    </row>
    <row r="5" spans="1:2" x14ac:dyDescent="0.35">
      <c r="A5" s="3" t="s">
        <v>20</v>
      </c>
      <c r="B5" s="1">
        <v>18321699.949999999</v>
      </c>
    </row>
    <row r="6" spans="1:2" x14ac:dyDescent="0.35">
      <c r="A6" s="3" t="s">
        <v>29</v>
      </c>
      <c r="B6" s="1">
        <v>18776454.800000001</v>
      </c>
    </row>
    <row r="7" spans="1:2" x14ac:dyDescent="0.35">
      <c r="A7" s="3" t="s">
        <v>10</v>
      </c>
      <c r="B7" s="1">
        <v>18609490.52</v>
      </c>
    </row>
    <row r="8" spans="1:2" x14ac:dyDescent="0.35">
      <c r="A8" s="3" t="s">
        <v>35</v>
      </c>
      <c r="B8" s="1">
        <v>19477444.359999999</v>
      </c>
    </row>
    <row r="9" spans="1:2" x14ac:dyDescent="0.35">
      <c r="A9" s="3" t="s">
        <v>55</v>
      </c>
      <c r="B9" s="1">
        <v>131595056.33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37FC-E66C-4D34-9156-B21F791B904E}">
  <dimension ref="A1"/>
  <sheetViews>
    <sheetView tabSelected="1" zoomScale="70" zoomScaleNormal="70" workbookViewId="0">
      <selection activeCell="L9" sqref="L9"/>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3BCE-E555-459F-A7E4-E4FB66E4690D}">
  <dimension ref="A1:S2501"/>
  <sheetViews>
    <sheetView zoomScale="55" zoomScaleNormal="55" workbookViewId="0">
      <selection activeCell="L9" sqref="L9"/>
    </sheetView>
  </sheetViews>
  <sheetFormatPr defaultRowHeight="14.5" x14ac:dyDescent="0.35"/>
  <cols>
    <col min="10" max="12" width="10.26953125" bestFit="1" customWidth="1"/>
    <col min="13" max="13" width="14.453125" bestFit="1" customWidth="1"/>
    <col min="14" max="14" width="13.6328125" bestFit="1" customWidth="1"/>
  </cols>
  <sheetData>
    <row r="1" spans="1:19" x14ac:dyDescent="0.35">
      <c r="A1">
        <v>2016</v>
      </c>
      <c r="B1" s="6" t="s">
        <v>10</v>
      </c>
      <c r="J1" s="11" t="s">
        <v>6</v>
      </c>
    </row>
    <row r="2" spans="1:19" x14ac:dyDescent="0.35">
      <c r="A2">
        <v>2018</v>
      </c>
      <c r="B2" s="7" t="s">
        <v>27</v>
      </c>
      <c r="D2" t="s">
        <v>25</v>
      </c>
      <c r="E2">
        <v>368</v>
      </c>
      <c r="G2" t="s">
        <v>35</v>
      </c>
      <c r="H2" s="8">
        <f>E8/SUM(E2:E8)</f>
        <v>0.14960000000000001</v>
      </c>
      <c r="J2" s="12">
        <v>26613.919999999998</v>
      </c>
      <c r="K2" s="5">
        <f>ROUND(J2/10000,0)*10</f>
        <v>30</v>
      </c>
      <c r="P2" t="str">
        <f>TEXT(ROUND(J2/10000,0)*10,"0") &amp; "K"</f>
        <v>30K</v>
      </c>
      <c r="R2">
        <v>10</v>
      </c>
      <c r="S2">
        <f t="shared" ref="S2:S11" si="0">COUNTIF(K2:K2501,R2)</f>
        <v>253</v>
      </c>
    </row>
    <row r="3" spans="1:19" x14ac:dyDescent="0.35">
      <c r="A3">
        <v>2013</v>
      </c>
      <c r="B3" s="6" t="s">
        <v>25</v>
      </c>
      <c r="D3" t="s">
        <v>27</v>
      </c>
      <c r="E3">
        <v>358</v>
      </c>
      <c r="G3" t="s">
        <v>25</v>
      </c>
      <c r="H3" s="8">
        <f>E2/SUM(E2:E8)</f>
        <v>0.1472</v>
      </c>
      <c r="J3" s="13">
        <v>14679.61</v>
      </c>
      <c r="K3" s="5">
        <f t="shared" ref="K3:K66" si="1">ROUND(J3/10000,0)*10</f>
        <v>10</v>
      </c>
      <c r="O3">
        <f>COUNTIF(J2:J2501,J2)</f>
        <v>1</v>
      </c>
      <c r="P3" t="str">
        <f t="shared" ref="P3:P66" si="2">TEXT(ROUND(J3/10000,0)*10,"0") &amp; "K"</f>
        <v>10K</v>
      </c>
      <c r="R3">
        <v>20</v>
      </c>
      <c r="S3">
        <f t="shared" si="0"/>
        <v>269</v>
      </c>
    </row>
    <row r="4" spans="1:19" x14ac:dyDescent="0.35">
      <c r="A4">
        <v>2011</v>
      </c>
      <c r="B4" s="7" t="s">
        <v>10</v>
      </c>
      <c r="D4" t="s">
        <v>23</v>
      </c>
      <c r="E4">
        <v>347</v>
      </c>
      <c r="G4" t="s">
        <v>27</v>
      </c>
      <c r="H4" s="8">
        <f>E3/SUM(E2:E8)</f>
        <v>0.14319999999999999</v>
      </c>
      <c r="J4" s="12">
        <v>44402.61</v>
      </c>
      <c r="K4" s="5">
        <f t="shared" si="1"/>
        <v>40</v>
      </c>
      <c r="L4" s="10">
        <f>MAX(J2:J2501)</f>
        <v>99982.59</v>
      </c>
      <c r="P4" t="str">
        <f t="shared" si="2"/>
        <v>40K</v>
      </c>
      <c r="R4">
        <v>30</v>
      </c>
      <c r="S4">
        <f t="shared" si="0"/>
        <v>258</v>
      </c>
    </row>
    <row r="5" spans="1:19" x14ac:dyDescent="0.35">
      <c r="A5">
        <v>2009</v>
      </c>
      <c r="B5" s="6" t="s">
        <v>23</v>
      </c>
      <c r="D5" t="s">
        <v>20</v>
      </c>
      <c r="E5">
        <v>352</v>
      </c>
      <c r="G5" t="s">
        <v>59</v>
      </c>
      <c r="H5" s="8">
        <f>(E4+E5+E6+E7)/SUM(E2:E8)</f>
        <v>0.56000000000000005</v>
      </c>
      <c r="J5" s="13">
        <v>86374.33</v>
      </c>
      <c r="K5" s="5">
        <f t="shared" si="1"/>
        <v>90</v>
      </c>
      <c r="L5" s="10">
        <f>MIN(J2:J2501)</f>
        <v>5011.2700000000004</v>
      </c>
      <c r="P5" t="str">
        <f t="shared" si="2"/>
        <v>90K</v>
      </c>
      <c r="R5">
        <v>40</v>
      </c>
      <c r="S5">
        <f t="shared" si="0"/>
        <v>264</v>
      </c>
    </row>
    <row r="6" spans="1:19" x14ac:dyDescent="0.35">
      <c r="A6">
        <v>2019</v>
      </c>
      <c r="B6" s="7" t="s">
        <v>25</v>
      </c>
      <c r="D6" t="s">
        <v>29</v>
      </c>
      <c r="E6">
        <v>353</v>
      </c>
      <c r="J6" s="12">
        <v>73577.100000000006</v>
      </c>
      <c r="K6" s="5">
        <f t="shared" si="1"/>
        <v>70</v>
      </c>
      <c r="L6" s="10">
        <f>MAX(J2:J2501)</f>
        <v>99982.59</v>
      </c>
      <c r="M6" t="s">
        <v>62</v>
      </c>
      <c r="P6" t="str">
        <f t="shared" si="2"/>
        <v>70K</v>
      </c>
      <c r="R6">
        <v>50</v>
      </c>
      <c r="S6">
        <f t="shared" si="0"/>
        <v>247</v>
      </c>
    </row>
    <row r="7" spans="1:19" x14ac:dyDescent="0.35">
      <c r="A7">
        <v>2020</v>
      </c>
      <c r="B7" s="6" t="s">
        <v>25</v>
      </c>
      <c r="D7" t="s">
        <v>10</v>
      </c>
      <c r="E7">
        <v>348</v>
      </c>
      <c r="J7" s="13">
        <v>88969.76</v>
      </c>
      <c r="K7" s="5">
        <f t="shared" si="1"/>
        <v>90</v>
      </c>
      <c r="P7" t="str">
        <f t="shared" si="2"/>
        <v>90K</v>
      </c>
      <c r="R7">
        <v>60</v>
      </c>
      <c r="S7">
        <f t="shared" si="0"/>
        <v>272</v>
      </c>
    </row>
    <row r="8" spans="1:19" x14ac:dyDescent="0.35">
      <c r="A8">
        <v>2017</v>
      </c>
      <c r="B8" s="7" t="s">
        <v>10</v>
      </c>
      <c r="D8" t="s">
        <v>35</v>
      </c>
      <c r="E8">
        <v>374</v>
      </c>
      <c r="J8" s="12">
        <v>63498.75</v>
      </c>
      <c r="K8" s="5">
        <f t="shared" si="1"/>
        <v>60</v>
      </c>
      <c r="M8" s="2" t="s">
        <v>54</v>
      </c>
      <c r="N8" t="s">
        <v>56</v>
      </c>
      <c r="P8" t="str">
        <f t="shared" si="2"/>
        <v>60K</v>
      </c>
      <c r="R8">
        <v>70</v>
      </c>
      <c r="S8">
        <f t="shared" si="0"/>
        <v>285</v>
      </c>
    </row>
    <row r="9" spans="1:19" x14ac:dyDescent="0.35">
      <c r="A9">
        <v>2023</v>
      </c>
      <c r="B9" s="6" t="s">
        <v>20</v>
      </c>
      <c r="D9" t="s">
        <v>55</v>
      </c>
      <c r="E9">
        <v>2500</v>
      </c>
      <c r="J9" s="13">
        <v>17381.189999999999</v>
      </c>
      <c r="K9" s="5">
        <f t="shared" si="1"/>
        <v>20</v>
      </c>
      <c r="M9" s="3" t="s">
        <v>25</v>
      </c>
      <c r="N9" s="1">
        <v>368</v>
      </c>
      <c r="P9" t="str">
        <f t="shared" si="2"/>
        <v>20K</v>
      </c>
      <c r="R9">
        <v>80</v>
      </c>
      <c r="S9">
        <f t="shared" si="0"/>
        <v>257</v>
      </c>
    </row>
    <row r="10" spans="1:19" x14ac:dyDescent="0.35">
      <c r="A10">
        <v>2010</v>
      </c>
      <c r="B10" s="7" t="s">
        <v>23</v>
      </c>
      <c r="J10" s="12">
        <v>15905.62</v>
      </c>
      <c r="K10" s="5">
        <f t="shared" si="1"/>
        <v>20</v>
      </c>
      <c r="M10" s="3" t="s">
        <v>27</v>
      </c>
      <c r="N10" s="1">
        <v>358</v>
      </c>
      <c r="P10" t="str">
        <f t="shared" si="2"/>
        <v>20K</v>
      </c>
      <c r="R10">
        <v>90</v>
      </c>
      <c r="S10">
        <f t="shared" si="0"/>
        <v>272</v>
      </c>
    </row>
    <row r="11" spans="1:19" x14ac:dyDescent="0.35">
      <c r="A11">
        <v>2001</v>
      </c>
      <c r="B11" s="6" t="s">
        <v>10</v>
      </c>
      <c r="J11" s="13">
        <v>9560.2199999999993</v>
      </c>
      <c r="K11" s="5">
        <f t="shared" si="1"/>
        <v>10</v>
      </c>
      <c r="M11" s="3" t="s">
        <v>23</v>
      </c>
      <c r="N11" s="1">
        <v>347</v>
      </c>
      <c r="P11" t="str">
        <f t="shared" si="2"/>
        <v>10K</v>
      </c>
      <c r="R11">
        <v>100</v>
      </c>
      <c r="S11">
        <f t="shared" si="0"/>
        <v>118</v>
      </c>
    </row>
    <row r="12" spans="1:19" x14ac:dyDescent="0.35">
      <c r="A12">
        <v>2017</v>
      </c>
      <c r="B12" s="7" t="s">
        <v>23</v>
      </c>
      <c r="H12" s="8"/>
      <c r="J12" s="12">
        <v>58872.6</v>
      </c>
      <c r="K12" s="5">
        <f t="shared" si="1"/>
        <v>60</v>
      </c>
      <c r="M12" s="3" t="s">
        <v>20</v>
      </c>
      <c r="N12" s="1">
        <v>352</v>
      </c>
      <c r="P12" t="str">
        <f t="shared" si="2"/>
        <v>60K</v>
      </c>
    </row>
    <row r="13" spans="1:19" x14ac:dyDescent="0.35">
      <c r="A13">
        <v>2006</v>
      </c>
      <c r="B13" s="6" t="s">
        <v>23</v>
      </c>
      <c r="H13" s="8"/>
      <c r="J13" s="13">
        <v>28074.19</v>
      </c>
      <c r="K13" s="5">
        <f t="shared" si="1"/>
        <v>30</v>
      </c>
      <c r="M13" s="3" t="s">
        <v>29</v>
      </c>
      <c r="N13" s="1">
        <v>353</v>
      </c>
      <c r="P13" t="str">
        <f t="shared" si="2"/>
        <v>30K</v>
      </c>
    </row>
    <row r="14" spans="1:19" x14ac:dyDescent="0.35">
      <c r="A14">
        <v>2023</v>
      </c>
      <c r="B14" s="7" t="s">
        <v>25</v>
      </c>
      <c r="H14" s="8"/>
      <c r="J14" s="12">
        <v>74766.45</v>
      </c>
      <c r="K14" s="5">
        <f t="shared" si="1"/>
        <v>70</v>
      </c>
      <c r="M14" s="3" t="s">
        <v>10</v>
      </c>
      <c r="N14" s="1">
        <v>348</v>
      </c>
      <c r="P14" t="str">
        <f t="shared" si="2"/>
        <v>70K</v>
      </c>
    </row>
    <row r="15" spans="1:19" x14ac:dyDescent="0.35">
      <c r="A15">
        <v>2014</v>
      </c>
      <c r="B15" s="6" t="s">
        <v>27</v>
      </c>
      <c r="H15" s="8"/>
      <c r="J15" s="13">
        <v>70193.740000000005</v>
      </c>
      <c r="K15" s="5">
        <f t="shared" si="1"/>
        <v>70</v>
      </c>
      <c r="M15" s="3" t="s">
        <v>35</v>
      </c>
      <c r="N15" s="1">
        <v>374</v>
      </c>
      <c r="P15" t="str">
        <f t="shared" si="2"/>
        <v>70K</v>
      </c>
    </row>
    <row r="16" spans="1:19" x14ac:dyDescent="0.35">
      <c r="A16">
        <v>2010</v>
      </c>
      <c r="B16" s="7" t="s">
        <v>23</v>
      </c>
      <c r="H16" s="8"/>
      <c r="J16" s="12">
        <v>35220.519999999997</v>
      </c>
      <c r="K16" s="5">
        <f t="shared" si="1"/>
        <v>40</v>
      </c>
      <c r="M16" s="3" t="s">
        <v>55</v>
      </c>
      <c r="N16" s="1">
        <v>2500</v>
      </c>
      <c r="P16" t="str">
        <f t="shared" si="2"/>
        <v>40K</v>
      </c>
    </row>
    <row r="17" spans="1:16" x14ac:dyDescent="0.35">
      <c r="A17">
        <v>2017</v>
      </c>
      <c r="B17" s="6" t="s">
        <v>29</v>
      </c>
      <c r="H17" s="8"/>
      <c r="J17" s="13">
        <v>21796.16</v>
      </c>
      <c r="K17" s="5">
        <f t="shared" si="1"/>
        <v>20</v>
      </c>
      <c r="P17" t="str">
        <f t="shared" si="2"/>
        <v>20K</v>
      </c>
    </row>
    <row r="18" spans="1:16" x14ac:dyDescent="0.35">
      <c r="A18">
        <v>2022</v>
      </c>
      <c r="B18" s="7" t="s">
        <v>25</v>
      </c>
      <c r="H18" s="8"/>
      <c r="J18" s="12">
        <v>14728.03</v>
      </c>
      <c r="K18" s="5">
        <f t="shared" si="1"/>
        <v>10</v>
      </c>
      <c r="P18" t="str">
        <f t="shared" si="2"/>
        <v>10K</v>
      </c>
    </row>
    <row r="19" spans="1:16" x14ac:dyDescent="0.35">
      <c r="A19">
        <v>2011</v>
      </c>
      <c r="B19" s="6" t="s">
        <v>20</v>
      </c>
      <c r="H19" s="8"/>
      <c r="J19" s="13">
        <v>75044.95</v>
      </c>
      <c r="K19" s="5">
        <f t="shared" si="1"/>
        <v>80</v>
      </c>
      <c r="P19" t="str">
        <f t="shared" si="2"/>
        <v>80K</v>
      </c>
    </row>
    <row r="20" spans="1:16" x14ac:dyDescent="0.35">
      <c r="A20">
        <v>2005</v>
      </c>
      <c r="B20" s="7" t="s">
        <v>27</v>
      </c>
      <c r="J20" s="12">
        <v>47791.89</v>
      </c>
      <c r="K20" s="5">
        <f t="shared" si="1"/>
        <v>50</v>
      </c>
      <c r="P20" t="str">
        <f t="shared" si="2"/>
        <v>50K</v>
      </c>
    </row>
    <row r="21" spans="1:16" x14ac:dyDescent="0.35">
      <c r="A21">
        <v>2019</v>
      </c>
      <c r="B21" s="6" t="s">
        <v>29</v>
      </c>
      <c r="J21" s="13">
        <v>35735.339999999997</v>
      </c>
      <c r="K21" s="5">
        <f t="shared" si="1"/>
        <v>40</v>
      </c>
      <c r="P21" t="str">
        <f t="shared" si="2"/>
        <v>40K</v>
      </c>
    </row>
    <row r="22" spans="1:16" x14ac:dyDescent="0.35">
      <c r="A22">
        <v>2022</v>
      </c>
      <c r="B22" s="7" t="s">
        <v>29</v>
      </c>
      <c r="J22" s="12">
        <v>86382.04</v>
      </c>
      <c r="K22" s="5">
        <f t="shared" si="1"/>
        <v>90</v>
      </c>
      <c r="P22" t="str">
        <f t="shared" si="2"/>
        <v>90K</v>
      </c>
    </row>
    <row r="23" spans="1:16" x14ac:dyDescent="0.35">
      <c r="A23">
        <v>2012</v>
      </c>
      <c r="B23" s="6" t="s">
        <v>20</v>
      </c>
      <c r="J23" s="13">
        <v>61393.26</v>
      </c>
      <c r="K23" s="5">
        <f t="shared" si="1"/>
        <v>60</v>
      </c>
      <c r="P23" t="str">
        <f t="shared" si="2"/>
        <v>60K</v>
      </c>
    </row>
    <row r="24" spans="1:16" x14ac:dyDescent="0.35">
      <c r="A24">
        <v>2019</v>
      </c>
      <c r="B24" s="7" t="s">
        <v>27</v>
      </c>
      <c r="J24" s="12">
        <v>54210.22</v>
      </c>
      <c r="K24" s="5">
        <f t="shared" si="1"/>
        <v>50</v>
      </c>
      <c r="P24" t="str">
        <f t="shared" si="2"/>
        <v>50K</v>
      </c>
    </row>
    <row r="25" spans="1:16" x14ac:dyDescent="0.35">
      <c r="A25">
        <v>2015</v>
      </c>
      <c r="B25" s="6" t="s">
        <v>25</v>
      </c>
      <c r="J25" s="13">
        <v>75621.02</v>
      </c>
      <c r="K25" s="5">
        <f t="shared" si="1"/>
        <v>80</v>
      </c>
      <c r="P25" t="str">
        <f t="shared" si="2"/>
        <v>80K</v>
      </c>
    </row>
    <row r="26" spans="1:16" x14ac:dyDescent="0.35">
      <c r="A26">
        <v>2017</v>
      </c>
      <c r="B26" s="7" t="s">
        <v>35</v>
      </c>
      <c r="J26" s="12">
        <v>82480.399999999994</v>
      </c>
      <c r="K26" s="5">
        <f t="shared" si="1"/>
        <v>80</v>
      </c>
      <c r="P26" t="str">
        <f t="shared" si="2"/>
        <v>80K</v>
      </c>
    </row>
    <row r="27" spans="1:16" x14ac:dyDescent="0.35">
      <c r="A27">
        <v>2009</v>
      </c>
      <c r="B27" s="6" t="s">
        <v>27</v>
      </c>
      <c r="J27" s="13">
        <v>70176.95</v>
      </c>
      <c r="K27" s="5">
        <f t="shared" si="1"/>
        <v>70</v>
      </c>
      <c r="P27" t="str">
        <f t="shared" si="2"/>
        <v>70K</v>
      </c>
    </row>
    <row r="28" spans="1:16" x14ac:dyDescent="0.35">
      <c r="A28">
        <v>2022</v>
      </c>
      <c r="B28" s="7" t="s">
        <v>20</v>
      </c>
      <c r="J28" s="12">
        <v>46800.6</v>
      </c>
      <c r="K28" s="5">
        <f t="shared" si="1"/>
        <v>50</v>
      </c>
      <c r="P28" t="str">
        <f t="shared" si="2"/>
        <v>50K</v>
      </c>
    </row>
    <row r="29" spans="1:16" x14ac:dyDescent="0.35">
      <c r="A29">
        <v>2007</v>
      </c>
      <c r="B29" s="6" t="s">
        <v>29</v>
      </c>
      <c r="J29" s="13">
        <v>41033.39</v>
      </c>
      <c r="K29" s="5">
        <f t="shared" si="1"/>
        <v>40</v>
      </c>
      <c r="P29" t="str">
        <f t="shared" si="2"/>
        <v>40K</v>
      </c>
    </row>
    <row r="30" spans="1:16" x14ac:dyDescent="0.35">
      <c r="A30">
        <v>2017</v>
      </c>
      <c r="B30" s="7" t="s">
        <v>25</v>
      </c>
      <c r="J30" s="12">
        <v>78308.17</v>
      </c>
      <c r="K30" s="5">
        <f t="shared" si="1"/>
        <v>80</v>
      </c>
      <c r="P30" t="str">
        <f t="shared" si="2"/>
        <v>80K</v>
      </c>
    </row>
    <row r="31" spans="1:16" x14ac:dyDescent="0.35">
      <c r="A31">
        <v>2020</v>
      </c>
      <c r="B31" s="6" t="s">
        <v>27</v>
      </c>
      <c r="J31" s="13">
        <v>54201.18</v>
      </c>
      <c r="K31" s="5">
        <f t="shared" si="1"/>
        <v>50</v>
      </c>
      <c r="P31" t="str">
        <f t="shared" si="2"/>
        <v>50K</v>
      </c>
    </row>
    <row r="32" spans="1:16" x14ac:dyDescent="0.35">
      <c r="A32">
        <v>2000</v>
      </c>
      <c r="B32" s="7" t="s">
        <v>35</v>
      </c>
      <c r="J32" s="12">
        <v>71916.679999999993</v>
      </c>
      <c r="K32" s="5">
        <f t="shared" si="1"/>
        <v>70</v>
      </c>
      <c r="P32" t="str">
        <f t="shared" si="2"/>
        <v>70K</v>
      </c>
    </row>
    <row r="33" spans="1:16" x14ac:dyDescent="0.35">
      <c r="A33">
        <v>2022</v>
      </c>
      <c r="B33" s="6" t="s">
        <v>35</v>
      </c>
      <c r="J33" s="13">
        <v>89587.88</v>
      </c>
      <c r="K33" s="5">
        <f t="shared" si="1"/>
        <v>90</v>
      </c>
      <c r="P33" t="str">
        <f t="shared" si="2"/>
        <v>90K</v>
      </c>
    </row>
    <row r="34" spans="1:16" x14ac:dyDescent="0.35">
      <c r="A34">
        <v>2007</v>
      </c>
      <c r="B34" s="7" t="s">
        <v>23</v>
      </c>
      <c r="J34" s="12">
        <v>92009.61</v>
      </c>
      <c r="K34" s="5">
        <f t="shared" si="1"/>
        <v>90</v>
      </c>
      <c r="P34" t="str">
        <f t="shared" si="2"/>
        <v>90K</v>
      </c>
    </row>
    <row r="35" spans="1:16" x14ac:dyDescent="0.35">
      <c r="A35">
        <v>2005</v>
      </c>
      <c r="B35" s="6" t="s">
        <v>23</v>
      </c>
      <c r="J35" s="13">
        <v>31382.99</v>
      </c>
      <c r="K35" s="5">
        <f t="shared" si="1"/>
        <v>30</v>
      </c>
      <c r="P35" t="str">
        <f t="shared" si="2"/>
        <v>30K</v>
      </c>
    </row>
    <row r="36" spans="1:16" x14ac:dyDescent="0.35">
      <c r="A36">
        <v>2004</v>
      </c>
      <c r="B36" s="7" t="s">
        <v>10</v>
      </c>
      <c r="J36" s="12">
        <v>22849.55</v>
      </c>
      <c r="K36" s="5">
        <f t="shared" si="1"/>
        <v>20</v>
      </c>
      <c r="P36" t="str">
        <f t="shared" si="2"/>
        <v>20K</v>
      </c>
    </row>
    <row r="37" spans="1:16" x14ac:dyDescent="0.35">
      <c r="A37">
        <v>2014</v>
      </c>
      <c r="B37" s="6" t="s">
        <v>20</v>
      </c>
      <c r="J37" s="13">
        <v>29822.3</v>
      </c>
      <c r="K37" s="5">
        <f t="shared" si="1"/>
        <v>30</v>
      </c>
      <c r="P37" t="str">
        <f t="shared" si="2"/>
        <v>30K</v>
      </c>
    </row>
    <row r="38" spans="1:16" x14ac:dyDescent="0.35">
      <c r="A38">
        <v>2021</v>
      </c>
      <c r="B38" s="7" t="s">
        <v>27</v>
      </c>
      <c r="J38" s="12">
        <v>76380.320000000007</v>
      </c>
      <c r="K38" s="5">
        <f t="shared" si="1"/>
        <v>80</v>
      </c>
      <c r="P38" t="str">
        <f t="shared" si="2"/>
        <v>80K</v>
      </c>
    </row>
    <row r="39" spans="1:16" x14ac:dyDescent="0.35">
      <c r="A39">
        <v>2014</v>
      </c>
      <c r="B39" s="6" t="s">
        <v>27</v>
      </c>
      <c r="J39" s="13">
        <v>40155.51</v>
      </c>
      <c r="K39" s="5">
        <f t="shared" si="1"/>
        <v>40</v>
      </c>
      <c r="P39" t="str">
        <f t="shared" si="2"/>
        <v>40K</v>
      </c>
    </row>
    <row r="40" spans="1:16" x14ac:dyDescent="0.35">
      <c r="A40">
        <v>2001</v>
      </c>
      <c r="B40" s="7" t="s">
        <v>10</v>
      </c>
      <c r="J40" s="12">
        <v>21471.98</v>
      </c>
      <c r="K40" s="5">
        <f t="shared" si="1"/>
        <v>20</v>
      </c>
      <c r="P40" t="str">
        <f t="shared" si="2"/>
        <v>20K</v>
      </c>
    </row>
    <row r="41" spans="1:16" x14ac:dyDescent="0.35">
      <c r="A41">
        <v>2000</v>
      </c>
      <c r="B41" s="6" t="s">
        <v>29</v>
      </c>
      <c r="J41" s="13">
        <v>14346.62</v>
      </c>
      <c r="K41" s="5">
        <f t="shared" si="1"/>
        <v>10</v>
      </c>
      <c r="P41" t="str">
        <f t="shared" si="2"/>
        <v>10K</v>
      </c>
    </row>
    <row r="42" spans="1:16" x14ac:dyDescent="0.35">
      <c r="A42">
        <v>2022</v>
      </c>
      <c r="B42" s="7" t="s">
        <v>29</v>
      </c>
      <c r="J42" s="12">
        <v>36094.75</v>
      </c>
      <c r="K42" s="5">
        <f t="shared" si="1"/>
        <v>40</v>
      </c>
      <c r="P42" t="str">
        <f t="shared" si="2"/>
        <v>40K</v>
      </c>
    </row>
    <row r="43" spans="1:16" x14ac:dyDescent="0.35">
      <c r="A43">
        <v>2022</v>
      </c>
      <c r="B43" s="6" t="s">
        <v>10</v>
      </c>
      <c r="J43" s="13">
        <v>17932.96</v>
      </c>
      <c r="K43" s="5">
        <f t="shared" si="1"/>
        <v>20</v>
      </c>
      <c r="P43" t="str">
        <f t="shared" si="2"/>
        <v>20K</v>
      </c>
    </row>
    <row r="44" spans="1:16" x14ac:dyDescent="0.35">
      <c r="A44">
        <v>2010</v>
      </c>
      <c r="B44" s="7" t="s">
        <v>29</v>
      </c>
      <c r="J44" s="12">
        <v>19855.490000000002</v>
      </c>
      <c r="K44" s="5">
        <f t="shared" si="1"/>
        <v>20</v>
      </c>
      <c r="P44" t="str">
        <f t="shared" si="2"/>
        <v>20K</v>
      </c>
    </row>
    <row r="45" spans="1:16" x14ac:dyDescent="0.35">
      <c r="A45">
        <v>2009</v>
      </c>
      <c r="B45" s="6" t="s">
        <v>23</v>
      </c>
      <c r="J45" s="13">
        <v>69968.98</v>
      </c>
      <c r="K45" s="5">
        <f t="shared" si="1"/>
        <v>70</v>
      </c>
      <c r="P45" t="str">
        <f t="shared" si="2"/>
        <v>70K</v>
      </c>
    </row>
    <row r="46" spans="1:16" x14ac:dyDescent="0.35">
      <c r="A46">
        <v>2017</v>
      </c>
      <c r="B46" s="7" t="s">
        <v>27</v>
      </c>
      <c r="J46" s="12">
        <v>6874.55</v>
      </c>
      <c r="K46" s="5">
        <f t="shared" si="1"/>
        <v>10</v>
      </c>
      <c r="P46" t="str">
        <f t="shared" si="2"/>
        <v>10K</v>
      </c>
    </row>
    <row r="47" spans="1:16" x14ac:dyDescent="0.35">
      <c r="A47">
        <v>2017</v>
      </c>
      <c r="B47" s="6" t="s">
        <v>10</v>
      </c>
      <c r="J47" s="13">
        <v>16167.56</v>
      </c>
      <c r="K47" s="5">
        <f t="shared" si="1"/>
        <v>20</v>
      </c>
      <c r="P47" t="str">
        <f t="shared" si="2"/>
        <v>20K</v>
      </c>
    </row>
    <row r="48" spans="1:16" x14ac:dyDescent="0.35">
      <c r="A48">
        <v>2016</v>
      </c>
      <c r="B48" s="7" t="s">
        <v>27</v>
      </c>
      <c r="J48" s="12">
        <v>85214.720000000001</v>
      </c>
      <c r="K48" s="5">
        <f t="shared" si="1"/>
        <v>90</v>
      </c>
      <c r="P48" t="str">
        <f t="shared" si="2"/>
        <v>90K</v>
      </c>
    </row>
    <row r="49" spans="1:16" x14ac:dyDescent="0.35">
      <c r="A49">
        <v>2007</v>
      </c>
      <c r="B49" s="6" t="s">
        <v>35</v>
      </c>
      <c r="J49" s="13">
        <v>85266.84</v>
      </c>
      <c r="K49" s="5">
        <f t="shared" si="1"/>
        <v>90</v>
      </c>
      <c r="P49" t="str">
        <f t="shared" si="2"/>
        <v>90K</v>
      </c>
    </row>
    <row r="50" spans="1:16" x14ac:dyDescent="0.35">
      <c r="A50">
        <v>2014</v>
      </c>
      <c r="B50" s="7" t="s">
        <v>23</v>
      </c>
      <c r="J50" s="12">
        <v>36278.129999999997</v>
      </c>
      <c r="K50" s="5">
        <f t="shared" si="1"/>
        <v>40</v>
      </c>
      <c r="P50" t="str">
        <f t="shared" si="2"/>
        <v>40K</v>
      </c>
    </row>
    <row r="51" spans="1:16" x14ac:dyDescent="0.35">
      <c r="A51">
        <v>2007</v>
      </c>
      <c r="B51" s="6" t="s">
        <v>25</v>
      </c>
      <c r="J51" s="13">
        <v>13355.54</v>
      </c>
      <c r="K51" s="5">
        <f t="shared" si="1"/>
        <v>10</v>
      </c>
      <c r="P51" t="str">
        <f t="shared" si="2"/>
        <v>10K</v>
      </c>
    </row>
    <row r="52" spans="1:16" x14ac:dyDescent="0.35">
      <c r="A52">
        <v>2016</v>
      </c>
      <c r="B52" s="7" t="s">
        <v>23</v>
      </c>
      <c r="J52" s="12">
        <v>71972.179999999993</v>
      </c>
      <c r="K52" s="5">
        <f t="shared" si="1"/>
        <v>70</v>
      </c>
      <c r="P52" t="str">
        <f t="shared" si="2"/>
        <v>70K</v>
      </c>
    </row>
    <row r="53" spans="1:16" x14ac:dyDescent="0.35">
      <c r="A53">
        <v>2011</v>
      </c>
      <c r="B53" s="6" t="s">
        <v>10</v>
      </c>
      <c r="J53" s="13">
        <v>39212.51</v>
      </c>
      <c r="K53" s="5">
        <f t="shared" si="1"/>
        <v>40</v>
      </c>
      <c r="P53" t="str">
        <f t="shared" si="2"/>
        <v>40K</v>
      </c>
    </row>
    <row r="54" spans="1:16" x14ac:dyDescent="0.35">
      <c r="A54">
        <v>2007</v>
      </c>
      <c r="B54" s="7" t="s">
        <v>25</v>
      </c>
      <c r="J54" s="12">
        <v>9319.14</v>
      </c>
      <c r="K54" s="5">
        <f t="shared" si="1"/>
        <v>10</v>
      </c>
      <c r="P54" t="str">
        <f t="shared" si="2"/>
        <v>10K</v>
      </c>
    </row>
    <row r="55" spans="1:16" x14ac:dyDescent="0.35">
      <c r="A55">
        <v>2013</v>
      </c>
      <c r="B55" s="6" t="s">
        <v>35</v>
      </c>
      <c r="J55" s="13">
        <v>19993.560000000001</v>
      </c>
      <c r="K55" s="5">
        <f t="shared" si="1"/>
        <v>20</v>
      </c>
      <c r="P55" t="str">
        <f t="shared" si="2"/>
        <v>20K</v>
      </c>
    </row>
    <row r="56" spans="1:16" x14ac:dyDescent="0.35">
      <c r="A56">
        <v>2003</v>
      </c>
      <c r="B56" s="7" t="s">
        <v>10</v>
      </c>
      <c r="J56" s="12">
        <v>18035.41</v>
      </c>
      <c r="K56" s="5">
        <f t="shared" si="1"/>
        <v>20</v>
      </c>
      <c r="P56" t="str">
        <f t="shared" si="2"/>
        <v>20K</v>
      </c>
    </row>
    <row r="57" spans="1:16" x14ac:dyDescent="0.35">
      <c r="A57">
        <v>2000</v>
      </c>
      <c r="B57" s="6" t="s">
        <v>20</v>
      </c>
      <c r="J57" s="13">
        <v>60966.05</v>
      </c>
      <c r="K57" s="5">
        <f t="shared" si="1"/>
        <v>60</v>
      </c>
      <c r="P57" t="str">
        <f t="shared" si="2"/>
        <v>60K</v>
      </c>
    </row>
    <row r="58" spans="1:16" x14ac:dyDescent="0.35">
      <c r="A58">
        <v>2000</v>
      </c>
      <c r="B58" s="7" t="s">
        <v>27</v>
      </c>
      <c r="J58" s="12">
        <v>90321.17</v>
      </c>
      <c r="K58" s="5">
        <f t="shared" si="1"/>
        <v>90</v>
      </c>
      <c r="P58" t="str">
        <f t="shared" si="2"/>
        <v>90K</v>
      </c>
    </row>
    <row r="59" spans="1:16" x14ac:dyDescent="0.35">
      <c r="A59">
        <v>2018</v>
      </c>
      <c r="B59" s="6" t="s">
        <v>35</v>
      </c>
      <c r="J59" s="13">
        <v>80341.84</v>
      </c>
      <c r="K59" s="5">
        <f t="shared" si="1"/>
        <v>80</v>
      </c>
      <c r="P59" t="str">
        <f t="shared" si="2"/>
        <v>80K</v>
      </c>
    </row>
    <row r="60" spans="1:16" x14ac:dyDescent="0.35">
      <c r="A60">
        <v>2015</v>
      </c>
      <c r="B60" s="7" t="s">
        <v>27</v>
      </c>
      <c r="J60" s="12">
        <v>56919.02</v>
      </c>
      <c r="K60" s="5">
        <f t="shared" si="1"/>
        <v>60</v>
      </c>
      <c r="P60" t="str">
        <f t="shared" si="2"/>
        <v>60K</v>
      </c>
    </row>
    <row r="61" spans="1:16" x14ac:dyDescent="0.35">
      <c r="A61">
        <v>2013</v>
      </c>
      <c r="B61" s="6" t="s">
        <v>29</v>
      </c>
      <c r="J61" s="13">
        <v>45104.74</v>
      </c>
      <c r="K61" s="5">
        <f t="shared" si="1"/>
        <v>50</v>
      </c>
      <c r="P61" t="str">
        <f t="shared" si="2"/>
        <v>50K</v>
      </c>
    </row>
    <row r="62" spans="1:16" x14ac:dyDescent="0.35">
      <c r="A62">
        <v>2020</v>
      </c>
      <c r="B62" s="7" t="s">
        <v>20</v>
      </c>
      <c r="J62" s="12">
        <v>63774.29</v>
      </c>
      <c r="K62" s="5">
        <f t="shared" si="1"/>
        <v>60</v>
      </c>
      <c r="P62" t="str">
        <f t="shared" si="2"/>
        <v>60K</v>
      </c>
    </row>
    <row r="63" spans="1:16" x14ac:dyDescent="0.35">
      <c r="A63">
        <v>2015</v>
      </c>
      <c r="B63" s="6" t="s">
        <v>20</v>
      </c>
      <c r="J63" s="13">
        <v>47162.21</v>
      </c>
      <c r="K63" s="5">
        <f t="shared" si="1"/>
        <v>50</v>
      </c>
      <c r="P63" t="str">
        <f t="shared" si="2"/>
        <v>50K</v>
      </c>
    </row>
    <row r="64" spans="1:16" x14ac:dyDescent="0.35">
      <c r="A64">
        <v>2004</v>
      </c>
      <c r="B64" s="7" t="s">
        <v>35</v>
      </c>
      <c r="J64" s="12">
        <v>28379.42</v>
      </c>
      <c r="K64" s="5">
        <f t="shared" si="1"/>
        <v>30</v>
      </c>
      <c r="P64" t="str">
        <f t="shared" si="2"/>
        <v>30K</v>
      </c>
    </row>
    <row r="65" spans="1:16" x14ac:dyDescent="0.35">
      <c r="A65">
        <v>2008</v>
      </c>
      <c r="B65" s="6" t="s">
        <v>20</v>
      </c>
      <c r="J65" s="13">
        <v>69523.759999999995</v>
      </c>
      <c r="K65" s="5">
        <f t="shared" si="1"/>
        <v>70</v>
      </c>
      <c r="P65" t="str">
        <f t="shared" si="2"/>
        <v>70K</v>
      </c>
    </row>
    <row r="66" spans="1:16" x14ac:dyDescent="0.35">
      <c r="A66">
        <v>2001</v>
      </c>
      <c r="B66" s="7" t="s">
        <v>25</v>
      </c>
      <c r="J66" s="12">
        <v>87958.17</v>
      </c>
      <c r="K66" s="5">
        <f t="shared" si="1"/>
        <v>90</v>
      </c>
      <c r="P66" t="str">
        <f t="shared" si="2"/>
        <v>90K</v>
      </c>
    </row>
    <row r="67" spans="1:16" x14ac:dyDescent="0.35">
      <c r="A67">
        <v>2017</v>
      </c>
      <c r="B67" s="6" t="s">
        <v>20</v>
      </c>
      <c r="J67" s="13">
        <v>40422.68</v>
      </c>
      <c r="K67" s="5">
        <f t="shared" ref="K67:K130" si="3">ROUND(J67/10000,0)*10</f>
        <v>40</v>
      </c>
      <c r="P67" t="str">
        <f t="shared" ref="P67:P130" si="4">TEXT(ROUND(J67/10000,0)*10,"0") &amp; "K"</f>
        <v>40K</v>
      </c>
    </row>
    <row r="68" spans="1:16" x14ac:dyDescent="0.35">
      <c r="A68">
        <v>2005</v>
      </c>
      <c r="B68" s="7" t="s">
        <v>27</v>
      </c>
      <c r="J68" s="12">
        <v>84946.15</v>
      </c>
      <c r="K68" s="5">
        <f t="shared" si="3"/>
        <v>80</v>
      </c>
      <c r="P68" t="str">
        <f t="shared" si="4"/>
        <v>80K</v>
      </c>
    </row>
    <row r="69" spans="1:16" x14ac:dyDescent="0.35">
      <c r="A69">
        <v>2008</v>
      </c>
      <c r="B69" s="6" t="s">
        <v>27</v>
      </c>
      <c r="J69" s="13">
        <v>45952.79</v>
      </c>
      <c r="K69" s="5">
        <f t="shared" si="3"/>
        <v>50</v>
      </c>
      <c r="P69" t="str">
        <f t="shared" si="4"/>
        <v>50K</v>
      </c>
    </row>
    <row r="70" spans="1:16" x14ac:dyDescent="0.35">
      <c r="A70">
        <v>2000</v>
      </c>
      <c r="B70" s="7" t="s">
        <v>10</v>
      </c>
      <c r="J70" s="12">
        <v>43126.91</v>
      </c>
      <c r="K70" s="5">
        <f t="shared" si="3"/>
        <v>40</v>
      </c>
      <c r="P70" t="str">
        <f t="shared" si="4"/>
        <v>40K</v>
      </c>
    </row>
    <row r="71" spans="1:16" x14ac:dyDescent="0.35">
      <c r="A71">
        <v>2008</v>
      </c>
      <c r="B71" s="6" t="s">
        <v>27</v>
      </c>
      <c r="J71" s="13">
        <v>7690.81</v>
      </c>
      <c r="K71" s="5">
        <f t="shared" si="3"/>
        <v>10</v>
      </c>
      <c r="P71" t="str">
        <f t="shared" si="4"/>
        <v>10K</v>
      </c>
    </row>
    <row r="72" spans="1:16" x14ac:dyDescent="0.35">
      <c r="A72">
        <v>2015</v>
      </c>
      <c r="B72" s="7" t="s">
        <v>10</v>
      </c>
      <c r="J72" s="12">
        <v>71051.5</v>
      </c>
      <c r="K72" s="5">
        <f t="shared" si="3"/>
        <v>70</v>
      </c>
      <c r="P72" t="str">
        <f t="shared" si="4"/>
        <v>70K</v>
      </c>
    </row>
    <row r="73" spans="1:16" x14ac:dyDescent="0.35">
      <c r="A73">
        <v>2012</v>
      </c>
      <c r="B73" s="6" t="s">
        <v>27</v>
      </c>
      <c r="J73" s="13">
        <v>81712.740000000005</v>
      </c>
      <c r="K73" s="5">
        <f t="shared" si="3"/>
        <v>80</v>
      </c>
      <c r="P73" t="str">
        <f t="shared" si="4"/>
        <v>80K</v>
      </c>
    </row>
    <row r="74" spans="1:16" x14ac:dyDescent="0.35">
      <c r="A74">
        <v>2008</v>
      </c>
      <c r="B74" s="7" t="s">
        <v>25</v>
      </c>
      <c r="J74" s="12">
        <v>68037.91</v>
      </c>
      <c r="K74" s="5">
        <f t="shared" si="3"/>
        <v>70</v>
      </c>
      <c r="P74" t="str">
        <f t="shared" si="4"/>
        <v>70K</v>
      </c>
    </row>
    <row r="75" spans="1:16" x14ac:dyDescent="0.35">
      <c r="A75">
        <v>2020</v>
      </c>
      <c r="B75" s="6" t="s">
        <v>10</v>
      </c>
      <c r="J75" s="13">
        <v>19379.29</v>
      </c>
      <c r="K75" s="5">
        <f t="shared" si="3"/>
        <v>20</v>
      </c>
      <c r="P75" t="str">
        <f t="shared" si="4"/>
        <v>20K</v>
      </c>
    </row>
    <row r="76" spans="1:16" x14ac:dyDescent="0.35">
      <c r="A76">
        <v>2012</v>
      </c>
      <c r="B76" s="7" t="s">
        <v>23</v>
      </c>
      <c r="J76" s="12">
        <v>14812.88</v>
      </c>
      <c r="K76" s="5">
        <f t="shared" si="3"/>
        <v>10</v>
      </c>
      <c r="P76" t="str">
        <f t="shared" si="4"/>
        <v>10K</v>
      </c>
    </row>
    <row r="77" spans="1:16" x14ac:dyDescent="0.35">
      <c r="A77">
        <v>2008</v>
      </c>
      <c r="B77" s="6" t="s">
        <v>29</v>
      </c>
      <c r="J77" s="13">
        <v>59421.58</v>
      </c>
      <c r="K77" s="5">
        <f t="shared" si="3"/>
        <v>60</v>
      </c>
      <c r="P77" t="str">
        <f t="shared" si="4"/>
        <v>60K</v>
      </c>
    </row>
    <row r="78" spans="1:16" x14ac:dyDescent="0.35">
      <c r="A78">
        <v>2010</v>
      </c>
      <c r="B78" s="7" t="s">
        <v>35</v>
      </c>
      <c r="J78" s="12">
        <v>43144.04</v>
      </c>
      <c r="K78" s="5">
        <f t="shared" si="3"/>
        <v>40</v>
      </c>
      <c r="P78" t="str">
        <f t="shared" si="4"/>
        <v>40K</v>
      </c>
    </row>
    <row r="79" spans="1:16" x14ac:dyDescent="0.35">
      <c r="A79">
        <v>2003</v>
      </c>
      <c r="B79" s="6" t="s">
        <v>27</v>
      </c>
      <c r="J79" s="13">
        <v>45764.29</v>
      </c>
      <c r="K79" s="5">
        <f t="shared" si="3"/>
        <v>50</v>
      </c>
      <c r="P79" t="str">
        <f t="shared" si="4"/>
        <v>50K</v>
      </c>
    </row>
    <row r="80" spans="1:16" x14ac:dyDescent="0.35">
      <c r="A80">
        <v>2001</v>
      </c>
      <c r="B80" s="7" t="s">
        <v>20</v>
      </c>
      <c r="J80" s="12">
        <v>96941.02</v>
      </c>
      <c r="K80" s="5">
        <f t="shared" si="3"/>
        <v>100</v>
      </c>
      <c r="P80" t="str">
        <f t="shared" si="4"/>
        <v>100K</v>
      </c>
    </row>
    <row r="81" spans="1:16" x14ac:dyDescent="0.35">
      <c r="A81">
        <v>2005</v>
      </c>
      <c r="B81" s="6" t="s">
        <v>27</v>
      </c>
      <c r="J81" s="13">
        <v>73772.649999999994</v>
      </c>
      <c r="K81" s="5">
        <f t="shared" si="3"/>
        <v>70</v>
      </c>
      <c r="P81" t="str">
        <f t="shared" si="4"/>
        <v>70K</v>
      </c>
    </row>
    <row r="82" spans="1:16" x14ac:dyDescent="0.35">
      <c r="A82">
        <v>2013</v>
      </c>
      <c r="B82" s="7" t="s">
        <v>20</v>
      </c>
      <c r="J82" s="12">
        <v>44119.839999999997</v>
      </c>
      <c r="K82" s="5">
        <f t="shared" si="3"/>
        <v>40</v>
      </c>
      <c r="P82" t="str">
        <f t="shared" si="4"/>
        <v>40K</v>
      </c>
    </row>
    <row r="83" spans="1:16" x14ac:dyDescent="0.35">
      <c r="A83">
        <v>2003</v>
      </c>
      <c r="B83" s="6" t="s">
        <v>29</v>
      </c>
      <c r="J83" s="13">
        <v>6814.43</v>
      </c>
      <c r="K83" s="5">
        <f t="shared" si="3"/>
        <v>10</v>
      </c>
      <c r="P83" t="str">
        <f t="shared" si="4"/>
        <v>10K</v>
      </c>
    </row>
    <row r="84" spans="1:16" x14ac:dyDescent="0.35">
      <c r="A84">
        <v>2005</v>
      </c>
      <c r="B84" s="7" t="s">
        <v>29</v>
      </c>
      <c r="J84" s="12">
        <v>8239.09</v>
      </c>
      <c r="K84" s="5">
        <f t="shared" si="3"/>
        <v>10</v>
      </c>
      <c r="P84" t="str">
        <f t="shared" si="4"/>
        <v>10K</v>
      </c>
    </row>
    <row r="85" spans="1:16" x14ac:dyDescent="0.35">
      <c r="A85">
        <v>2018</v>
      </c>
      <c r="B85" s="6" t="s">
        <v>29</v>
      </c>
      <c r="J85" s="13">
        <v>70056.350000000006</v>
      </c>
      <c r="K85" s="5">
        <f t="shared" si="3"/>
        <v>70</v>
      </c>
      <c r="P85" t="str">
        <f t="shared" si="4"/>
        <v>70K</v>
      </c>
    </row>
    <row r="86" spans="1:16" x14ac:dyDescent="0.35">
      <c r="A86">
        <v>2005</v>
      </c>
      <c r="B86" s="7" t="s">
        <v>20</v>
      </c>
      <c r="J86" s="12">
        <v>84585.18</v>
      </c>
      <c r="K86" s="5">
        <f t="shared" si="3"/>
        <v>80</v>
      </c>
      <c r="P86" t="str">
        <f t="shared" si="4"/>
        <v>80K</v>
      </c>
    </row>
    <row r="87" spans="1:16" x14ac:dyDescent="0.35">
      <c r="A87">
        <v>2001</v>
      </c>
      <c r="B87" s="6" t="s">
        <v>27</v>
      </c>
      <c r="J87" s="13">
        <v>72231.75</v>
      </c>
      <c r="K87" s="5">
        <f t="shared" si="3"/>
        <v>70</v>
      </c>
      <c r="P87" t="str">
        <f t="shared" si="4"/>
        <v>70K</v>
      </c>
    </row>
    <row r="88" spans="1:16" x14ac:dyDescent="0.35">
      <c r="A88">
        <v>2017</v>
      </c>
      <c r="B88" s="7" t="s">
        <v>29</v>
      </c>
      <c r="J88" s="12">
        <v>43559.34</v>
      </c>
      <c r="K88" s="5">
        <f t="shared" si="3"/>
        <v>40</v>
      </c>
      <c r="P88" t="str">
        <f t="shared" si="4"/>
        <v>40K</v>
      </c>
    </row>
    <row r="89" spans="1:16" x14ac:dyDescent="0.35">
      <c r="A89">
        <v>2012</v>
      </c>
      <c r="B89" s="6" t="s">
        <v>25</v>
      </c>
      <c r="J89" s="13">
        <v>7957.9</v>
      </c>
      <c r="K89" s="5">
        <f t="shared" si="3"/>
        <v>10</v>
      </c>
      <c r="P89" t="str">
        <f t="shared" si="4"/>
        <v>10K</v>
      </c>
    </row>
    <row r="90" spans="1:16" x14ac:dyDescent="0.35">
      <c r="A90">
        <v>2008</v>
      </c>
      <c r="B90" s="7" t="s">
        <v>10</v>
      </c>
      <c r="J90" s="12">
        <v>96903.15</v>
      </c>
      <c r="K90" s="5">
        <f t="shared" si="3"/>
        <v>100</v>
      </c>
      <c r="P90" t="str">
        <f t="shared" si="4"/>
        <v>100K</v>
      </c>
    </row>
    <row r="91" spans="1:16" x14ac:dyDescent="0.35">
      <c r="A91">
        <v>2022</v>
      </c>
      <c r="B91" s="6" t="s">
        <v>20</v>
      </c>
      <c r="J91" s="13">
        <v>98701.93</v>
      </c>
      <c r="K91" s="5">
        <f t="shared" si="3"/>
        <v>100</v>
      </c>
      <c r="P91" t="str">
        <f t="shared" si="4"/>
        <v>100K</v>
      </c>
    </row>
    <row r="92" spans="1:16" x14ac:dyDescent="0.35">
      <c r="A92">
        <v>2018</v>
      </c>
      <c r="B92" s="7" t="s">
        <v>20</v>
      </c>
      <c r="J92" s="12">
        <v>57189.63</v>
      </c>
      <c r="K92" s="5">
        <f t="shared" si="3"/>
        <v>60</v>
      </c>
      <c r="P92" t="str">
        <f t="shared" si="4"/>
        <v>60K</v>
      </c>
    </row>
    <row r="93" spans="1:16" x14ac:dyDescent="0.35">
      <c r="A93">
        <v>2012</v>
      </c>
      <c r="B93" s="6" t="s">
        <v>27</v>
      </c>
      <c r="J93" s="13">
        <v>11713.74</v>
      </c>
      <c r="K93" s="5">
        <f t="shared" si="3"/>
        <v>10</v>
      </c>
      <c r="P93" t="str">
        <f t="shared" si="4"/>
        <v>10K</v>
      </c>
    </row>
    <row r="94" spans="1:16" x14ac:dyDescent="0.35">
      <c r="A94">
        <v>2010</v>
      </c>
      <c r="B94" s="7" t="s">
        <v>20</v>
      </c>
      <c r="J94" s="12">
        <v>56392.39</v>
      </c>
      <c r="K94" s="5">
        <f t="shared" si="3"/>
        <v>60</v>
      </c>
      <c r="P94" t="str">
        <f t="shared" si="4"/>
        <v>60K</v>
      </c>
    </row>
    <row r="95" spans="1:16" x14ac:dyDescent="0.35">
      <c r="A95">
        <v>2000</v>
      </c>
      <c r="B95" s="6" t="s">
        <v>20</v>
      </c>
      <c r="J95" s="13">
        <v>89772.15</v>
      </c>
      <c r="K95" s="5">
        <f t="shared" si="3"/>
        <v>90</v>
      </c>
      <c r="P95" t="str">
        <f t="shared" si="4"/>
        <v>90K</v>
      </c>
    </row>
    <row r="96" spans="1:16" x14ac:dyDescent="0.35">
      <c r="A96">
        <v>2023</v>
      </c>
      <c r="B96" s="7" t="s">
        <v>29</v>
      </c>
      <c r="J96" s="12">
        <v>69598.62</v>
      </c>
      <c r="K96" s="5">
        <f t="shared" si="3"/>
        <v>70</v>
      </c>
      <c r="P96" t="str">
        <f t="shared" si="4"/>
        <v>70K</v>
      </c>
    </row>
    <row r="97" spans="1:16" x14ac:dyDescent="0.35">
      <c r="A97">
        <v>2021</v>
      </c>
      <c r="B97" s="6" t="s">
        <v>27</v>
      </c>
      <c r="J97" s="13">
        <v>73398.98</v>
      </c>
      <c r="K97" s="5">
        <f t="shared" si="3"/>
        <v>70</v>
      </c>
      <c r="P97" t="str">
        <f t="shared" si="4"/>
        <v>70K</v>
      </c>
    </row>
    <row r="98" spans="1:16" x14ac:dyDescent="0.35">
      <c r="A98">
        <v>2006</v>
      </c>
      <c r="B98" s="7" t="s">
        <v>29</v>
      </c>
      <c r="J98" s="12">
        <v>13072.13</v>
      </c>
      <c r="K98" s="5">
        <f t="shared" si="3"/>
        <v>10</v>
      </c>
      <c r="P98" t="str">
        <f t="shared" si="4"/>
        <v>10K</v>
      </c>
    </row>
    <row r="99" spans="1:16" x14ac:dyDescent="0.35">
      <c r="A99">
        <v>2020</v>
      </c>
      <c r="B99" s="6" t="s">
        <v>10</v>
      </c>
      <c r="J99" s="13">
        <v>15118.61</v>
      </c>
      <c r="K99" s="5">
        <f t="shared" si="3"/>
        <v>20</v>
      </c>
      <c r="P99" t="str">
        <f t="shared" si="4"/>
        <v>20K</v>
      </c>
    </row>
    <row r="100" spans="1:16" x14ac:dyDescent="0.35">
      <c r="A100">
        <v>2014</v>
      </c>
      <c r="B100" s="7" t="s">
        <v>10</v>
      </c>
      <c r="J100" s="12">
        <v>17098.13</v>
      </c>
      <c r="K100" s="5">
        <f t="shared" si="3"/>
        <v>20</v>
      </c>
      <c r="P100" t="str">
        <f t="shared" si="4"/>
        <v>20K</v>
      </c>
    </row>
    <row r="101" spans="1:16" x14ac:dyDescent="0.35">
      <c r="A101">
        <v>2000</v>
      </c>
      <c r="B101" s="6" t="s">
        <v>29</v>
      </c>
      <c r="J101" s="13">
        <v>90915.8</v>
      </c>
      <c r="K101" s="5">
        <f t="shared" si="3"/>
        <v>90</v>
      </c>
      <c r="P101" t="str">
        <f t="shared" si="4"/>
        <v>90K</v>
      </c>
    </row>
    <row r="102" spans="1:16" x14ac:dyDescent="0.35">
      <c r="A102">
        <v>2011</v>
      </c>
      <c r="B102" s="7" t="s">
        <v>10</v>
      </c>
      <c r="J102" s="12">
        <v>54955.72</v>
      </c>
      <c r="K102" s="5">
        <f t="shared" si="3"/>
        <v>50</v>
      </c>
      <c r="P102" t="str">
        <f t="shared" si="4"/>
        <v>50K</v>
      </c>
    </row>
    <row r="103" spans="1:16" x14ac:dyDescent="0.35">
      <c r="A103">
        <v>2006</v>
      </c>
      <c r="B103" s="6" t="s">
        <v>27</v>
      </c>
      <c r="J103" s="13">
        <v>80199.63</v>
      </c>
      <c r="K103" s="5">
        <f t="shared" si="3"/>
        <v>80</v>
      </c>
      <c r="P103" t="str">
        <f t="shared" si="4"/>
        <v>80K</v>
      </c>
    </row>
    <row r="104" spans="1:16" x14ac:dyDescent="0.35">
      <c r="A104">
        <v>2014</v>
      </c>
      <c r="B104" s="7" t="s">
        <v>35</v>
      </c>
      <c r="J104" s="12">
        <v>15952.67</v>
      </c>
      <c r="K104" s="5">
        <f t="shared" si="3"/>
        <v>20</v>
      </c>
      <c r="P104" t="str">
        <f t="shared" si="4"/>
        <v>20K</v>
      </c>
    </row>
    <row r="105" spans="1:16" x14ac:dyDescent="0.35">
      <c r="A105">
        <v>2020</v>
      </c>
      <c r="B105" s="6" t="s">
        <v>29</v>
      </c>
      <c r="J105" s="13">
        <v>93126.06</v>
      </c>
      <c r="K105" s="5">
        <f t="shared" si="3"/>
        <v>90</v>
      </c>
      <c r="P105" t="str">
        <f t="shared" si="4"/>
        <v>90K</v>
      </c>
    </row>
    <row r="106" spans="1:16" x14ac:dyDescent="0.35">
      <c r="A106">
        <v>2018</v>
      </c>
      <c r="B106" s="7" t="s">
        <v>25</v>
      </c>
      <c r="J106" s="12">
        <v>83008.5</v>
      </c>
      <c r="K106" s="5">
        <f t="shared" si="3"/>
        <v>80</v>
      </c>
      <c r="P106" t="str">
        <f t="shared" si="4"/>
        <v>80K</v>
      </c>
    </row>
    <row r="107" spans="1:16" x14ac:dyDescent="0.35">
      <c r="A107">
        <v>2000</v>
      </c>
      <c r="B107" s="6" t="s">
        <v>25</v>
      </c>
      <c r="J107" s="13">
        <v>26352.59</v>
      </c>
      <c r="K107" s="5">
        <f t="shared" si="3"/>
        <v>30</v>
      </c>
      <c r="P107" t="str">
        <f t="shared" si="4"/>
        <v>30K</v>
      </c>
    </row>
    <row r="108" spans="1:16" x14ac:dyDescent="0.35">
      <c r="A108">
        <v>2016</v>
      </c>
      <c r="B108" s="7" t="s">
        <v>20</v>
      </c>
      <c r="J108" s="12">
        <v>88047.31</v>
      </c>
      <c r="K108" s="5">
        <f t="shared" si="3"/>
        <v>90</v>
      </c>
      <c r="P108" t="str">
        <f t="shared" si="4"/>
        <v>90K</v>
      </c>
    </row>
    <row r="109" spans="1:16" x14ac:dyDescent="0.35">
      <c r="A109">
        <v>2016</v>
      </c>
      <c r="B109" s="6" t="s">
        <v>10</v>
      </c>
      <c r="J109" s="13">
        <v>30027.06</v>
      </c>
      <c r="K109" s="5">
        <f t="shared" si="3"/>
        <v>30</v>
      </c>
      <c r="P109" t="str">
        <f t="shared" si="4"/>
        <v>30K</v>
      </c>
    </row>
    <row r="110" spans="1:16" x14ac:dyDescent="0.35">
      <c r="A110">
        <v>2002</v>
      </c>
      <c r="B110" s="7" t="s">
        <v>25</v>
      </c>
      <c r="J110" s="12">
        <v>24507.29</v>
      </c>
      <c r="K110" s="5">
        <f t="shared" si="3"/>
        <v>20</v>
      </c>
      <c r="P110" t="str">
        <f t="shared" si="4"/>
        <v>20K</v>
      </c>
    </row>
    <row r="111" spans="1:16" x14ac:dyDescent="0.35">
      <c r="A111">
        <v>2011</v>
      </c>
      <c r="B111" s="6" t="s">
        <v>20</v>
      </c>
      <c r="J111" s="13">
        <v>30103.17</v>
      </c>
      <c r="K111" s="5">
        <f t="shared" si="3"/>
        <v>30</v>
      </c>
      <c r="P111" t="str">
        <f t="shared" si="4"/>
        <v>30K</v>
      </c>
    </row>
    <row r="112" spans="1:16" x14ac:dyDescent="0.35">
      <c r="A112">
        <v>2005</v>
      </c>
      <c r="B112" s="7" t="s">
        <v>35</v>
      </c>
      <c r="J112" s="12">
        <v>91445.73</v>
      </c>
      <c r="K112" s="5">
        <f t="shared" si="3"/>
        <v>90</v>
      </c>
      <c r="P112" t="str">
        <f t="shared" si="4"/>
        <v>90K</v>
      </c>
    </row>
    <row r="113" spans="1:16" x14ac:dyDescent="0.35">
      <c r="A113">
        <v>2010</v>
      </c>
      <c r="B113" s="6" t="s">
        <v>27</v>
      </c>
      <c r="J113" s="13">
        <v>91981.24</v>
      </c>
      <c r="K113" s="5">
        <f t="shared" si="3"/>
        <v>90</v>
      </c>
      <c r="P113" t="str">
        <f t="shared" si="4"/>
        <v>90K</v>
      </c>
    </row>
    <row r="114" spans="1:16" x14ac:dyDescent="0.35">
      <c r="A114">
        <v>2002</v>
      </c>
      <c r="B114" s="7" t="s">
        <v>27</v>
      </c>
      <c r="J114" s="12">
        <v>36254.6</v>
      </c>
      <c r="K114" s="5">
        <f t="shared" si="3"/>
        <v>40</v>
      </c>
      <c r="P114" t="str">
        <f t="shared" si="4"/>
        <v>40K</v>
      </c>
    </row>
    <row r="115" spans="1:16" x14ac:dyDescent="0.35">
      <c r="A115">
        <v>2007</v>
      </c>
      <c r="B115" s="6" t="s">
        <v>27</v>
      </c>
      <c r="J115" s="13">
        <v>72016.25</v>
      </c>
      <c r="K115" s="5">
        <f t="shared" si="3"/>
        <v>70</v>
      </c>
      <c r="P115" t="str">
        <f t="shared" si="4"/>
        <v>70K</v>
      </c>
    </row>
    <row r="116" spans="1:16" x14ac:dyDescent="0.35">
      <c r="A116">
        <v>2013</v>
      </c>
      <c r="B116" s="7" t="s">
        <v>25</v>
      </c>
      <c r="J116" s="12">
        <v>69195.8</v>
      </c>
      <c r="K116" s="5">
        <f t="shared" si="3"/>
        <v>70</v>
      </c>
      <c r="P116" t="str">
        <f t="shared" si="4"/>
        <v>70K</v>
      </c>
    </row>
    <row r="117" spans="1:16" x14ac:dyDescent="0.35">
      <c r="A117">
        <v>2013</v>
      </c>
      <c r="B117" s="6" t="s">
        <v>35</v>
      </c>
      <c r="J117" s="13">
        <v>81623.45</v>
      </c>
      <c r="K117" s="5">
        <f t="shared" si="3"/>
        <v>80</v>
      </c>
      <c r="P117" t="str">
        <f t="shared" si="4"/>
        <v>80K</v>
      </c>
    </row>
    <row r="118" spans="1:16" x14ac:dyDescent="0.35">
      <c r="A118">
        <v>2009</v>
      </c>
      <c r="B118" s="7" t="s">
        <v>25</v>
      </c>
      <c r="J118" s="12">
        <v>33168.400000000001</v>
      </c>
      <c r="K118" s="5">
        <f t="shared" si="3"/>
        <v>30</v>
      </c>
      <c r="P118" t="str">
        <f t="shared" si="4"/>
        <v>30K</v>
      </c>
    </row>
    <row r="119" spans="1:16" x14ac:dyDescent="0.35">
      <c r="A119">
        <v>2001</v>
      </c>
      <c r="B119" s="6" t="s">
        <v>10</v>
      </c>
      <c r="J119" s="13">
        <v>53463.16</v>
      </c>
      <c r="K119" s="5">
        <f t="shared" si="3"/>
        <v>50</v>
      </c>
      <c r="P119" t="str">
        <f t="shared" si="4"/>
        <v>50K</v>
      </c>
    </row>
    <row r="120" spans="1:16" x14ac:dyDescent="0.35">
      <c r="A120">
        <v>2013</v>
      </c>
      <c r="B120" s="7" t="s">
        <v>25</v>
      </c>
      <c r="J120" s="12">
        <v>68429.03</v>
      </c>
      <c r="K120" s="5">
        <f t="shared" si="3"/>
        <v>70</v>
      </c>
      <c r="P120" t="str">
        <f t="shared" si="4"/>
        <v>70K</v>
      </c>
    </row>
    <row r="121" spans="1:16" x14ac:dyDescent="0.35">
      <c r="A121">
        <v>2008</v>
      </c>
      <c r="B121" s="6" t="s">
        <v>35</v>
      </c>
      <c r="J121" s="13">
        <v>7494.4</v>
      </c>
      <c r="K121" s="5">
        <f t="shared" si="3"/>
        <v>10</v>
      </c>
      <c r="P121" t="str">
        <f t="shared" si="4"/>
        <v>10K</v>
      </c>
    </row>
    <row r="122" spans="1:16" x14ac:dyDescent="0.35">
      <c r="A122">
        <v>2002</v>
      </c>
      <c r="B122" s="7" t="s">
        <v>35</v>
      </c>
      <c r="J122" s="12">
        <v>40790.18</v>
      </c>
      <c r="K122" s="5">
        <f t="shared" si="3"/>
        <v>40</v>
      </c>
      <c r="P122" t="str">
        <f t="shared" si="4"/>
        <v>40K</v>
      </c>
    </row>
    <row r="123" spans="1:16" x14ac:dyDescent="0.35">
      <c r="A123">
        <v>2020</v>
      </c>
      <c r="B123" s="6" t="s">
        <v>10</v>
      </c>
      <c r="J123" s="13">
        <v>71109.39</v>
      </c>
      <c r="K123" s="5">
        <f t="shared" si="3"/>
        <v>70</v>
      </c>
      <c r="P123" t="str">
        <f t="shared" si="4"/>
        <v>70K</v>
      </c>
    </row>
    <row r="124" spans="1:16" x14ac:dyDescent="0.35">
      <c r="A124">
        <v>2007</v>
      </c>
      <c r="B124" s="7" t="s">
        <v>35</v>
      </c>
      <c r="J124" s="12">
        <v>28996.53</v>
      </c>
      <c r="K124" s="5">
        <f t="shared" si="3"/>
        <v>30</v>
      </c>
      <c r="P124" t="str">
        <f t="shared" si="4"/>
        <v>30K</v>
      </c>
    </row>
    <row r="125" spans="1:16" x14ac:dyDescent="0.35">
      <c r="A125">
        <v>2015</v>
      </c>
      <c r="B125" s="6" t="s">
        <v>35</v>
      </c>
      <c r="J125" s="13">
        <v>95981.89</v>
      </c>
      <c r="K125" s="5">
        <f t="shared" si="3"/>
        <v>100</v>
      </c>
      <c r="P125" t="str">
        <f t="shared" si="4"/>
        <v>100K</v>
      </c>
    </row>
    <row r="126" spans="1:16" x14ac:dyDescent="0.35">
      <c r="A126">
        <v>2001</v>
      </c>
      <c r="B126" s="7" t="s">
        <v>27</v>
      </c>
      <c r="J126" s="12">
        <v>7865.33</v>
      </c>
      <c r="K126" s="5">
        <f t="shared" si="3"/>
        <v>10</v>
      </c>
      <c r="P126" t="str">
        <f t="shared" si="4"/>
        <v>10K</v>
      </c>
    </row>
    <row r="127" spans="1:16" x14ac:dyDescent="0.35">
      <c r="A127">
        <v>2005</v>
      </c>
      <c r="B127" s="6" t="s">
        <v>10</v>
      </c>
      <c r="J127" s="13">
        <v>96018.28</v>
      </c>
      <c r="K127" s="5">
        <f t="shared" si="3"/>
        <v>100</v>
      </c>
      <c r="P127" t="str">
        <f t="shared" si="4"/>
        <v>100K</v>
      </c>
    </row>
    <row r="128" spans="1:16" x14ac:dyDescent="0.35">
      <c r="A128">
        <v>2020</v>
      </c>
      <c r="B128" s="7" t="s">
        <v>23</v>
      </c>
      <c r="J128" s="12">
        <v>25592.57</v>
      </c>
      <c r="K128" s="5">
        <f t="shared" si="3"/>
        <v>30</v>
      </c>
      <c r="P128" t="str">
        <f t="shared" si="4"/>
        <v>30K</v>
      </c>
    </row>
    <row r="129" spans="1:16" x14ac:dyDescent="0.35">
      <c r="A129">
        <v>2011</v>
      </c>
      <c r="B129" s="6" t="s">
        <v>23</v>
      </c>
      <c r="J129" s="13">
        <v>9638.09</v>
      </c>
      <c r="K129" s="5">
        <f t="shared" si="3"/>
        <v>10</v>
      </c>
      <c r="P129" t="str">
        <f t="shared" si="4"/>
        <v>10K</v>
      </c>
    </row>
    <row r="130" spans="1:16" x14ac:dyDescent="0.35">
      <c r="A130">
        <v>2004</v>
      </c>
      <c r="B130" s="7" t="s">
        <v>35</v>
      </c>
      <c r="J130" s="12">
        <v>32785.03</v>
      </c>
      <c r="K130" s="5">
        <f t="shared" si="3"/>
        <v>30</v>
      </c>
      <c r="P130" t="str">
        <f t="shared" si="4"/>
        <v>30K</v>
      </c>
    </row>
    <row r="131" spans="1:16" x14ac:dyDescent="0.35">
      <c r="A131">
        <v>2001</v>
      </c>
      <c r="B131" s="6" t="s">
        <v>23</v>
      </c>
      <c r="J131" s="13">
        <v>79696.820000000007</v>
      </c>
      <c r="K131" s="5">
        <f t="shared" ref="K131:K194" si="5">ROUND(J131/10000,0)*10</f>
        <v>80</v>
      </c>
      <c r="P131" t="str">
        <f t="shared" ref="P131:P194" si="6">TEXT(ROUND(J131/10000,0)*10,"0") &amp; "K"</f>
        <v>80K</v>
      </c>
    </row>
    <row r="132" spans="1:16" x14ac:dyDescent="0.35">
      <c r="A132">
        <v>2015</v>
      </c>
      <c r="B132" s="7" t="s">
        <v>23</v>
      </c>
      <c r="J132" s="12">
        <v>76481.990000000005</v>
      </c>
      <c r="K132" s="5">
        <f t="shared" si="5"/>
        <v>80</v>
      </c>
      <c r="P132" t="str">
        <f t="shared" si="6"/>
        <v>80K</v>
      </c>
    </row>
    <row r="133" spans="1:16" x14ac:dyDescent="0.35">
      <c r="A133">
        <v>2004</v>
      </c>
      <c r="B133" s="6" t="s">
        <v>35</v>
      </c>
      <c r="J133" s="13">
        <v>24839.84</v>
      </c>
      <c r="K133" s="5">
        <f t="shared" si="5"/>
        <v>20</v>
      </c>
      <c r="P133" t="str">
        <f t="shared" si="6"/>
        <v>20K</v>
      </c>
    </row>
    <row r="134" spans="1:16" x14ac:dyDescent="0.35">
      <c r="A134">
        <v>2014</v>
      </c>
      <c r="B134" s="7" t="s">
        <v>23</v>
      </c>
      <c r="J134" s="12">
        <v>23695.06</v>
      </c>
      <c r="K134" s="5">
        <f t="shared" si="5"/>
        <v>20</v>
      </c>
      <c r="P134" t="str">
        <f t="shared" si="6"/>
        <v>20K</v>
      </c>
    </row>
    <row r="135" spans="1:16" x14ac:dyDescent="0.35">
      <c r="A135">
        <v>2011</v>
      </c>
      <c r="B135" s="6" t="s">
        <v>25</v>
      </c>
      <c r="J135" s="13">
        <v>66045.09</v>
      </c>
      <c r="K135" s="5">
        <f t="shared" si="5"/>
        <v>70</v>
      </c>
      <c r="P135" t="str">
        <f t="shared" si="6"/>
        <v>70K</v>
      </c>
    </row>
    <row r="136" spans="1:16" x14ac:dyDescent="0.35">
      <c r="A136">
        <v>2003</v>
      </c>
      <c r="B136" s="7" t="s">
        <v>20</v>
      </c>
      <c r="J136" s="12">
        <v>48517.86</v>
      </c>
      <c r="K136" s="5">
        <f t="shared" si="5"/>
        <v>50</v>
      </c>
      <c r="P136" t="str">
        <f t="shared" si="6"/>
        <v>50K</v>
      </c>
    </row>
    <row r="137" spans="1:16" x14ac:dyDescent="0.35">
      <c r="A137">
        <v>2014</v>
      </c>
      <c r="B137" s="6" t="s">
        <v>10</v>
      </c>
      <c r="J137" s="13">
        <v>80267.55</v>
      </c>
      <c r="K137" s="5">
        <f t="shared" si="5"/>
        <v>80</v>
      </c>
      <c r="P137" t="str">
        <f t="shared" si="6"/>
        <v>80K</v>
      </c>
    </row>
    <row r="138" spans="1:16" x14ac:dyDescent="0.35">
      <c r="A138">
        <v>2010</v>
      </c>
      <c r="B138" s="7" t="s">
        <v>20</v>
      </c>
      <c r="J138" s="12">
        <v>7292.61</v>
      </c>
      <c r="K138" s="5">
        <f t="shared" si="5"/>
        <v>10</v>
      </c>
      <c r="P138" t="str">
        <f t="shared" si="6"/>
        <v>10K</v>
      </c>
    </row>
    <row r="139" spans="1:16" x14ac:dyDescent="0.35">
      <c r="A139">
        <v>2015</v>
      </c>
      <c r="B139" s="6" t="s">
        <v>35</v>
      </c>
      <c r="J139" s="13">
        <v>62989.13</v>
      </c>
      <c r="K139" s="5">
        <f t="shared" si="5"/>
        <v>60</v>
      </c>
      <c r="P139" t="str">
        <f t="shared" si="6"/>
        <v>60K</v>
      </c>
    </row>
    <row r="140" spans="1:16" x14ac:dyDescent="0.35">
      <c r="A140">
        <v>2022</v>
      </c>
      <c r="B140" s="7" t="s">
        <v>27</v>
      </c>
      <c r="J140" s="12">
        <v>74413.84</v>
      </c>
      <c r="K140" s="5">
        <f t="shared" si="5"/>
        <v>70</v>
      </c>
      <c r="P140" t="str">
        <f t="shared" si="6"/>
        <v>70K</v>
      </c>
    </row>
    <row r="141" spans="1:16" x14ac:dyDescent="0.35">
      <c r="A141">
        <v>2005</v>
      </c>
      <c r="B141" s="6" t="s">
        <v>10</v>
      </c>
      <c r="J141" s="13">
        <v>99371.68</v>
      </c>
      <c r="K141" s="5">
        <f t="shared" si="5"/>
        <v>100</v>
      </c>
      <c r="P141" t="str">
        <f t="shared" si="6"/>
        <v>100K</v>
      </c>
    </row>
    <row r="142" spans="1:16" x14ac:dyDescent="0.35">
      <c r="A142">
        <v>2013</v>
      </c>
      <c r="B142" s="7" t="s">
        <v>35</v>
      </c>
      <c r="J142" s="12">
        <v>69484.259999999995</v>
      </c>
      <c r="K142" s="5">
        <f t="shared" si="5"/>
        <v>70</v>
      </c>
      <c r="P142" t="str">
        <f t="shared" si="6"/>
        <v>70K</v>
      </c>
    </row>
    <row r="143" spans="1:16" x14ac:dyDescent="0.35">
      <c r="A143">
        <v>2017</v>
      </c>
      <c r="B143" s="6" t="s">
        <v>27</v>
      </c>
      <c r="J143" s="13">
        <v>27025.29</v>
      </c>
      <c r="K143" s="5">
        <f t="shared" si="5"/>
        <v>30</v>
      </c>
      <c r="P143" t="str">
        <f t="shared" si="6"/>
        <v>30K</v>
      </c>
    </row>
    <row r="144" spans="1:16" x14ac:dyDescent="0.35">
      <c r="A144">
        <v>2011</v>
      </c>
      <c r="B144" s="7" t="s">
        <v>20</v>
      </c>
      <c r="J144" s="12">
        <v>15277.69</v>
      </c>
      <c r="K144" s="5">
        <f t="shared" si="5"/>
        <v>20</v>
      </c>
      <c r="P144" t="str">
        <f t="shared" si="6"/>
        <v>20K</v>
      </c>
    </row>
    <row r="145" spans="1:16" x14ac:dyDescent="0.35">
      <c r="A145">
        <v>2010</v>
      </c>
      <c r="B145" s="6" t="s">
        <v>35</v>
      </c>
      <c r="J145" s="13">
        <v>65887.09</v>
      </c>
      <c r="K145" s="5">
        <f t="shared" si="5"/>
        <v>70</v>
      </c>
      <c r="P145" t="str">
        <f t="shared" si="6"/>
        <v>70K</v>
      </c>
    </row>
    <row r="146" spans="1:16" x14ac:dyDescent="0.35">
      <c r="A146">
        <v>2012</v>
      </c>
      <c r="B146" s="7" t="s">
        <v>10</v>
      </c>
      <c r="J146" s="12">
        <v>54702.39</v>
      </c>
      <c r="K146" s="5">
        <f t="shared" si="5"/>
        <v>50</v>
      </c>
      <c r="P146" t="str">
        <f t="shared" si="6"/>
        <v>50K</v>
      </c>
    </row>
    <row r="147" spans="1:16" x14ac:dyDescent="0.35">
      <c r="A147">
        <v>2020</v>
      </c>
      <c r="B147" s="6" t="s">
        <v>10</v>
      </c>
      <c r="J147" s="13">
        <v>90418.8</v>
      </c>
      <c r="K147" s="5">
        <f t="shared" si="5"/>
        <v>90</v>
      </c>
      <c r="P147" t="str">
        <f t="shared" si="6"/>
        <v>90K</v>
      </c>
    </row>
    <row r="148" spans="1:16" x14ac:dyDescent="0.35">
      <c r="A148">
        <v>2022</v>
      </c>
      <c r="B148" s="7" t="s">
        <v>29</v>
      </c>
      <c r="J148" s="12">
        <v>74027.759999999995</v>
      </c>
      <c r="K148" s="5">
        <f t="shared" si="5"/>
        <v>70</v>
      </c>
      <c r="P148" t="str">
        <f t="shared" si="6"/>
        <v>70K</v>
      </c>
    </row>
    <row r="149" spans="1:16" x14ac:dyDescent="0.35">
      <c r="A149">
        <v>2010</v>
      </c>
      <c r="B149" s="6" t="s">
        <v>25</v>
      </c>
      <c r="J149" s="13">
        <v>53425.53</v>
      </c>
      <c r="K149" s="5">
        <f t="shared" si="5"/>
        <v>50</v>
      </c>
      <c r="P149" t="str">
        <f t="shared" si="6"/>
        <v>50K</v>
      </c>
    </row>
    <row r="150" spans="1:16" x14ac:dyDescent="0.35">
      <c r="A150">
        <v>2022</v>
      </c>
      <c r="B150" s="7" t="s">
        <v>23</v>
      </c>
      <c r="J150" s="12">
        <v>43341</v>
      </c>
      <c r="K150" s="5">
        <f t="shared" si="5"/>
        <v>40</v>
      </c>
      <c r="P150" t="str">
        <f t="shared" si="6"/>
        <v>40K</v>
      </c>
    </row>
    <row r="151" spans="1:16" x14ac:dyDescent="0.35">
      <c r="A151">
        <v>2015</v>
      </c>
      <c r="B151" s="6" t="s">
        <v>27</v>
      </c>
      <c r="J151" s="13">
        <v>43415.6</v>
      </c>
      <c r="K151" s="5">
        <f t="shared" si="5"/>
        <v>40</v>
      </c>
      <c r="P151" t="str">
        <f t="shared" si="6"/>
        <v>40K</v>
      </c>
    </row>
    <row r="152" spans="1:16" x14ac:dyDescent="0.35">
      <c r="A152">
        <v>2014</v>
      </c>
      <c r="B152" s="7" t="s">
        <v>29</v>
      </c>
      <c r="J152" s="12">
        <v>26498.91</v>
      </c>
      <c r="K152" s="5">
        <f t="shared" si="5"/>
        <v>30</v>
      </c>
      <c r="P152" t="str">
        <f t="shared" si="6"/>
        <v>30K</v>
      </c>
    </row>
    <row r="153" spans="1:16" x14ac:dyDescent="0.35">
      <c r="A153">
        <v>2020</v>
      </c>
      <c r="B153" s="6" t="s">
        <v>23</v>
      </c>
      <c r="J153" s="13">
        <v>6645.97</v>
      </c>
      <c r="K153" s="5">
        <f t="shared" si="5"/>
        <v>10</v>
      </c>
      <c r="P153" t="str">
        <f t="shared" si="6"/>
        <v>10K</v>
      </c>
    </row>
    <row r="154" spans="1:16" x14ac:dyDescent="0.35">
      <c r="A154">
        <v>2014</v>
      </c>
      <c r="B154" s="7" t="s">
        <v>23</v>
      </c>
      <c r="J154" s="12">
        <v>59616.51</v>
      </c>
      <c r="K154" s="5">
        <f t="shared" si="5"/>
        <v>60</v>
      </c>
      <c r="P154" t="str">
        <f t="shared" si="6"/>
        <v>60K</v>
      </c>
    </row>
    <row r="155" spans="1:16" x14ac:dyDescent="0.35">
      <c r="A155">
        <v>2003</v>
      </c>
      <c r="B155" s="6" t="s">
        <v>35</v>
      </c>
      <c r="J155" s="13">
        <v>25179.4</v>
      </c>
      <c r="K155" s="5">
        <f t="shared" si="5"/>
        <v>30</v>
      </c>
      <c r="P155" t="str">
        <f t="shared" si="6"/>
        <v>30K</v>
      </c>
    </row>
    <row r="156" spans="1:16" x14ac:dyDescent="0.35">
      <c r="A156">
        <v>2010</v>
      </c>
      <c r="B156" s="7" t="s">
        <v>23</v>
      </c>
      <c r="J156" s="12">
        <v>24791.06</v>
      </c>
      <c r="K156" s="5">
        <f t="shared" si="5"/>
        <v>20</v>
      </c>
      <c r="P156" t="str">
        <f t="shared" si="6"/>
        <v>20K</v>
      </c>
    </row>
    <row r="157" spans="1:16" x14ac:dyDescent="0.35">
      <c r="A157">
        <v>2018</v>
      </c>
      <c r="B157" s="6" t="s">
        <v>25</v>
      </c>
      <c r="J157" s="13">
        <v>16911.22</v>
      </c>
      <c r="K157" s="5">
        <f t="shared" si="5"/>
        <v>20</v>
      </c>
      <c r="P157" t="str">
        <f t="shared" si="6"/>
        <v>20K</v>
      </c>
    </row>
    <row r="158" spans="1:16" x14ac:dyDescent="0.35">
      <c r="A158">
        <v>2014</v>
      </c>
      <c r="B158" s="7" t="s">
        <v>10</v>
      </c>
      <c r="J158" s="12">
        <v>23011.57</v>
      </c>
      <c r="K158" s="5">
        <f t="shared" si="5"/>
        <v>20</v>
      </c>
      <c r="P158" t="str">
        <f t="shared" si="6"/>
        <v>20K</v>
      </c>
    </row>
    <row r="159" spans="1:16" x14ac:dyDescent="0.35">
      <c r="A159">
        <v>2003</v>
      </c>
      <c r="B159" s="6" t="s">
        <v>29</v>
      </c>
      <c r="J159" s="13">
        <v>8019.97</v>
      </c>
      <c r="K159" s="5">
        <f t="shared" si="5"/>
        <v>10</v>
      </c>
      <c r="P159" t="str">
        <f t="shared" si="6"/>
        <v>10K</v>
      </c>
    </row>
    <row r="160" spans="1:16" x14ac:dyDescent="0.35">
      <c r="A160">
        <v>2020</v>
      </c>
      <c r="B160" s="7" t="s">
        <v>23</v>
      </c>
      <c r="J160" s="12">
        <v>69051.990000000005</v>
      </c>
      <c r="K160" s="5">
        <f t="shared" si="5"/>
        <v>70</v>
      </c>
      <c r="P160" t="str">
        <f t="shared" si="6"/>
        <v>70K</v>
      </c>
    </row>
    <row r="161" spans="1:16" x14ac:dyDescent="0.35">
      <c r="A161">
        <v>2012</v>
      </c>
      <c r="B161" s="6" t="s">
        <v>35</v>
      </c>
      <c r="J161" s="13">
        <v>43132.73</v>
      </c>
      <c r="K161" s="5">
        <f t="shared" si="5"/>
        <v>40</v>
      </c>
      <c r="P161" t="str">
        <f t="shared" si="6"/>
        <v>40K</v>
      </c>
    </row>
    <row r="162" spans="1:16" x14ac:dyDescent="0.35">
      <c r="A162">
        <v>2021</v>
      </c>
      <c r="B162" s="7" t="s">
        <v>25</v>
      </c>
      <c r="J162" s="12">
        <v>58344.84</v>
      </c>
      <c r="K162" s="5">
        <f t="shared" si="5"/>
        <v>60</v>
      </c>
      <c r="P162" t="str">
        <f t="shared" si="6"/>
        <v>60K</v>
      </c>
    </row>
    <row r="163" spans="1:16" x14ac:dyDescent="0.35">
      <c r="A163">
        <v>2018</v>
      </c>
      <c r="B163" s="6" t="s">
        <v>20</v>
      </c>
      <c r="J163" s="13">
        <v>65510.97</v>
      </c>
      <c r="K163" s="5">
        <f t="shared" si="5"/>
        <v>70</v>
      </c>
      <c r="P163" t="str">
        <f t="shared" si="6"/>
        <v>70K</v>
      </c>
    </row>
    <row r="164" spans="1:16" x14ac:dyDescent="0.35">
      <c r="A164">
        <v>2001</v>
      </c>
      <c r="B164" s="7" t="s">
        <v>10</v>
      </c>
      <c r="J164" s="12">
        <v>97386.03</v>
      </c>
      <c r="K164" s="5">
        <f t="shared" si="5"/>
        <v>100</v>
      </c>
      <c r="P164" t="str">
        <f t="shared" si="6"/>
        <v>100K</v>
      </c>
    </row>
    <row r="165" spans="1:16" x14ac:dyDescent="0.35">
      <c r="A165">
        <v>2013</v>
      </c>
      <c r="B165" s="6" t="s">
        <v>10</v>
      </c>
      <c r="J165" s="13">
        <v>11485.26</v>
      </c>
      <c r="K165" s="5">
        <f t="shared" si="5"/>
        <v>10</v>
      </c>
      <c r="P165" t="str">
        <f t="shared" si="6"/>
        <v>10K</v>
      </c>
    </row>
    <row r="166" spans="1:16" x14ac:dyDescent="0.35">
      <c r="A166">
        <v>2003</v>
      </c>
      <c r="B166" s="7" t="s">
        <v>29</v>
      </c>
      <c r="J166" s="12">
        <v>44702.18</v>
      </c>
      <c r="K166" s="5">
        <f t="shared" si="5"/>
        <v>40</v>
      </c>
      <c r="P166" t="str">
        <f t="shared" si="6"/>
        <v>40K</v>
      </c>
    </row>
    <row r="167" spans="1:16" x14ac:dyDescent="0.35">
      <c r="A167">
        <v>2015</v>
      </c>
      <c r="B167" s="6" t="s">
        <v>10</v>
      </c>
      <c r="J167" s="13">
        <v>28360.3</v>
      </c>
      <c r="K167" s="5">
        <f t="shared" si="5"/>
        <v>30</v>
      </c>
      <c r="P167" t="str">
        <f t="shared" si="6"/>
        <v>30K</v>
      </c>
    </row>
    <row r="168" spans="1:16" x14ac:dyDescent="0.35">
      <c r="A168">
        <v>2020</v>
      </c>
      <c r="B168" s="7" t="s">
        <v>23</v>
      </c>
      <c r="J168" s="12">
        <v>50287.63</v>
      </c>
      <c r="K168" s="5">
        <f t="shared" si="5"/>
        <v>50</v>
      </c>
      <c r="P168" t="str">
        <f t="shared" si="6"/>
        <v>50K</v>
      </c>
    </row>
    <row r="169" spans="1:16" x14ac:dyDescent="0.35">
      <c r="A169">
        <v>2019</v>
      </c>
      <c r="B169" s="6" t="s">
        <v>35</v>
      </c>
      <c r="J169" s="13">
        <v>92444.87</v>
      </c>
      <c r="K169" s="5">
        <f t="shared" si="5"/>
        <v>90</v>
      </c>
      <c r="P169" t="str">
        <f t="shared" si="6"/>
        <v>90K</v>
      </c>
    </row>
    <row r="170" spans="1:16" x14ac:dyDescent="0.35">
      <c r="A170">
        <v>2013</v>
      </c>
      <c r="B170" s="7" t="s">
        <v>10</v>
      </c>
      <c r="J170" s="12">
        <v>73778.509999999995</v>
      </c>
      <c r="K170" s="5">
        <f t="shared" si="5"/>
        <v>70</v>
      </c>
      <c r="P170" t="str">
        <f t="shared" si="6"/>
        <v>70K</v>
      </c>
    </row>
    <row r="171" spans="1:16" x14ac:dyDescent="0.35">
      <c r="A171">
        <v>2014</v>
      </c>
      <c r="B171" s="6" t="s">
        <v>10</v>
      </c>
      <c r="J171" s="13">
        <v>67885.210000000006</v>
      </c>
      <c r="K171" s="5">
        <f t="shared" si="5"/>
        <v>70</v>
      </c>
      <c r="P171" t="str">
        <f t="shared" si="6"/>
        <v>70K</v>
      </c>
    </row>
    <row r="172" spans="1:16" x14ac:dyDescent="0.35">
      <c r="A172">
        <v>2002</v>
      </c>
      <c r="B172" s="7" t="s">
        <v>20</v>
      </c>
      <c r="J172" s="12">
        <v>46918.36</v>
      </c>
      <c r="K172" s="5">
        <f t="shared" si="5"/>
        <v>50</v>
      </c>
      <c r="P172" t="str">
        <f t="shared" si="6"/>
        <v>50K</v>
      </c>
    </row>
    <row r="173" spans="1:16" x14ac:dyDescent="0.35">
      <c r="A173">
        <v>2007</v>
      </c>
      <c r="B173" s="6" t="s">
        <v>20</v>
      </c>
      <c r="J173" s="13">
        <v>68755.69</v>
      </c>
      <c r="K173" s="5">
        <f t="shared" si="5"/>
        <v>70</v>
      </c>
      <c r="P173" t="str">
        <f t="shared" si="6"/>
        <v>70K</v>
      </c>
    </row>
    <row r="174" spans="1:16" x14ac:dyDescent="0.35">
      <c r="A174">
        <v>2015</v>
      </c>
      <c r="B174" s="7" t="s">
        <v>27</v>
      </c>
      <c r="J174" s="12">
        <v>8075.66</v>
      </c>
      <c r="K174" s="5">
        <f t="shared" si="5"/>
        <v>10</v>
      </c>
      <c r="P174" t="str">
        <f t="shared" si="6"/>
        <v>10K</v>
      </c>
    </row>
    <row r="175" spans="1:16" x14ac:dyDescent="0.35">
      <c r="A175">
        <v>2009</v>
      </c>
      <c r="B175" s="6" t="s">
        <v>25</v>
      </c>
      <c r="J175" s="13">
        <v>60692.67</v>
      </c>
      <c r="K175" s="5">
        <f t="shared" si="5"/>
        <v>60</v>
      </c>
      <c r="P175" t="str">
        <f t="shared" si="6"/>
        <v>60K</v>
      </c>
    </row>
    <row r="176" spans="1:16" x14ac:dyDescent="0.35">
      <c r="A176">
        <v>2003</v>
      </c>
      <c r="B176" s="7" t="s">
        <v>23</v>
      </c>
      <c r="J176" s="12">
        <v>57608.77</v>
      </c>
      <c r="K176" s="5">
        <f t="shared" si="5"/>
        <v>60</v>
      </c>
      <c r="P176" t="str">
        <f t="shared" si="6"/>
        <v>60K</v>
      </c>
    </row>
    <row r="177" spans="1:16" x14ac:dyDescent="0.35">
      <c r="A177">
        <v>2017</v>
      </c>
      <c r="B177" s="6" t="s">
        <v>10</v>
      </c>
      <c r="J177" s="13">
        <v>37930.839999999997</v>
      </c>
      <c r="K177" s="5">
        <f t="shared" si="5"/>
        <v>40</v>
      </c>
      <c r="P177" t="str">
        <f t="shared" si="6"/>
        <v>40K</v>
      </c>
    </row>
    <row r="178" spans="1:16" x14ac:dyDescent="0.35">
      <c r="A178">
        <v>2001</v>
      </c>
      <c r="B178" s="7" t="s">
        <v>10</v>
      </c>
      <c r="J178" s="12">
        <v>24143.84</v>
      </c>
      <c r="K178" s="5">
        <f t="shared" si="5"/>
        <v>20</v>
      </c>
      <c r="P178" t="str">
        <f t="shared" si="6"/>
        <v>20K</v>
      </c>
    </row>
    <row r="179" spans="1:16" x14ac:dyDescent="0.35">
      <c r="A179">
        <v>2016</v>
      </c>
      <c r="B179" s="6" t="s">
        <v>35</v>
      </c>
      <c r="J179" s="13">
        <v>81717.78</v>
      </c>
      <c r="K179" s="5">
        <f t="shared" si="5"/>
        <v>80</v>
      </c>
      <c r="P179" t="str">
        <f t="shared" si="6"/>
        <v>80K</v>
      </c>
    </row>
    <row r="180" spans="1:16" x14ac:dyDescent="0.35">
      <c r="A180">
        <v>2012</v>
      </c>
      <c r="B180" s="7" t="s">
        <v>27</v>
      </c>
      <c r="J180" s="12">
        <v>10116.9</v>
      </c>
      <c r="K180" s="5">
        <f t="shared" si="5"/>
        <v>10</v>
      </c>
      <c r="P180" t="str">
        <f t="shared" si="6"/>
        <v>10K</v>
      </c>
    </row>
    <row r="181" spans="1:16" x14ac:dyDescent="0.35">
      <c r="A181">
        <v>2003</v>
      </c>
      <c r="B181" s="6" t="s">
        <v>25</v>
      </c>
      <c r="J181" s="13">
        <v>11618.92</v>
      </c>
      <c r="K181" s="5">
        <f t="shared" si="5"/>
        <v>10</v>
      </c>
      <c r="P181" t="str">
        <f t="shared" si="6"/>
        <v>10K</v>
      </c>
    </row>
    <row r="182" spans="1:16" x14ac:dyDescent="0.35">
      <c r="A182">
        <v>2010</v>
      </c>
      <c r="B182" s="7" t="s">
        <v>27</v>
      </c>
      <c r="J182" s="12">
        <v>46849.57</v>
      </c>
      <c r="K182" s="5">
        <f t="shared" si="5"/>
        <v>50</v>
      </c>
      <c r="P182" t="str">
        <f t="shared" si="6"/>
        <v>50K</v>
      </c>
    </row>
    <row r="183" spans="1:16" x14ac:dyDescent="0.35">
      <c r="A183">
        <v>2006</v>
      </c>
      <c r="B183" s="6" t="s">
        <v>29</v>
      </c>
      <c r="J183" s="13">
        <v>28992.68</v>
      </c>
      <c r="K183" s="5">
        <f t="shared" si="5"/>
        <v>30</v>
      </c>
      <c r="P183" t="str">
        <f t="shared" si="6"/>
        <v>30K</v>
      </c>
    </row>
    <row r="184" spans="1:16" x14ac:dyDescent="0.35">
      <c r="A184">
        <v>2011</v>
      </c>
      <c r="B184" s="7" t="s">
        <v>25</v>
      </c>
      <c r="J184" s="12">
        <v>75817.98</v>
      </c>
      <c r="K184" s="5">
        <f t="shared" si="5"/>
        <v>80</v>
      </c>
      <c r="P184" t="str">
        <f t="shared" si="6"/>
        <v>80K</v>
      </c>
    </row>
    <row r="185" spans="1:16" x14ac:dyDescent="0.35">
      <c r="A185">
        <v>2009</v>
      </c>
      <c r="B185" s="6" t="s">
        <v>10</v>
      </c>
      <c r="J185" s="13">
        <v>65248.06</v>
      </c>
      <c r="K185" s="5">
        <f t="shared" si="5"/>
        <v>70</v>
      </c>
      <c r="P185" t="str">
        <f t="shared" si="6"/>
        <v>70K</v>
      </c>
    </row>
    <row r="186" spans="1:16" x14ac:dyDescent="0.35">
      <c r="A186">
        <v>2006</v>
      </c>
      <c r="B186" s="7" t="s">
        <v>10</v>
      </c>
      <c r="J186" s="12">
        <v>78390.81</v>
      </c>
      <c r="K186" s="5">
        <f t="shared" si="5"/>
        <v>80</v>
      </c>
      <c r="P186" t="str">
        <f t="shared" si="6"/>
        <v>80K</v>
      </c>
    </row>
    <row r="187" spans="1:16" x14ac:dyDescent="0.35">
      <c r="A187">
        <v>2012</v>
      </c>
      <c r="B187" s="6" t="s">
        <v>25</v>
      </c>
      <c r="J187" s="13">
        <v>35844.5</v>
      </c>
      <c r="K187" s="5">
        <f t="shared" si="5"/>
        <v>40</v>
      </c>
      <c r="P187" t="str">
        <f t="shared" si="6"/>
        <v>40K</v>
      </c>
    </row>
    <row r="188" spans="1:16" x14ac:dyDescent="0.35">
      <c r="A188">
        <v>2006</v>
      </c>
      <c r="B188" s="7" t="s">
        <v>10</v>
      </c>
      <c r="J188" s="12">
        <v>75349.3</v>
      </c>
      <c r="K188" s="5">
        <f t="shared" si="5"/>
        <v>80</v>
      </c>
      <c r="P188" t="str">
        <f t="shared" si="6"/>
        <v>80K</v>
      </c>
    </row>
    <row r="189" spans="1:16" x14ac:dyDescent="0.35">
      <c r="A189">
        <v>2023</v>
      </c>
      <c r="B189" s="6" t="s">
        <v>23</v>
      </c>
      <c r="J189" s="13">
        <v>86918.81</v>
      </c>
      <c r="K189" s="5">
        <f t="shared" si="5"/>
        <v>90</v>
      </c>
      <c r="P189" t="str">
        <f t="shared" si="6"/>
        <v>90K</v>
      </c>
    </row>
    <row r="190" spans="1:16" x14ac:dyDescent="0.35">
      <c r="A190">
        <v>2016</v>
      </c>
      <c r="B190" s="7" t="s">
        <v>25</v>
      </c>
      <c r="J190" s="12">
        <v>37801.08</v>
      </c>
      <c r="K190" s="5">
        <f t="shared" si="5"/>
        <v>40</v>
      </c>
      <c r="P190" t="str">
        <f t="shared" si="6"/>
        <v>40K</v>
      </c>
    </row>
    <row r="191" spans="1:16" x14ac:dyDescent="0.35">
      <c r="A191">
        <v>2009</v>
      </c>
      <c r="B191" s="6" t="s">
        <v>27</v>
      </c>
      <c r="J191" s="13">
        <v>37290.1</v>
      </c>
      <c r="K191" s="5">
        <f t="shared" si="5"/>
        <v>40</v>
      </c>
      <c r="P191" t="str">
        <f t="shared" si="6"/>
        <v>40K</v>
      </c>
    </row>
    <row r="192" spans="1:16" x14ac:dyDescent="0.35">
      <c r="A192">
        <v>2009</v>
      </c>
      <c r="B192" s="7" t="s">
        <v>25</v>
      </c>
      <c r="J192" s="12">
        <v>90495.38</v>
      </c>
      <c r="K192" s="5">
        <f t="shared" si="5"/>
        <v>90</v>
      </c>
      <c r="P192" t="str">
        <f t="shared" si="6"/>
        <v>90K</v>
      </c>
    </row>
    <row r="193" spans="1:16" x14ac:dyDescent="0.35">
      <c r="A193">
        <v>2023</v>
      </c>
      <c r="B193" s="6" t="s">
        <v>10</v>
      </c>
      <c r="J193" s="13">
        <v>9730.07</v>
      </c>
      <c r="K193" s="5">
        <f t="shared" si="5"/>
        <v>10</v>
      </c>
      <c r="P193" t="str">
        <f t="shared" si="6"/>
        <v>10K</v>
      </c>
    </row>
    <row r="194" spans="1:16" x14ac:dyDescent="0.35">
      <c r="A194">
        <v>2003</v>
      </c>
      <c r="B194" s="7" t="s">
        <v>23</v>
      </c>
      <c r="J194" s="12">
        <v>38267.99</v>
      </c>
      <c r="K194" s="5">
        <f t="shared" si="5"/>
        <v>40</v>
      </c>
      <c r="P194" t="str">
        <f t="shared" si="6"/>
        <v>40K</v>
      </c>
    </row>
    <row r="195" spans="1:16" x14ac:dyDescent="0.35">
      <c r="A195">
        <v>2019</v>
      </c>
      <c r="B195" s="6" t="s">
        <v>23</v>
      </c>
      <c r="J195" s="13">
        <v>16273.89</v>
      </c>
      <c r="K195" s="5">
        <f t="shared" ref="K195:K258" si="7">ROUND(J195/10000,0)*10</f>
        <v>20</v>
      </c>
      <c r="P195" t="str">
        <f t="shared" ref="P195:P258" si="8">TEXT(ROUND(J195/10000,0)*10,"0") &amp; "K"</f>
        <v>20K</v>
      </c>
    </row>
    <row r="196" spans="1:16" x14ac:dyDescent="0.35">
      <c r="A196">
        <v>2003</v>
      </c>
      <c r="B196" s="7" t="s">
        <v>29</v>
      </c>
      <c r="J196" s="12">
        <v>7753.16</v>
      </c>
      <c r="K196" s="5">
        <f t="shared" si="7"/>
        <v>10</v>
      </c>
      <c r="P196" t="str">
        <f t="shared" si="8"/>
        <v>10K</v>
      </c>
    </row>
    <row r="197" spans="1:16" x14ac:dyDescent="0.35">
      <c r="A197">
        <v>2021</v>
      </c>
      <c r="B197" s="6" t="s">
        <v>27</v>
      </c>
      <c r="J197" s="13">
        <v>15722.59</v>
      </c>
      <c r="K197" s="5">
        <f t="shared" si="7"/>
        <v>20</v>
      </c>
      <c r="P197" t="str">
        <f t="shared" si="8"/>
        <v>20K</v>
      </c>
    </row>
    <row r="198" spans="1:16" x14ac:dyDescent="0.35">
      <c r="A198">
        <v>2006</v>
      </c>
      <c r="B198" s="7" t="s">
        <v>20</v>
      </c>
      <c r="J198" s="12">
        <v>45968.35</v>
      </c>
      <c r="K198" s="5">
        <f t="shared" si="7"/>
        <v>50</v>
      </c>
      <c r="P198" t="str">
        <f t="shared" si="8"/>
        <v>50K</v>
      </c>
    </row>
    <row r="199" spans="1:16" x14ac:dyDescent="0.35">
      <c r="A199">
        <v>2021</v>
      </c>
      <c r="B199" s="6" t="s">
        <v>20</v>
      </c>
      <c r="J199" s="13">
        <v>70260.83</v>
      </c>
      <c r="K199" s="5">
        <f t="shared" si="7"/>
        <v>70</v>
      </c>
      <c r="P199" t="str">
        <f t="shared" si="8"/>
        <v>70K</v>
      </c>
    </row>
    <row r="200" spans="1:16" x14ac:dyDescent="0.35">
      <c r="A200">
        <v>2000</v>
      </c>
      <c r="B200" s="7" t="s">
        <v>25</v>
      </c>
      <c r="J200" s="12">
        <v>32481.83</v>
      </c>
      <c r="K200" s="5">
        <f t="shared" si="7"/>
        <v>30</v>
      </c>
      <c r="P200" t="str">
        <f t="shared" si="8"/>
        <v>30K</v>
      </c>
    </row>
    <row r="201" spans="1:16" x14ac:dyDescent="0.35">
      <c r="A201">
        <v>2011</v>
      </c>
      <c r="B201" s="6" t="s">
        <v>29</v>
      </c>
      <c r="J201" s="13">
        <v>85719.15</v>
      </c>
      <c r="K201" s="5">
        <f t="shared" si="7"/>
        <v>90</v>
      </c>
      <c r="P201" t="str">
        <f t="shared" si="8"/>
        <v>90K</v>
      </c>
    </row>
    <row r="202" spans="1:16" x14ac:dyDescent="0.35">
      <c r="A202">
        <v>2023</v>
      </c>
      <c r="B202" s="7" t="s">
        <v>35</v>
      </c>
      <c r="J202" s="12">
        <v>46573.48</v>
      </c>
      <c r="K202" s="5">
        <f t="shared" si="7"/>
        <v>50</v>
      </c>
      <c r="P202" t="str">
        <f t="shared" si="8"/>
        <v>50K</v>
      </c>
    </row>
    <row r="203" spans="1:16" x14ac:dyDescent="0.35">
      <c r="A203">
        <v>2012</v>
      </c>
      <c r="B203" s="6" t="s">
        <v>25</v>
      </c>
      <c r="J203" s="13">
        <v>96981.66</v>
      </c>
      <c r="K203" s="5">
        <f t="shared" si="7"/>
        <v>100</v>
      </c>
      <c r="P203" t="str">
        <f t="shared" si="8"/>
        <v>100K</v>
      </c>
    </row>
    <row r="204" spans="1:16" x14ac:dyDescent="0.35">
      <c r="A204">
        <v>2009</v>
      </c>
      <c r="B204" s="7" t="s">
        <v>29</v>
      </c>
      <c r="J204" s="12">
        <v>95644.79</v>
      </c>
      <c r="K204" s="5">
        <f t="shared" si="7"/>
        <v>100</v>
      </c>
      <c r="P204" t="str">
        <f t="shared" si="8"/>
        <v>100K</v>
      </c>
    </row>
    <row r="205" spans="1:16" x14ac:dyDescent="0.35">
      <c r="A205">
        <v>2014</v>
      </c>
      <c r="B205" s="6" t="s">
        <v>27</v>
      </c>
      <c r="J205" s="13">
        <v>78461.240000000005</v>
      </c>
      <c r="K205" s="5">
        <f t="shared" si="7"/>
        <v>80</v>
      </c>
      <c r="P205" t="str">
        <f t="shared" si="8"/>
        <v>80K</v>
      </c>
    </row>
    <row r="206" spans="1:16" x14ac:dyDescent="0.35">
      <c r="A206">
        <v>2012</v>
      </c>
      <c r="B206" s="7" t="s">
        <v>27</v>
      </c>
      <c r="J206" s="12">
        <v>93578.52</v>
      </c>
      <c r="K206" s="5">
        <f t="shared" si="7"/>
        <v>90</v>
      </c>
      <c r="P206" t="str">
        <f t="shared" si="8"/>
        <v>90K</v>
      </c>
    </row>
    <row r="207" spans="1:16" x14ac:dyDescent="0.35">
      <c r="A207">
        <v>2022</v>
      </c>
      <c r="B207" s="6" t="s">
        <v>27</v>
      </c>
      <c r="J207" s="13">
        <v>72174.13</v>
      </c>
      <c r="K207" s="5">
        <f t="shared" si="7"/>
        <v>70</v>
      </c>
      <c r="P207" t="str">
        <f t="shared" si="8"/>
        <v>70K</v>
      </c>
    </row>
    <row r="208" spans="1:16" x14ac:dyDescent="0.35">
      <c r="A208">
        <v>2021</v>
      </c>
      <c r="B208" s="7" t="s">
        <v>27</v>
      </c>
      <c r="J208" s="12">
        <v>90080.4</v>
      </c>
      <c r="K208" s="5">
        <f t="shared" si="7"/>
        <v>90</v>
      </c>
      <c r="P208" t="str">
        <f t="shared" si="8"/>
        <v>90K</v>
      </c>
    </row>
    <row r="209" spans="1:16" x14ac:dyDescent="0.35">
      <c r="A209">
        <v>2021</v>
      </c>
      <c r="B209" s="6" t="s">
        <v>27</v>
      </c>
      <c r="J209" s="13">
        <v>27465</v>
      </c>
      <c r="K209" s="5">
        <f t="shared" si="7"/>
        <v>30</v>
      </c>
      <c r="P209" t="str">
        <f t="shared" si="8"/>
        <v>30K</v>
      </c>
    </row>
    <row r="210" spans="1:16" x14ac:dyDescent="0.35">
      <c r="A210">
        <v>2020</v>
      </c>
      <c r="B210" s="7" t="s">
        <v>29</v>
      </c>
      <c r="J210" s="12">
        <v>37814.92</v>
      </c>
      <c r="K210" s="5">
        <f t="shared" si="7"/>
        <v>40</v>
      </c>
      <c r="P210" t="str">
        <f t="shared" si="8"/>
        <v>40K</v>
      </c>
    </row>
    <row r="211" spans="1:16" x14ac:dyDescent="0.35">
      <c r="A211">
        <v>2021</v>
      </c>
      <c r="B211" s="6" t="s">
        <v>29</v>
      </c>
      <c r="J211" s="13">
        <v>76528.36</v>
      </c>
      <c r="K211" s="5">
        <f t="shared" si="7"/>
        <v>80</v>
      </c>
      <c r="P211" t="str">
        <f t="shared" si="8"/>
        <v>80K</v>
      </c>
    </row>
    <row r="212" spans="1:16" x14ac:dyDescent="0.35">
      <c r="A212">
        <v>2008</v>
      </c>
      <c r="B212" s="7" t="s">
        <v>23</v>
      </c>
      <c r="J212" s="12">
        <v>45333.32</v>
      </c>
      <c r="K212" s="5">
        <f t="shared" si="7"/>
        <v>50</v>
      </c>
      <c r="P212" t="str">
        <f t="shared" si="8"/>
        <v>50K</v>
      </c>
    </row>
    <row r="213" spans="1:16" x14ac:dyDescent="0.35">
      <c r="A213">
        <v>2008</v>
      </c>
      <c r="B213" s="6" t="s">
        <v>20</v>
      </c>
      <c r="J213" s="13">
        <v>84546.11</v>
      </c>
      <c r="K213" s="5">
        <f t="shared" si="7"/>
        <v>80</v>
      </c>
      <c r="P213" t="str">
        <f t="shared" si="8"/>
        <v>80K</v>
      </c>
    </row>
    <row r="214" spans="1:16" x14ac:dyDescent="0.35">
      <c r="A214">
        <v>2014</v>
      </c>
      <c r="B214" s="7" t="s">
        <v>10</v>
      </c>
      <c r="J214" s="12">
        <v>88375.69</v>
      </c>
      <c r="K214" s="5">
        <f t="shared" si="7"/>
        <v>90</v>
      </c>
      <c r="P214" t="str">
        <f t="shared" si="8"/>
        <v>90K</v>
      </c>
    </row>
    <row r="215" spans="1:16" x14ac:dyDescent="0.35">
      <c r="A215">
        <v>2009</v>
      </c>
      <c r="B215" s="6" t="s">
        <v>27</v>
      </c>
      <c r="J215" s="13">
        <v>33474.300000000003</v>
      </c>
      <c r="K215" s="5">
        <f t="shared" si="7"/>
        <v>30</v>
      </c>
      <c r="P215" t="str">
        <f t="shared" si="8"/>
        <v>30K</v>
      </c>
    </row>
    <row r="216" spans="1:16" x14ac:dyDescent="0.35">
      <c r="A216">
        <v>2023</v>
      </c>
      <c r="B216" s="7" t="s">
        <v>35</v>
      </c>
      <c r="J216" s="12">
        <v>83227.83</v>
      </c>
      <c r="K216" s="5">
        <f t="shared" si="7"/>
        <v>80</v>
      </c>
      <c r="P216" t="str">
        <f t="shared" si="8"/>
        <v>80K</v>
      </c>
    </row>
    <row r="217" spans="1:16" x14ac:dyDescent="0.35">
      <c r="A217">
        <v>2009</v>
      </c>
      <c r="B217" s="6" t="s">
        <v>10</v>
      </c>
      <c r="J217" s="13">
        <v>19655.11</v>
      </c>
      <c r="K217" s="5">
        <f t="shared" si="7"/>
        <v>20</v>
      </c>
      <c r="P217" t="str">
        <f t="shared" si="8"/>
        <v>20K</v>
      </c>
    </row>
    <row r="218" spans="1:16" x14ac:dyDescent="0.35">
      <c r="A218">
        <v>2007</v>
      </c>
      <c r="B218" s="7" t="s">
        <v>29</v>
      </c>
      <c r="J218" s="12">
        <v>36748.69</v>
      </c>
      <c r="K218" s="5">
        <f t="shared" si="7"/>
        <v>40</v>
      </c>
      <c r="P218" t="str">
        <f t="shared" si="8"/>
        <v>40K</v>
      </c>
    </row>
    <row r="219" spans="1:16" x14ac:dyDescent="0.35">
      <c r="A219">
        <v>2023</v>
      </c>
      <c r="B219" s="6" t="s">
        <v>35</v>
      </c>
      <c r="J219" s="13">
        <v>54206.67</v>
      </c>
      <c r="K219" s="5">
        <f t="shared" si="7"/>
        <v>50</v>
      </c>
      <c r="P219" t="str">
        <f t="shared" si="8"/>
        <v>50K</v>
      </c>
    </row>
    <row r="220" spans="1:16" x14ac:dyDescent="0.35">
      <c r="A220">
        <v>2015</v>
      </c>
      <c r="B220" s="7" t="s">
        <v>35</v>
      </c>
      <c r="J220" s="12">
        <v>26512.16</v>
      </c>
      <c r="K220" s="5">
        <f t="shared" si="7"/>
        <v>30</v>
      </c>
      <c r="P220" t="str">
        <f t="shared" si="8"/>
        <v>30K</v>
      </c>
    </row>
    <row r="221" spans="1:16" x14ac:dyDescent="0.35">
      <c r="A221">
        <v>2016</v>
      </c>
      <c r="B221" s="6" t="s">
        <v>35</v>
      </c>
      <c r="J221" s="13">
        <v>60030.44</v>
      </c>
      <c r="K221" s="5">
        <f t="shared" si="7"/>
        <v>60</v>
      </c>
      <c r="P221" t="str">
        <f t="shared" si="8"/>
        <v>60K</v>
      </c>
    </row>
    <row r="222" spans="1:16" x14ac:dyDescent="0.35">
      <c r="A222">
        <v>2004</v>
      </c>
      <c r="B222" s="7" t="s">
        <v>23</v>
      </c>
      <c r="J222" s="12">
        <v>59976.03</v>
      </c>
      <c r="K222" s="5">
        <f t="shared" si="7"/>
        <v>60</v>
      </c>
      <c r="P222" t="str">
        <f t="shared" si="8"/>
        <v>60K</v>
      </c>
    </row>
    <row r="223" spans="1:16" x14ac:dyDescent="0.35">
      <c r="A223">
        <v>2003</v>
      </c>
      <c r="B223" s="6" t="s">
        <v>29</v>
      </c>
      <c r="J223" s="13">
        <v>24655.78</v>
      </c>
      <c r="K223" s="5">
        <f t="shared" si="7"/>
        <v>20</v>
      </c>
      <c r="P223" t="str">
        <f t="shared" si="8"/>
        <v>20K</v>
      </c>
    </row>
    <row r="224" spans="1:16" x14ac:dyDescent="0.35">
      <c r="A224">
        <v>2017</v>
      </c>
      <c r="B224" s="7" t="s">
        <v>35</v>
      </c>
      <c r="J224" s="12">
        <v>80585.929999999993</v>
      </c>
      <c r="K224" s="5">
        <f t="shared" si="7"/>
        <v>80</v>
      </c>
      <c r="P224" t="str">
        <f t="shared" si="8"/>
        <v>80K</v>
      </c>
    </row>
    <row r="225" spans="1:16" x14ac:dyDescent="0.35">
      <c r="A225">
        <v>2023</v>
      </c>
      <c r="B225" s="6" t="s">
        <v>27</v>
      </c>
      <c r="J225" s="13">
        <v>65006.23</v>
      </c>
      <c r="K225" s="5">
        <f t="shared" si="7"/>
        <v>70</v>
      </c>
      <c r="P225" t="str">
        <f t="shared" si="8"/>
        <v>70K</v>
      </c>
    </row>
    <row r="226" spans="1:16" x14ac:dyDescent="0.35">
      <c r="A226">
        <v>2018</v>
      </c>
      <c r="B226" s="7" t="s">
        <v>25</v>
      </c>
      <c r="J226" s="12">
        <v>35187.25</v>
      </c>
      <c r="K226" s="5">
        <f t="shared" si="7"/>
        <v>40</v>
      </c>
      <c r="P226" t="str">
        <f t="shared" si="8"/>
        <v>40K</v>
      </c>
    </row>
    <row r="227" spans="1:16" x14ac:dyDescent="0.35">
      <c r="A227">
        <v>2003</v>
      </c>
      <c r="B227" s="6" t="s">
        <v>35</v>
      </c>
      <c r="J227" s="13">
        <v>27057.55</v>
      </c>
      <c r="K227" s="5">
        <f t="shared" si="7"/>
        <v>30</v>
      </c>
      <c r="P227" t="str">
        <f t="shared" si="8"/>
        <v>30K</v>
      </c>
    </row>
    <row r="228" spans="1:16" x14ac:dyDescent="0.35">
      <c r="A228">
        <v>2006</v>
      </c>
      <c r="B228" s="7" t="s">
        <v>23</v>
      </c>
      <c r="J228" s="12">
        <v>88481.26</v>
      </c>
      <c r="K228" s="5">
        <f t="shared" si="7"/>
        <v>90</v>
      </c>
      <c r="P228" t="str">
        <f t="shared" si="8"/>
        <v>90K</v>
      </c>
    </row>
    <row r="229" spans="1:16" x14ac:dyDescent="0.35">
      <c r="A229">
        <v>2009</v>
      </c>
      <c r="B229" s="6" t="s">
        <v>10</v>
      </c>
      <c r="J229" s="13">
        <v>84395.51</v>
      </c>
      <c r="K229" s="5">
        <f t="shared" si="7"/>
        <v>80</v>
      </c>
      <c r="P229" t="str">
        <f t="shared" si="8"/>
        <v>80K</v>
      </c>
    </row>
    <row r="230" spans="1:16" x14ac:dyDescent="0.35">
      <c r="A230">
        <v>2017</v>
      </c>
      <c r="B230" s="7" t="s">
        <v>29</v>
      </c>
      <c r="J230" s="12">
        <v>26827.26</v>
      </c>
      <c r="K230" s="5">
        <f t="shared" si="7"/>
        <v>30</v>
      </c>
      <c r="P230" t="str">
        <f t="shared" si="8"/>
        <v>30K</v>
      </c>
    </row>
    <row r="231" spans="1:16" x14ac:dyDescent="0.35">
      <c r="A231">
        <v>2018</v>
      </c>
      <c r="B231" s="6" t="s">
        <v>23</v>
      </c>
      <c r="J231" s="13">
        <v>8382.5</v>
      </c>
      <c r="K231" s="5">
        <f t="shared" si="7"/>
        <v>10</v>
      </c>
      <c r="P231" t="str">
        <f t="shared" si="8"/>
        <v>10K</v>
      </c>
    </row>
    <row r="232" spans="1:16" x14ac:dyDescent="0.35">
      <c r="A232">
        <v>2003</v>
      </c>
      <c r="B232" s="7" t="s">
        <v>35</v>
      </c>
      <c r="J232" s="12">
        <v>81430.600000000006</v>
      </c>
      <c r="K232" s="5">
        <f t="shared" si="7"/>
        <v>80</v>
      </c>
      <c r="P232" t="str">
        <f t="shared" si="8"/>
        <v>80K</v>
      </c>
    </row>
    <row r="233" spans="1:16" x14ac:dyDescent="0.35">
      <c r="A233">
        <v>2009</v>
      </c>
      <c r="B233" s="6" t="s">
        <v>29</v>
      </c>
      <c r="J233" s="13">
        <v>63473.31</v>
      </c>
      <c r="K233" s="5">
        <f t="shared" si="7"/>
        <v>60</v>
      </c>
      <c r="P233" t="str">
        <f t="shared" si="8"/>
        <v>60K</v>
      </c>
    </row>
    <row r="234" spans="1:16" x14ac:dyDescent="0.35">
      <c r="A234">
        <v>2000</v>
      </c>
      <c r="B234" s="7" t="s">
        <v>25</v>
      </c>
      <c r="J234" s="12">
        <v>14583.79</v>
      </c>
      <c r="K234" s="5">
        <f t="shared" si="7"/>
        <v>10</v>
      </c>
      <c r="P234" t="str">
        <f t="shared" si="8"/>
        <v>10K</v>
      </c>
    </row>
    <row r="235" spans="1:16" x14ac:dyDescent="0.35">
      <c r="A235">
        <v>2022</v>
      </c>
      <c r="B235" s="6" t="s">
        <v>35</v>
      </c>
      <c r="J235" s="13">
        <v>60799.03</v>
      </c>
      <c r="K235" s="5">
        <f t="shared" si="7"/>
        <v>60</v>
      </c>
      <c r="P235" t="str">
        <f t="shared" si="8"/>
        <v>60K</v>
      </c>
    </row>
    <row r="236" spans="1:16" x14ac:dyDescent="0.35">
      <c r="A236">
        <v>2017</v>
      </c>
      <c r="B236" s="7" t="s">
        <v>23</v>
      </c>
      <c r="J236" s="12">
        <v>47957.36</v>
      </c>
      <c r="K236" s="5">
        <f t="shared" si="7"/>
        <v>50</v>
      </c>
      <c r="P236" t="str">
        <f t="shared" si="8"/>
        <v>50K</v>
      </c>
    </row>
    <row r="237" spans="1:16" x14ac:dyDescent="0.35">
      <c r="A237">
        <v>2004</v>
      </c>
      <c r="B237" s="6" t="s">
        <v>20</v>
      </c>
      <c r="J237" s="13">
        <v>78582.28</v>
      </c>
      <c r="K237" s="5">
        <f t="shared" si="7"/>
        <v>80</v>
      </c>
      <c r="P237" t="str">
        <f t="shared" si="8"/>
        <v>80K</v>
      </c>
    </row>
    <row r="238" spans="1:16" x14ac:dyDescent="0.35">
      <c r="A238">
        <v>2014</v>
      </c>
      <c r="B238" s="7" t="s">
        <v>27</v>
      </c>
      <c r="J238" s="12">
        <v>24863.06</v>
      </c>
      <c r="K238" s="5">
        <f t="shared" si="7"/>
        <v>20</v>
      </c>
      <c r="P238" t="str">
        <f t="shared" si="8"/>
        <v>20K</v>
      </c>
    </row>
    <row r="239" spans="1:16" x14ac:dyDescent="0.35">
      <c r="A239">
        <v>2016</v>
      </c>
      <c r="B239" s="6" t="s">
        <v>10</v>
      </c>
      <c r="J239" s="13">
        <v>48049.89</v>
      </c>
      <c r="K239" s="5">
        <f t="shared" si="7"/>
        <v>50</v>
      </c>
      <c r="P239" t="str">
        <f t="shared" si="8"/>
        <v>50K</v>
      </c>
    </row>
    <row r="240" spans="1:16" x14ac:dyDescent="0.35">
      <c r="A240">
        <v>2002</v>
      </c>
      <c r="B240" s="7" t="s">
        <v>23</v>
      </c>
      <c r="J240" s="12">
        <v>19843.189999999999</v>
      </c>
      <c r="K240" s="5">
        <f t="shared" si="7"/>
        <v>20</v>
      </c>
      <c r="P240" t="str">
        <f t="shared" si="8"/>
        <v>20K</v>
      </c>
    </row>
    <row r="241" spans="1:16" x14ac:dyDescent="0.35">
      <c r="A241">
        <v>2011</v>
      </c>
      <c r="B241" s="6" t="s">
        <v>29</v>
      </c>
      <c r="J241" s="13">
        <v>95965.09</v>
      </c>
      <c r="K241" s="5">
        <f t="shared" si="7"/>
        <v>100</v>
      </c>
      <c r="P241" t="str">
        <f t="shared" si="8"/>
        <v>100K</v>
      </c>
    </row>
    <row r="242" spans="1:16" x14ac:dyDescent="0.35">
      <c r="A242">
        <v>2001</v>
      </c>
      <c r="B242" s="7" t="s">
        <v>35</v>
      </c>
      <c r="J242" s="12">
        <v>78980.12</v>
      </c>
      <c r="K242" s="5">
        <f t="shared" si="7"/>
        <v>80</v>
      </c>
      <c r="P242" t="str">
        <f t="shared" si="8"/>
        <v>80K</v>
      </c>
    </row>
    <row r="243" spans="1:16" x14ac:dyDescent="0.35">
      <c r="A243">
        <v>2000</v>
      </c>
      <c r="B243" s="6" t="s">
        <v>27</v>
      </c>
      <c r="J243" s="13">
        <v>74988.63</v>
      </c>
      <c r="K243" s="5">
        <f t="shared" si="7"/>
        <v>70</v>
      </c>
      <c r="P243" t="str">
        <f t="shared" si="8"/>
        <v>70K</v>
      </c>
    </row>
    <row r="244" spans="1:16" x14ac:dyDescent="0.35">
      <c r="A244">
        <v>2022</v>
      </c>
      <c r="B244" s="7" t="s">
        <v>35</v>
      </c>
      <c r="J244" s="12">
        <v>70569.63</v>
      </c>
      <c r="K244" s="5">
        <f t="shared" si="7"/>
        <v>70</v>
      </c>
      <c r="P244" t="str">
        <f t="shared" si="8"/>
        <v>70K</v>
      </c>
    </row>
    <row r="245" spans="1:16" x14ac:dyDescent="0.35">
      <c r="A245">
        <v>2020</v>
      </c>
      <c r="B245" s="6" t="s">
        <v>29</v>
      </c>
      <c r="J245" s="13">
        <v>45216.959999999999</v>
      </c>
      <c r="K245" s="5">
        <f t="shared" si="7"/>
        <v>50</v>
      </c>
      <c r="P245" t="str">
        <f t="shared" si="8"/>
        <v>50K</v>
      </c>
    </row>
    <row r="246" spans="1:16" x14ac:dyDescent="0.35">
      <c r="A246">
        <v>2016</v>
      </c>
      <c r="B246" s="7" t="s">
        <v>35</v>
      </c>
      <c r="J246" s="12">
        <v>92711.83</v>
      </c>
      <c r="K246" s="5">
        <f t="shared" si="7"/>
        <v>90</v>
      </c>
      <c r="P246" t="str">
        <f t="shared" si="8"/>
        <v>90K</v>
      </c>
    </row>
    <row r="247" spans="1:16" x14ac:dyDescent="0.35">
      <c r="A247">
        <v>2021</v>
      </c>
      <c r="B247" s="6" t="s">
        <v>20</v>
      </c>
      <c r="J247" s="13">
        <v>11927.12</v>
      </c>
      <c r="K247" s="5">
        <f t="shared" si="7"/>
        <v>10</v>
      </c>
      <c r="P247" t="str">
        <f t="shared" si="8"/>
        <v>10K</v>
      </c>
    </row>
    <row r="248" spans="1:16" x14ac:dyDescent="0.35">
      <c r="A248">
        <v>2015</v>
      </c>
      <c r="B248" s="7" t="s">
        <v>27</v>
      </c>
      <c r="J248" s="12">
        <v>81309.61</v>
      </c>
      <c r="K248" s="5">
        <f t="shared" si="7"/>
        <v>80</v>
      </c>
      <c r="P248" t="str">
        <f t="shared" si="8"/>
        <v>80K</v>
      </c>
    </row>
    <row r="249" spans="1:16" x14ac:dyDescent="0.35">
      <c r="A249">
        <v>2004</v>
      </c>
      <c r="B249" s="6" t="s">
        <v>27</v>
      </c>
      <c r="J249" s="13">
        <v>25447.11</v>
      </c>
      <c r="K249" s="5">
        <f t="shared" si="7"/>
        <v>30</v>
      </c>
      <c r="P249" t="str">
        <f t="shared" si="8"/>
        <v>30K</v>
      </c>
    </row>
    <row r="250" spans="1:16" x14ac:dyDescent="0.35">
      <c r="A250">
        <v>2014</v>
      </c>
      <c r="B250" s="7" t="s">
        <v>29</v>
      </c>
      <c r="J250" s="12">
        <v>35782.660000000003</v>
      </c>
      <c r="K250" s="5">
        <f t="shared" si="7"/>
        <v>40</v>
      </c>
      <c r="P250" t="str">
        <f t="shared" si="8"/>
        <v>40K</v>
      </c>
    </row>
    <row r="251" spans="1:16" x14ac:dyDescent="0.35">
      <c r="A251">
        <v>2002</v>
      </c>
      <c r="B251" s="6" t="s">
        <v>10</v>
      </c>
      <c r="J251" s="13">
        <v>54345.82</v>
      </c>
      <c r="K251" s="5">
        <f t="shared" si="7"/>
        <v>50</v>
      </c>
      <c r="P251" t="str">
        <f t="shared" si="8"/>
        <v>50K</v>
      </c>
    </row>
    <row r="252" spans="1:16" x14ac:dyDescent="0.35">
      <c r="A252">
        <v>2006</v>
      </c>
      <c r="B252" s="7" t="s">
        <v>20</v>
      </c>
      <c r="J252" s="12">
        <v>79352.23</v>
      </c>
      <c r="K252" s="5">
        <f t="shared" si="7"/>
        <v>80</v>
      </c>
      <c r="P252" t="str">
        <f t="shared" si="8"/>
        <v>80K</v>
      </c>
    </row>
    <row r="253" spans="1:16" x14ac:dyDescent="0.35">
      <c r="A253">
        <v>2010</v>
      </c>
      <c r="B253" s="6" t="s">
        <v>23</v>
      </c>
      <c r="J253" s="13">
        <v>84660.82</v>
      </c>
      <c r="K253" s="5">
        <f t="shared" si="7"/>
        <v>80</v>
      </c>
      <c r="P253" t="str">
        <f t="shared" si="8"/>
        <v>80K</v>
      </c>
    </row>
    <row r="254" spans="1:16" x14ac:dyDescent="0.35">
      <c r="A254">
        <v>2009</v>
      </c>
      <c r="B254" s="7" t="s">
        <v>35</v>
      </c>
      <c r="J254" s="12">
        <v>60454.559999999998</v>
      </c>
      <c r="K254" s="5">
        <f t="shared" si="7"/>
        <v>60</v>
      </c>
      <c r="P254" t="str">
        <f t="shared" si="8"/>
        <v>60K</v>
      </c>
    </row>
    <row r="255" spans="1:16" x14ac:dyDescent="0.35">
      <c r="A255">
        <v>2008</v>
      </c>
      <c r="B255" s="6" t="s">
        <v>25</v>
      </c>
      <c r="J255" s="13">
        <v>43288.37</v>
      </c>
      <c r="K255" s="5">
        <f t="shared" si="7"/>
        <v>40</v>
      </c>
      <c r="P255" t="str">
        <f t="shared" si="8"/>
        <v>40K</v>
      </c>
    </row>
    <row r="256" spans="1:16" x14ac:dyDescent="0.35">
      <c r="A256">
        <v>2013</v>
      </c>
      <c r="B256" s="7" t="s">
        <v>35</v>
      </c>
      <c r="J256" s="12">
        <v>94917.73</v>
      </c>
      <c r="K256" s="5">
        <f t="shared" si="7"/>
        <v>90</v>
      </c>
      <c r="P256" t="str">
        <f t="shared" si="8"/>
        <v>90K</v>
      </c>
    </row>
    <row r="257" spans="1:16" x14ac:dyDescent="0.35">
      <c r="A257">
        <v>2012</v>
      </c>
      <c r="B257" s="6" t="s">
        <v>35</v>
      </c>
      <c r="J257" s="13">
        <v>28419.52</v>
      </c>
      <c r="K257" s="5">
        <f t="shared" si="7"/>
        <v>30</v>
      </c>
      <c r="P257" t="str">
        <f t="shared" si="8"/>
        <v>30K</v>
      </c>
    </row>
    <row r="258" spans="1:16" x14ac:dyDescent="0.35">
      <c r="A258">
        <v>2001</v>
      </c>
      <c r="B258" s="7" t="s">
        <v>23</v>
      </c>
      <c r="J258" s="12">
        <v>81293.98</v>
      </c>
      <c r="K258" s="5">
        <f t="shared" si="7"/>
        <v>80</v>
      </c>
      <c r="P258" t="str">
        <f t="shared" si="8"/>
        <v>80K</v>
      </c>
    </row>
    <row r="259" spans="1:16" x14ac:dyDescent="0.35">
      <c r="A259">
        <v>2002</v>
      </c>
      <c r="B259" s="6" t="s">
        <v>35</v>
      </c>
      <c r="J259" s="13">
        <v>63144.71</v>
      </c>
      <c r="K259" s="5">
        <f t="shared" ref="K259:K322" si="9">ROUND(J259/10000,0)*10</f>
        <v>60</v>
      </c>
      <c r="P259" t="str">
        <f t="shared" ref="P259:P322" si="10">TEXT(ROUND(J259/10000,0)*10,"0") &amp; "K"</f>
        <v>60K</v>
      </c>
    </row>
    <row r="260" spans="1:16" x14ac:dyDescent="0.35">
      <c r="A260">
        <v>2006</v>
      </c>
      <c r="B260" s="7" t="s">
        <v>20</v>
      </c>
      <c r="J260" s="12">
        <v>40805.03</v>
      </c>
      <c r="K260" s="5">
        <f t="shared" si="9"/>
        <v>40</v>
      </c>
      <c r="P260" t="str">
        <f t="shared" si="10"/>
        <v>40K</v>
      </c>
    </row>
    <row r="261" spans="1:16" x14ac:dyDescent="0.35">
      <c r="A261">
        <v>2020</v>
      </c>
      <c r="B261" s="6" t="s">
        <v>20</v>
      </c>
      <c r="J261" s="13">
        <v>5129.96</v>
      </c>
      <c r="K261" s="5">
        <f t="shared" si="9"/>
        <v>10</v>
      </c>
      <c r="P261" t="str">
        <f t="shared" si="10"/>
        <v>10K</v>
      </c>
    </row>
    <row r="262" spans="1:16" x14ac:dyDescent="0.35">
      <c r="A262">
        <v>2017</v>
      </c>
      <c r="B262" s="7" t="s">
        <v>27</v>
      </c>
      <c r="J262" s="12">
        <v>47426.93</v>
      </c>
      <c r="K262" s="5">
        <f t="shared" si="9"/>
        <v>50</v>
      </c>
      <c r="P262" t="str">
        <f t="shared" si="10"/>
        <v>50K</v>
      </c>
    </row>
    <row r="263" spans="1:16" x14ac:dyDescent="0.35">
      <c r="A263">
        <v>2002</v>
      </c>
      <c r="B263" s="6" t="s">
        <v>29</v>
      </c>
      <c r="J263" s="13">
        <v>31288.400000000001</v>
      </c>
      <c r="K263" s="5">
        <f t="shared" si="9"/>
        <v>30</v>
      </c>
      <c r="P263" t="str">
        <f t="shared" si="10"/>
        <v>30K</v>
      </c>
    </row>
    <row r="264" spans="1:16" x14ac:dyDescent="0.35">
      <c r="A264">
        <v>2009</v>
      </c>
      <c r="B264" s="7" t="s">
        <v>10</v>
      </c>
      <c r="J264" s="12">
        <v>14912.93</v>
      </c>
      <c r="K264" s="5">
        <f t="shared" si="9"/>
        <v>10</v>
      </c>
      <c r="P264" t="str">
        <f t="shared" si="10"/>
        <v>10K</v>
      </c>
    </row>
    <row r="265" spans="1:16" x14ac:dyDescent="0.35">
      <c r="A265">
        <v>2021</v>
      </c>
      <c r="B265" s="6" t="s">
        <v>25</v>
      </c>
      <c r="J265" s="13">
        <v>12140.06</v>
      </c>
      <c r="K265" s="5">
        <f t="shared" si="9"/>
        <v>10</v>
      </c>
      <c r="P265" t="str">
        <f t="shared" si="10"/>
        <v>10K</v>
      </c>
    </row>
    <row r="266" spans="1:16" x14ac:dyDescent="0.35">
      <c r="A266">
        <v>2006</v>
      </c>
      <c r="B266" s="7" t="s">
        <v>35</v>
      </c>
      <c r="J266" s="12">
        <v>38018.04</v>
      </c>
      <c r="K266" s="5">
        <f t="shared" si="9"/>
        <v>40</v>
      </c>
      <c r="P266" t="str">
        <f t="shared" si="10"/>
        <v>40K</v>
      </c>
    </row>
    <row r="267" spans="1:16" x14ac:dyDescent="0.35">
      <c r="A267">
        <v>2008</v>
      </c>
      <c r="B267" s="6" t="s">
        <v>35</v>
      </c>
      <c r="J267" s="13">
        <v>63401.95</v>
      </c>
      <c r="K267" s="5">
        <f t="shared" si="9"/>
        <v>60</v>
      </c>
      <c r="P267" t="str">
        <f t="shared" si="10"/>
        <v>60K</v>
      </c>
    </row>
    <row r="268" spans="1:16" x14ac:dyDescent="0.35">
      <c r="A268">
        <v>2016</v>
      </c>
      <c r="B268" s="7" t="s">
        <v>23</v>
      </c>
      <c r="J268" s="12">
        <v>84564.33</v>
      </c>
      <c r="K268" s="5">
        <f t="shared" si="9"/>
        <v>80</v>
      </c>
      <c r="P268" t="str">
        <f t="shared" si="10"/>
        <v>80K</v>
      </c>
    </row>
    <row r="269" spans="1:16" x14ac:dyDescent="0.35">
      <c r="A269">
        <v>2010</v>
      </c>
      <c r="B269" s="6" t="s">
        <v>29</v>
      </c>
      <c r="J269" s="13">
        <v>22438.51</v>
      </c>
      <c r="K269" s="5">
        <f t="shared" si="9"/>
        <v>20</v>
      </c>
      <c r="P269" t="str">
        <f t="shared" si="10"/>
        <v>20K</v>
      </c>
    </row>
    <row r="270" spans="1:16" x14ac:dyDescent="0.35">
      <c r="A270">
        <v>2006</v>
      </c>
      <c r="B270" s="7" t="s">
        <v>20</v>
      </c>
      <c r="J270" s="12">
        <v>45341.18</v>
      </c>
      <c r="K270" s="5">
        <f t="shared" si="9"/>
        <v>50</v>
      </c>
      <c r="P270" t="str">
        <f t="shared" si="10"/>
        <v>50K</v>
      </c>
    </row>
    <row r="271" spans="1:16" x14ac:dyDescent="0.35">
      <c r="A271">
        <v>2023</v>
      </c>
      <c r="B271" s="6" t="s">
        <v>25</v>
      </c>
      <c r="J271" s="13">
        <v>42235.83</v>
      </c>
      <c r="K271" s="5">
        <f t="shared" si="9"/>
        <v>40</v>
      </c>
      <c r="P271" t="str">
        <f t="shared" si="10"/>
        <v>40K</v>
      </c>
    </row>
    <row r="272" spans="1:16" x14ac:dyDescent="0.35">
      <c r="A272">
        <v>2013</v>
      </c>
      <c r="B272" s="7" t="s">
        <v>27</v>
      </c>
      <c r="J272" s="12">
        <v>53772.43</v>
      </c>
      <c r="K272" s="5">
        <f t="shared" si="9"/>
        <v>50</v>
      </c>
      <c r="P272" t="str">
        <f t="shared" si="10"/>
        <v>50K</v>
      </c>
    </row>
    <row r="273" spans="1:16" x14ac:dyDescent="0.35">
      <c r="A273">
        <v>2018</v>
      </c>
      <c r="B273" s="6" t="s">
        <v>20</v>
      </c>
      <c r="J273" s="13">
        <v>81910.789999999994</v>
      </c>
      <c r="K273" s="5">
        <f t="shared" si="9"/>
        <v>80</v>
      </c>
      <c r="P273" t="str">
        <f t="shared" si="10"/>
        <v>80K</v>
      </c>
    </row>
    <row r="274" spans="1:16" x14ac:dyDescent="0.35">
      <c r="A274">
        <v>2003</v>
      </c>
      <c r="B274" s="7" t="s">
        <v>29</v>
      </c>
      <c r="J274" s="12">
        <v>57596.3</v>
      </c>
      <c r="K274" s="5">
        <f t="shared" si="9"/>
        <v>60</v>
      </c>
      <c r="P274" t="str">
        <f t="shared" si="10"/>
        <v>60K</v>
      </c>
    </row>
    <row r="275" spans="1:16" x14ac:dyDescent="0.35">
      <c r="A275">
        <v>2005</v>
      </c>
      <c r="B275" s="6" t="s">
        <v>10</v>
      </c>
      <c r="J275" s="13">
        <v>85432.22</v>
      </c>
      <c r="K275" s="5">
        <f t="shared" si="9"/>
        <v>90</v>
      </c>
      <c r="P275" t="str">
        <f t="shared" si="10"/>
        <v>90K</v>
      </c>
    </row>
    <row r="276" spans="1:16" x14ac:dyDescent="0.35">
      <c r="A276">
        <v>2009</v>
      </c>
      <c r="B276" s="7" t="s">
        <v>27</v>
      </c>
      <c r="J276" s="12">
        <v>54262.42</v>
      </c>
      <c r="K276" s="5">
        <f t="shared" si="9"/>
        <v>50</v>
      </c>
      <c r="P276" t="str">
        <f t="shared" si="10"/>
        <v>50K</v>
      </c>
    </row>
    <row r="277" spans="1:16" x14ac:dyDescent="0.35">
      <c r="A277">
        <v>2006</v>
      </c>
      <c r="B277" s="6" t="s">
        <v>10</v>
      </c>
      <c r="J277" s="13">
        <v>62365.5</v>
      </c>
      <c r="K277" s="5">
        <f t="shared" si="9"/>
        <v>60</v>
      </c>
      <c r="P277" t="str">
        <f t="shared" si="10"/>
        <v>60K</v>
      </c>
    </row>
    <row r="278" spans="1:16" x14ac:dyDescent="0.35">
      <c r="A278">
        <v>2012</v>
      </c>
      <c r="B278" s="7" t="s">
        <v>23</v>
      </c>
      <c r="J278" s="12">
        <v>46551.41</v>
      </c>
      <c r="K278" s="5">
        <f t="shared" si="9"/>
        <v>50</v>
      </c>
      <c r="P278" t="str">
        <f t="shared" si="10"/>
        <v>50K</v>
      </c>
    </row>
    <row r="279" spans="1:16" x14ac:dyDescent="0.35">
      <c r="A279">
        <v>2013</v>
      </c>
      <c r="B279" s="6" t="s">
        <v>23</v>
      </c>
      <c r="J279" s="13">
        <v>83194.080000000002</v>
      </c>
      <c r="K279" s="5">
        <f t="shared" si="9"/>
        <v>80</v>
      </c>
      <c r="P279" t="str">
        <f t="shared" si="10"/>
        <v>80K</v>
      </c>
    </row>
    <row r="280" spans="1:16" x14ac:dyDescent="0.35">
      <c r="A280">
        <v>2003</v>
      </c>
      <c r="B280" s="7" t="s">
        <v>35</v>
      </c>
      <c r="J280" s="12">
        <v>92763.58</v>
      </c>
      <c r="K280" s="5">
        <f t="shared" si="9"/>
        <v>90</v>
      </c>
      <c r="P280" t="str">
        <f t="shared" si="10"/>
        <v>90K</v>
      </c>
    </row>
    <row r="281" spans="1:16" x14ac:dyDescent="0.35">
      <c r="A281">
        <v>2007</v>
      </c>
      <c r="B281" s="6" t="s">
        <v>10</v>
      </c>
      <c r="J281" s="13">
        <v>65718.75</v>
      </c>
      <c r="K281" s="5">
        <f t="shared" si="9"/>
        <v>70</v>
      </c>
      <c r="P281" t="str">
        <f t="shared" si="10"/>
        <v>70K</v>
      </c>
    </row>
    <row r="282" spans="1:16" x14ac:dyDescent="0.35">
      <c r="A282">
        <v>2004</v>
      </c>
      <c r="B282" s="7" t="s">
        <v>29</v>
      </c>
      <c r="J282" s="12">
        <v>82974.33</v>
      </c>
      <c r="K282" s="5">
        <f t="shared" si="9"/>
        <v>80</v>
      </c>
      <c r="P282" t="str">
        <f t="shared" si="10"/>
        <v>80K</v>
      </c>
    </row>
    <row r="283" spans="1:16" x14ac:dyDescent="0.35">
      <c r="A283">
        <v>2000</v>
      </c>
      <c r="B283" s="6" t="s">
        <v>25</v>
      </c>
      <c r="J283" s="13">
        <v>10605.32</v>
      </c>
      <c r="K283" s="5">
        <f t="shared" si="9"/>
        <v>10</v>
      </c>
      <c r="P283" t="str">
        <f t="shared" si="10"/>
        <v>10K</v>
      </c>
    </row>
    <row r="284" spans="1:16" x14ac:dyDescent="0.35">
      <c r="A284">
        <v>2003</v>
      </c>
      <c r="B284" s="7" t="s">
        <v>27</v>
      </c>
      <c r="J284" s="12">
        <v>91080.62</v>
      </c>
      <c r="K284" s="5">
        <f t="shared" si="9"/>
        <v>90</v>
      </c>
      <c r="P284" t="str">
        <f t="shared" si="10"/>
        <v>90K</v>
      </c>
    </row>
    <row r="285" spans="1:16" x14ac:dyDescent="0.35">
      <c r="A285">
        <v>2002</v>
      </c>
      <c r="B285" s="6" t="s">
        <v>20</v>
      </c>
      <c r="J285" s="13">
        <v>22947.88</v>
      </c>
      <c r="K285" s="5">
        <f t="shared" si="9"/>
        <v>20</v>
      </c>
      <c r="P285" t="str">
        <f t="shared" si="10"/>
        <v>20K</v>
      </c>
    </row>
    <row r="286" spans="1:16" x14ac:dyDescent="0.35">
      <c r="A286">
        <v>2008</v>
      </c>
      <c r="B286" s="7" t="s">
        <v>29</v>
      </c>
      <c r="J286" s="12">
        <v>29369.439999999999</v>
      </c>
      <c r="K286" s="5">
        <f t="shared" si="9"/>
        <v>30</v>
      </c>
      <c r="P286" t="str">
        <f t="shared" si="10"/>
        <v>30K</v>
      </c>
    </row>
    <row r="287" spans="1:16" x14ac:dyDescent="0.35">
      <c r="A287">
        <v>2007</v>
      </c>
      <c r="B287" s="6" t="s">
        <v>29</v>
      </c>
      <c r="J287" s="13">
        <v>10066.36</v>
      </c>
      <c r="K287" s="5">
        <f t="shared" si="9"/>
        <v>10</v>
      </c>
      <c r="P287" t="str">
        <f t="shared" si="10"/>
        <v>10K</v>
      </c>
    </row>
    <row r="288" spans="1:16" x14ac:dyDescent="0.35">
      <c r="A288">
        <v>2000</v>
      </c>
      <c r="B288" s="7" t="s">
        <v>23</v>
      </c>
      <c r="J288" s="12">
        <v>96713.01</v>
      </c>
      <c r="K288" s="5">
        <f t="shared" si="9"/>
        <v>100</v>
      </c>
      <c r="P288" t="str">
        <f t="shared" si="10"/>
        <v>100K</v>
      </c>
    </row>
    <row r="289" spans="1:16" x14ac:dyDescent="0.35">
      <c r="A289">
        <v>2005</v>
      </c>
      <c r="B289" s="6" t="s">
        <v>10</v>
      </c>
      <c r="J289" s="13">
        <v>85941.03</v>
      </c>
      <c r="K289" s="5">
        <f t="shared" si="9"/>
        <v>90</v>
      </c>
      <c r="P289" t="str">
        <f t="shared" si="10"/>
        <v>90K</v>
      </c>
    </row>
    <row r="290" spans="1:16" x14ac:dyDescent="0.35">
      <c r="A290">
        <v>2008</v>
      </c>
      <c r="B290" s="7" t="s">
        <v>35</v>
      </c>
      <c r="J290" s="12">
        <v>91752.54</v>
      </c>
      <c r="K290" s="5">
        <f t="shared" si="9"/>
        <v>90</v>
      </c>
      <c r="P290" t="str">
        <f t="shared" si="10"/>
        <v>90K</v>
      </c>
    </row>
    <row r="291" spans="1:16" x14ac:dyDescent="0.35">
      <c r="A291">
        <v>2006</v>
      </c>
      <c r="B291" s="6" t="s">
        <v>35</v>
      </c>
      <c r="J291" s="13">
        <v>85485.54</v>
      </c>
      <c r="K291" s="5">
        <f t="shared" si="9"/>
        <v>90</v>
      </c>
      <c r="P291" t="str">
        <f t="shared" si="10"/>
        <v>90K</v>
      </c>
    </row>
    <row r="292" spans="1:16" x14ac:dyDescent="0.35">
      <c r="A292">
        <v>2003</v>
      </c>
      <c r="B292" s="7" t="s">
        <v>27</v>
      </c>
      <c r="J292" s="12">
        <v>50555.4</v>
      </c>
      <c r="K292" s="5">
        <f t="shared" si="9"/>
        <v>50</v>
      </c>
      <c r="P292" t="str">
        <f t="shared" si="10"/>
        <v>50K</v>
      </c>
    </row>
    <row r="293" spans="1:16" x14ac:dyDescent="0.35">
      <c r="A293">
        <v>2012</v>
      </c>
      <c r="B293" s="6" t="s">
        <v>23</v>
      </c>
      <c r="J293" s="13">
        <v>92787.78</v>
      </c>
      <c r="K293" s="5">
        <f t="shared" si="9"/>
        <v>90</v>
      </c>
      <c r="P293" t="str">
        <f t="shared" si="10"/>
        <v>90K</v>
      </c>
    </row>
    <row r="294" spans="1:16" x14ac:dyDescent="0.35">
      <c r="A294">
        <v>2016</v>
      </c>
      <c r="B294" s="7" t="s">
        <v>29</v>
      </c>
      <c r="J294" s="12">
        <v>97099.92</v>
      </c>
      <c r="K294" s="5">
        <f t="shared" si="9"/>
        <v>100</v>
      </c>
      <c r="P294" t="str">
        <f t="shared" si="10"/>
        <v>100K</v>
      </c>
    </row>
    <row r="295" spans="1:16" x14ac:dyDescent="0.35">
      <c r="A295">
        <v>2001</v>
      </c>
      <c r="B295" s="6" t="s">
        <v>25</v>
      </c>
      <c r="J295" s="13">
        <v>52743.86</v>
      </c>
      <c r="K295" s="5">
        <f t="shared" si="9"/>
        <v>50</v>
      </c>
      <c r="P295" t="str">
        <f t="shared" si="10"/>
        <v>50K</v>
      </c>
    </row>
    <row r="296" spans="1:16" x14ac:dyDescent="0.35">
      <c r="A296">
        <v>2004</v>
      </c>
      <c r="B296" s="7" t="s">
        <v>23</v>
      </c>
      <c r="J296" s="12">
        <v>21684.35</v>
      </c>
      <c r="K296" s="5">
        <f t="shared" si="9"/>
        <v>20</v>
      </c>
      <c r="P296" t="str">
        <f t="shared" si="10"/>
        <v>20K</v>
      </c>
    </row>
    <row r="297" spans="1:16" x14ac:dyDescent="0.35">
      <c r="A297">
        <v>2011</v>
      </c>
      <c r="B297" s="6" t="s">
        <v>27</v>
      </c>
      <c r="J297" s="13">
        <v>67569.14</v>
      </c>
      <c r="K297" s="5">
        <f t="shared" si="9"/>
        <v>70</v>
      </c>
      <c r="P297" t="str">
        <f t="shared" si="10"/>
        <v>70K</v>
      </c>
    </row>
    <row r="298" spans="1:16" x14ac:dyDescent="0.35">
      <c r="A298">
        <v>2020</v>
      </c>
      <c r="B298" s="7" t="s">
        <v>27</v>
      </c>
      <c r="J298" s="12">
        <v>97666.64</v>
      </c>
      <c r="K298" s="5">
        <f t="shared" si="9"/>
        <v>100</v>
      </c>
      <c r="P298" t="str">
        <f t="shared" si="10"/>
        <v>100K</v>
      </c>
    </row>
    <row r="299" spans="1:16" x14ac:dyDescent="0.35">
      <c r="A299">
        <v>2007</v>
      </c>
      <c r="B299" s="6" t="s">
        <v>23</v>
      </c>
      <c r="J299" s="13">
        <v>87853.95</v>
      </c>
      <c r="K299" s="5">
        <f t="shared" si="9"/>
        <v>90</v>
      </c>
      <c r="P299" t="str">
        <f t="shared" si="10"/>
        <v>90K</v>
      </c>
    </row>
    <row r="300" spans="1:16" x14ac:dyDescent="0.35">
      <c r="A300">
        <v>2005</v>
      </c>
      <c r="B300" s="7" t="s">
        <v>27</v>
      </c>
      <c r="J300" s="12">
        <v>86872.44</v>
      </c>
      <c r="K300" s="5">
        <f t="shared" si="9"/>
        <v>90</v>
      </c>
      <c r="P300" t="str">
        <f t="shared" si="10"/>
        <v>90K</v>
      </c>
    </row>
    <row r="301" spans="1:16" x14ac:dyDescent="0.35">
      <c r="A301">
        <v>2007</v>
      </c>
      <c r="B301" s="6" t="s">
        <v>23</v>
      </c>
      <c r="J301" s="13">
        <v>93712.71</v>
      </c>
      <c r="K301" s="5">
        <f t="shared" si="9"/>
        <v>90</v>
      </c>
      <c r="P301" t="str">
        <f t="shared" si="10"/>
        <v>90K</v>
      </c>
    </row>
    <row r="302" spans="1:16" x14ac:dyDescent="0.35">
      <c r="A302">
        <v>2017</v>
      </c>
      <c r="B302" s="7" t="s">
        <v>20</v>
      </c>
      <c r="J302" s="12">
        <v>89925.46</v>
      </c>
      <c r="K302" s="5">
        <f t="shared" si="9"/>
        <v>90</v>
      </c>
      <c r="P302" t="str">
        <f t="shared" si="10"/>
        <v>90K</v>
      </c>
    </row>
    <row r="303" spans="1:16" x14ac:dyDescent="0.35">
      <c r="A303">
        <v>2002</v>
      </c>
      <c r="B303" s="6" t="s">
        <v>23</v>
      </c>
      <c r="J303" s="13">
        <v>78746.759999999995</v>
      </c>
      <c r="K303" s="5">
        <f t="shared" si="9"/>
        <v>80</v>
      </c>
      <c r="P303" t="str">
        <f t="shared" si="10"/>
        <v>80K</v>
      </c>
    </row>
    <row r="304" spans="1:16" x14ac:dyDescent="0.35">
      <c r="A304">
        <v>2021</v>
      </c>
      <c r="B304" s="7" t="s">
        <v>10</v>
      </c>
      <c r="J304" s="12">
        <v>73235.92</v>
      </c>
      <c r="K304" s="5">
        <f t="shared" si="9"/>
        <v>70</v>
      </c>
      <c r="P304" t="str">
        <f t="shared" si="10"/>
        <v>70K</v>
      </c>
    </row>
    <row r="305" spans="1:16" x14ac:dyDescent="0.35">
      <c r="A305">
        <v>2011</v>
      </c>
      <c r="B305" s="6" t="s">
        <v>23</v>
      </c>
      <c r="J305" s="13">
        <v>30152.880000000001</v>
      </c>
      <c r="K305" s="5">
        <f t="shared" si="9"/>
        <v>30</v>
      </c>
      <c r="P305" t="str">
        <f t="shared" si="10"/>
        <v>30K</v>
      </c>
    </row>
    <row r="306" spans="1:16" x14ac:dyDescent="0.35">
      <c r="A306">
        <v>2002</v>
      </c>
      <c r="B306" s="7" t="s">
        <v>27</v>
      </c>
      <c r="J306" s="12">
        <v>64027.3</v>
      </c>
      <c r="K306" s="5">
        <f t="shared" si="9"/>
        <v>60</v>
      </c>
      <c r="P306" t="str">
        <f t="shared" si="10"/>
        <v>60K</v>
      </c>
    </row>
    <row r="307" spans="1:16" x14ac:dyDescent="0.35">
      <c r="A307">
        <v>2021</v>
      </c>
      <c r="B307" s="6" t="s">
        <v>10</v>
      </c>
      <c r="J307" s="13">
        <v>54541.42</v>
      </c>
      <c r="K307" s="5">
        <f t="shared" si="9"/>
        <v>50</v>
      </c>
      <c r="P307" t="str">
        <f t="shared" si="10"/>
        <v>50K</v>
      </c>
    </row>
    <row r="308" spans="1:16" x14ac:dyDescent="0.35">
      <c r="A308">
        <v>2005</v>
      </c>
      <c r="B308" s="7" t="s">
        <v>27</v>
      </c>
      <c r="J308" s="12">
        <v>86884.69</v>
      </c>
      <c r="K308" s="5">
        <f t="shared" si="9"/>
        <v>90</v>
      </c>
      <c r="P308" t="str">
        <f t="shared" si="10"/>
        <v>90K</v>
      </c>
    </row>
    <row r="309" spans="1:16" x14ac:dyDescent="0.35">
      <c r="A309">
        <v>2001</v>
      </c>
      <c r="B309" s="6" t="s">
        <v>35</v>
      </c>
      <c r="J309" s="13">
        <v>51712.69</v>
      </c>
      <c r="K309" s="5">
        <f t="shared" si="9"/>
        <v>50</v>
      </c>
      <c r="P309" t="str">
        <f t="shared" si="10"/>
        <v>50K</v>
      </c>
    </row>
    <row r="310" spans="1:16" x14ac:dyDescent="0.35">
      <c r="A310">
        <v>2022</v>
      </c>
      <c r="B310" s="7" t="s">
        <v>35</v>
      </c>
      <c r="J310" s="12">
        <v>17135.560000000001</v>
      </c>
      <c r="K310" s="5">
        <f t="shared" si="9"/>
        <v>20</v>
      </c>
      <c r="P310" t="str">
        <f t="shared" si="10"/>
        <v>20K</v>
      </c>
    </row>
    <row r="311" spans="1:16" x14ac:dyDescent="0.35">
      <c r="A311">
        <v>2011</v>
      </c>
      <c r="B311" s="6" t="s">
        <v>10</v>
      </c>
      <c r="J311" s="13">
        <v>5472.39</v>
      </c>
      <c r="K311" s="5">
        <f t="shared" si="9"/>
        <v>10</v>
      </c>
      <c r="P311" t="str">
        <f t="shared" si="10"/>
        <v>10K</v>
      </c>
    </row>
    <row r="312" spans="1:16" x14ac:dyDescent="0.35">
      <c r="A312">
        <v>2001</v>
      </c>
      <c r="B312" s="7" t="s">
        <v>20</v>
      </c>
      <c r="J312" s="12">
        <v>69397.95</v>
      </c>
      <c r="K312" s="5">
        <f t="shared" si="9"/>
        <v>70</v>
      </c>
      <c r="P312" t="str">
        <f t="shared" si="10"/>
        <v>70K</v>
      </c>
    </row>
    <row r="313" spans="1:16" x14ac:dyDescent="0.35">
      <c r="A313">
        <v>2005</v>
      </c>
      <c r="B313" s="6" t="s">
        <v>35</v>
      </c>
      <c r="J313" s="13">
        <v>57241.3</v>
      </c>
      <c r="K313" s="5">
        <f t="shared" si="9"/>
        <v>60</v>
      </c>
      <c r="P313" t="str">
        <f t="shared" si="10"/>
        <v>60K</v>
      </c>
    </row>
    <row r="314" spans="1:16" x14ac:dyDescent="0.35">
      <c r="A314">
        <v>2016</v>
      </c>
      <c r="B314" s="7" t="s">
        <v>23</v>
      </c>
      <c r="J314" s="12">
        <v>36441.480000000003</v>
      </c>
      <c r="K314" s="5">
        <f t="shared" si="9"/>
        <v>40</v>
      </c>
      <c r="P314" t="str">
        <f t="shared" si="10"/>
        <v>40K</v>
      </c>
    </row>
    <row r="315" spans="1:16" x14ac:dyDescent="0.35">
      <c r="A315">
        <v>2002</v>
      </c>
      <c r="B315" s="6" t="s">
        <v>27</v>
      </c>
      <c r="J315" s="13">
        <v>21052.35</v>
      </c>
      <c r="K315" s="5">
        <f t="shared" si="9"/>
        <v>20</v>
      </c>
      <c r="P315" t="str">
        <f t="shared" si="10"/>
        <v>20K</v>
      </c>
    </row>
    <row r="316" spans="1:16" x14ac:dyDescent="0.35">
      <c r="A316">
        <v>2001</v>
      </c>
      <c r="B316" s="7" t="s">
        <v>35</v>
      </c>
      <c r="J316" s="12">
        <v>49337.96</v>
      </c>
      <c r="K316" s="5">
        <f t="shared" si="9"/>
        <v>50</v>
      </c>
      <c r="P316" t="str">
        <f t="shared" si="10"/>
        <v>50K</v>
      </c>
    </row>
    <row r="317" spans="1:16" x14ac:dyDescent="0.35">
      <c r="A317">
        <v>2022</v>
      </c>
      <c r="B317" s="6" t="s">
        <v>35</v>
      </c>
      <c r="J317" s="13">
        <v>14527.21</v>
      </c>
      <c r="K317" s="5">
        <f t="shared" si="9"/>
        <v>10</v>
      </c>
      <c r="P317" t="str">
        <f t="shared" si="10"/>
        <v>10K</v>
      </c>
    </row>
    <row r="318" spans="1:16" x14ac:dyDescent="0.35">
      <c r="A318">
        <v>2019</v>
      </c>
      <c r="B318" s="7" t="s">
        <v>20</v>
      </c>
      <c r="J318" s="12">
        <v>36930.31</v>
      </c>
      <c r="K318" s="5">
        <f t="shared" si="9"/>
        <v>40</v>
      </c>
      <c r="P318" t="str">
        <f t="shared" si="10"/>
        <v>40K</v>
      </c>
    </row>
    <row r="319" spans="1:16" x14ac:dyDescent="0.35">
      <c r="A319">
        <v>2007</v>
      </c>
      <c r="B319" s="6" t="s">
        <v>10</v>
      </c>
      <c r="J319" s="13">
        <v>41025.129999999997</v>
      </c>
      <c r="K319" s="5">
        <f t="shared" si="9"/>
        <v>40</v>
      </c>
      <c r="P319" t="str">
        <f t="shared" si="10"/>
        <v>40K</v>
      </c>
    </row>
    <row r="320" spans="1:16" x14ac:dyDescent="0.35">
      <c r="A320">
        <v>2021</v>
      </c>
      <c r="B320" s="7" t="s">
        <v>10</v>
      </c>
      <c r="J320" s="12">
        <v>49233.78</v>
      </c>
      <c r="K320" s="5">
        <f t="shared" si="9"/>
        <v>50</v>
      </c>
      <c r="P320" t="str">
        <f t="shared" si="10"/>
        <v>50K</v>
      </c>
    </row>
    <row r="321" spans="1:16" x14ac:dyDescent="0.35">
      <c r="A321">
        <v>2011</v>
      </c>
      <c r="B321" s="6" t="s">
        <v>29</v>
      </c>
      <c r="J321" s="13">
        <v>49328.97</v>
      </c>
      <c r="K321" s="5">
        <f t="shared" si="9"/>
        <v>50</v>
      </c>
      <c r="P321" t="str">
        <f t="shared" si="10"/>
        <v>50K</v>
      </c>
    </row>
    <row r="322" spans="1:16" x14ac:dyDescent="0.35">
      <c r="A322">
        <v>2003</v>
      </c>
      <c r="B322" s="7" t="s">
        <v>20</v>
      </c>
      <c r="J322" s="12">
        <v>29415.54</v>
      </c>
      <c r="K322" s="5">
        <f t="shared" si="9"/>
        <v>30</v>
      </c>
      <c r="P322" t="str">
        <f t="shared" si="10"/>
        <v>30K</v>
      </c>
    </row>
    <row r="323" spans="1:16" x14ac:dyDescent="0.35">
      <c r="A323">
        <v>2004</v>
      </c>
      <c r="B323" s="6" t="s">
        <v>23</v>
      </c>
      <c r="J323" s="13">
        <v>85770.04</v>
      </c>
      <c r="K323" s="5">
        <f t="shared" ref="K323:K386" si="11">ROUND(J323/10000,0)*10</f>
        <v>90</v>
      </c>
      <c r="P323" t="str">
        <f t="shared" ref="P323:P386" si="12">TEXT(ROUND(J323/10000,0)*10,"0") &amp; "K"</f>
        <v>90K</v>
      </c>
    </row>
    <row r="324" spans="1:16" x14ac:dyDescent="0.35">
      <c r="A324">
        <v>2012</v>
      </c>
      <c r="B324" s="7" t="s">
        <v>10</v>
      </c>
      <c r="J324" s="12">
        <v>38776.629999999997</v>
      </c>
      <c r="K324" s="5">
        <f t="shared" si="11"/>
        <v>40</v>
      </c>
      <c r="P324" t="str">
        <f t="shared" si="12"/>
        <v>40K</v>
      </c>
    </row>
    <row r="325" spans="1:16" x14ac:dyDescent="0.35">
      <c r="A325">
        <v>2014</v>
      </c>
      <c r="B325" s="6" t="s">
        <v>27</v>
      </c>
      <c r="J325" s="13">
        <v>26810.79</v>
      </c>
      <c r="K325" s="5">
        <f t="shared" si="11"/>
        <v>30</v>
      </c>
      <c r="P325" t="str">
        <f t="shared" si="12"/>
        <v>30K</v>
      </c>
    </row>
    <row r="326" spans="1:16" x14ac:dyDescent="0.35">
      <c r="A326">
        <v>2022</v>
      </c>
      <c r="B326" s="7" t="s">
        <v>20</v>
      </c>
      <c r="J326" s="12">
        <v>21701.94</v>
      </c>
      <c r="K326" s="5">
        <f t="shared" si="11"/>
        <v>20</v>
      </c>
      <c r="P326" t="str">
        <f t="shared" si="12"/>
        <v>20K</v>
      </c>
    </row>
    <row r="327" spans="1:16" x14ac:dyDescent="0.35">
      <c r="A327">
        <v>2015</v>
      </c>
      <c r="B327" s="6" t="s">
        <v>35</v>
      </c>
      <c r="J327" s="13">
        <v>35644.949999999997</v>
      </c>
      <c r="K327" s="5">
        <f t="shared" si="11"/>
        <v>40</v>
      </c>
      <c r="P327" t="str">
        <f t="shared" si="12"/>
        <v>40K</v>
      </c>
    </row>
    <row r="328" spans="1:16" x14ac:dyDescent="0.35">
      <c r="A328">
        <v>2009</v>
      </c>
      <c r="B328" s="7" t="s">
        <v>27</v>
      </c>
      <c r="J328" s="12">
        <v>11417.52</v>
      </c>
      <c r="K328" s="5">
        <f t="shared" si="11"/>
        <v>10</v>
      </c>
      <c r="P328" t="str">
        <f t="shared" si="12"/>
        <v>10K</v>
      </c>
    </row>
    <row r="329" spans="1:16" x14ac:dyDescent="0.35">
      <c r="A329">
        <v>2022</v>
      </c>
      <c r="B329" s="6" t="s">
        <v>27</v>
      </c>
      <c r="J329" s="13">
        <v>8126.21</v>
      </c>
      <c r="K329" s="5">
        <f t="shared" si="11"/>
        <v>10</v>
      </c>
      <c r="P329" t="str">
        <f t="shared" si="12"/>
        <v>10K</v>
      </c>
    </row>
    <row r="330" spans="1:16" x14ac:dyDescent="0.35">
      <c r="A330">
        <v>2015</v>
      </c>
      <c r="B330" s="7" t="s">
        <v>35</v>
      </c>
      <c r="J330" s="12">
        <v>62488.51</v>
      </c>
      <c r="K330" s="5">
        <f t="shared" si="11"/>
        <v>60</v>
      </c>
      <c r="P330" t="str">
        <f t="shared" si="12"/>
        <v>60K</v>
      </c>
    </row>
    <row r="331" spans="1:16" x14ac:dyDescent="0.35">
      <c r="A331">
        <v>2011</v>
      </c>
      <c r="B331" s="6" t="s">
        <v>20</v>
      </c>
      <c r="J331" s="13">
        <v>63818.98</v>
      </c>
      <c r="K331" s="5">
        <f t="shared" si="11"/>
        <v>60</v>
      </c>
      <c r="P331" t="str">
        <f t="shared" si="12"/>
        <v>60K</v>
      </c>
    </row>
    <row r="332" spans="1:16" x14ac:dyDescent="0.35">
      <c r="A332">
        <v>2016</v>
      </c>
      <c r="B332" s="7" t="s">
        <v>35</v>
      </c>
      <c r="J332" s="12">
        <v>55310.879999999997</v>
      </c>
      <c r="K332" s="5">
        <f t="shared" si="11"/>
        <v>60</v>
      </c>
      <c r="P332" t="str">
        <f t="shared" si="12"/>
        <v>60K</v>
      </c>
    </row>
    <row r="333" spans="1:16" x14ac:dyDescent="0.35">
      <c r="A333">
        <v>2015</v>
      </c>
      <c r="B333" s="6" t="s">
        <v>29</v>
      </c>
      <c r="J333" s="13">
        <v>77417.09</v>
      </c>
      <c r="K333" s="5">
        <f t="shared" si="11"/>
        <v>80</v>
      </c>
      <c r="P333" t="str">
        <f t="shared" si="12"/>
        <v>80K</v>
      </c>
    </row>
    <row r="334" spans="1:16" x14ac:dyDescent="0.35">
      <c r="A334">
        <v>2011</v>
      </c>
      <c r="B334" s="7" t="s">
        <v>27</v>
      </c>
      <c r="J334" s="12">
        <v>8719.2999999999993</v>
      </c>
      <c r="K334" s="5">
        <f t="shared" si="11"/>
        <v>10</v>
      </c>
      <c r="P334" t="str">
        <f t="shared" si="12"/>
        <v>10K</v>
      </c>
    </row>
    <row r="335" spans="1:16" x14ac:dyDescent="0.35">
      <c r="A335">
        <v>2007</v>
      </c>
      <c r="B335" s="6" t="s">
        <v>25</v>
      </c>
      <c r="J335" s="13">
        <v>93917.45</v>
      </c>
      <c r="K335" s="5">
        <f t="shared" si="11"/>
        <v>90</v>
      </c>
      <c r="P335" t="str">
        <f t="shared" si="12"/>
        <v>90K</v>
      </c>
    </row>
    <row r="336" spans="1:16" x14ac:dyDescent="0.35">
      <c r="A336">
        <v>2019</v>
      </c>
      <c r="B336" s="7" t="s">
        <v>25</v>
      </c>
      <c r="J336" s="12">
        <v>14031.19</v>
      </c>
      <c r="K336" s="5">
        <f t="shared" si="11"/>
        <v>10</v>
      </c>
      <c r="P336" t="str">
        <f t="shared" si="12"/>
        <v>10K</v>
      </c>
    </row>
    <row r="337" spans="1:16" x14ac:dyDescent="0.35">
      <c r="A337">
        <v>2002</v>
      </c>
      <c r="B337" s="6" t="s">
        <v>23</v>
      </c>
      <c r="J337" s="13">
        <v>69032.179999999993</v>
      </c>
      <c r="K337" s="5">
        <f t="shared" si="11"/>
        <v>70</v>
      </c>
      <c r="P337" t="str">
        <f t="shared" si="12"/>
        <v>70K</v>
      </c>
    </row>
    <row r="338" spans="1:16" x14ac:dyDescent="0.35">
      <c r="A338">
        <v>2015</v>
      </c>
      <c r="B338" s="7" t="s">
        <v>10</v>
      </c>
      <c r="J338" s="12">
        <v>17672.68</v>
      </c>
      <c r="K338" s="5">
        <f t="shared" si="11"/>
        <v>20</v>
      </c>
      <c r="P338" t="str">
        <f t="shared" si="12"/>
        <v>20K</v>
      </c>
    </row>
    <row r="339" spans="1:16" x14ac:dyDescent="0.35">
      <c r="A339">
        <v>2012</v>
      </c>
      <c r="B339" s="6" t="s">
        <v>35</v>
      </c>
      <c r="J339" s="13">
        <v>88591.02</v>
      </c>
      <c r="K339" s="5">
        <f t="shared" si="11"/>
        <v>90</v>
      </c>
      <c r="P339" t="str">
        <f t="shared" si="12"/>
        <v>90K</v>
      </c>
    </row>
    <row r="340" spans="1:16" x14ac:dyDescent="0.35">
      <c r="A340">
        <v>2022</v>
      </c>
      <c r="B340" s="7" t="s">
        <v>35</v>
      </c>
      <c r="J340" s="12">
        <v>53517.760000000002</v>
      </c>
      <c r="K340" s="5">
        <f t="shared" si="11"/>
        <v>50</v>
      </c>
      <c r="P340" t="str">
        <f t="shared" si="12"/>
        <v>50K</v>
      </c>
    </row>
    <row r="341" spans="1:16" x14ac:dyDescent="0.35">
      <c r="A341">
        <v>2018</v>
      </c>
      <c r="B341" s="6" t="s">
        <v>23</v>
      </c>
      <c r="J341" s="13">
        <v>12817.89</v>
      </c>
      <c r="K341" s="5">
        <f t="shared" si="11"/>
        <v>10</v>
      </c>
      <c r="P341" t="str">
        <f t="shared" si="12"/>
        <v>10K</v>
      </c>
    </row>
    <row r="342" spans="1:16" x14ac:dyDescent="0.35">
      <c r="A342">
        <v>2007</v>
      </c>
      <c r="B342" s="7" t="s">
        <v>23</v>
      </c>
      <c r="J342" s="12">
        <v>63588.79</v>
      </c>
      <c r="K342" s="5">
        <f t="shared" si="11"/>
        <v>60</v>
      </c>
      <c r="P342" t="str">
        <f t="shared" si="12"/>
        <v>60K</v>
      </c>
    </row>
    <row r="343" spans="1:16" x14ac:dyDescent="0.35">
      <c r="A343">
        <v>2021</v>
      </c>
      <c r="B343" s="6" t="s">
        <v>23</v>
      </c>
      <c r="J343" s="13">
        <v>5865.44</v>
      </c>
      <c r="K343" s="5">
        <f t="shared" si="11"/>
        <v>10</v>
      </c>
      <c r="P343" t="str">
        <f t="shared" si="12"/>
        <v>10K</v>
      </c>
    </row>
    <row r="344" spans="1:16" x14ac:dyDescent="0.35">
      <c r="A344">
        <v>2004</v>
      </c>
      <c r="B344" s="7" t="s">
        <v>27</v>
      </c>
      <c r="J344" s="12">
        <v>78722.11</v>
      </c>
      <c r="K344" s="5">
        <f t="shared" si="11"/>
        <v>80</v>
      </c>
      <c r="P344" t="str">
        <f t="shared" si="12"/>
        <v>80K</v>
      </c>
    </row>
    <row r="345" spans="1:16" x14ac:dyDescent="0.35">
      <c r="A345">
        <v>2019</v>
      </c>
      <c r="B345" s="6" t="s">
        <v>29</v>
      </c>
      <c r="J345" s="13">
        <v>66805.570000000007</v>
      </c>
      <c r="K345" s="5">
        <f t="shared" si="11"/>
        <v>70</v>
      </c>
      <c r="P345" t="str">
        <f t="shared" si="12"/>
        <v>70K</v>
      </c>
    </row>
    <row r="346" spans="1:16" x14ac:dyDescent="0.35">
      <c r="A346">
        <v>2007</v>
      </c>
      <c r="B346" s="7" t="s">
        <v>35</v>
      </c>
      <c r="J346" s="12">
        <v>25199.35</v>
      </c>
      <c r="K346" s="5">
        <f t="shared" si="11"/>
        <v>30</v>
      </c>
      <c r="P346" t="str">
        <f t="shared" si="12"/>
        <v>30K</v>
      </c>
    </row>
    <row r="347" spans="1:16" x14ac:dyDescent="0.35">
      <c r="A347">
        <v>2023</v>
      </c>
      <c r="B347" s="6" t="s">
        <v>27</v>
      </c>
      <c r="J347" s="13">
        <v>40601.339999999997</v>
      </c>
      <c r="K347" s="5">
        <f t="shared" si="11"/>
        <v>40</v>
      </c>
      <c r="P347" t="str">
        <f t="shared" si="12"/>
        <v>40K</v>
      </c>
    </row>
    <row r="348" spans="1:16" x14ac:dyDescent="0.35">
      <c r="A348">
        <v>2011</v>
      </c>
      <c r="B348" s="7" t="s">
        <v>23</v>
      </c>
      <c r="J348" s="12">
        <v>5741.64</v>
      </c>
      <c r="K348" s="5">
        <f t="shared" si="11"/>
        <v>10</v>
      </c>
      <c r="P348" t="str">
        <f t="shared" si="12"/>
        <v>10K</v>
      </c>
    </row>
    <row r="349" spans="1:16" x14ac:dyDescent="0.35">
      <c r="A349">
        <v>2000</v>
      </c>
      <c r="B349" s="6" t="s">
        <v>35</v>
      </c>
      <c r="J349" s="13">
        <v>70899.960000000006</v>
      </c>
      <c r="K349" s="5">
        <f t="shared" si="11"/>
        <v>70</v>
      </c>
      <c r="P349" t="str">
        <f t="shared" si="12"/>
        <v>70K</v>
      </c>
    </row>
    <row r="350" spans="1:16" x14ac:dyDescent="0.35">
      <c r="A350">
        <v>2020</v>
      </c>
      <c r="B350" s="7" t="s">
        <v>27</v>
      </c>
      <c r="J350" s="12">
        <v>35653.47</v>
      </c>
      <c r="K350" s="5">
        <f t="shared" si="11"/>
        <v>40</v>
      </c>
      <c r="P350" t="str">
        <f t="shared" si="12"/>
        <v>40K</v>
      </c>
    </row>
    <row r="351" spans="1:16" x14ac:dyDescent="0.35">
      <c r="A351">
        <v>2019</v>
      </c>
      <c r="B351" s="6" t="s">
        <v>29</v>
      </c>
      <c r="J351" s="13">
        <v>59300.95</v>
      </c>
      <c r="K351" s="5">
        <f t="shared" si="11"/>
        <v>60</v>
      </c>
      <c r="P351" t="str">
        <f t="shared" si="12"/>
        <v>60K</v>
      </c>
    </row>
    <row r="352" spans="1:16" x14ac:dyDescent="0.35">
      <c r="A352">
        <v>2005</v>
      </c>
      <c r="B352" s="7" t="s">
        <v>27</v>
      </c>
      <c r="J352" s="12">
        <v>95889.12</v>
      </c>
      <c r="K352" s="5">
        <f t="shared" si="11"/>
        <v>100</v>
      </c>
      <c r="P352" t="str">
        <f t="shared" si="12"/>
        <v>100K</v>
      </c>
    </row>
    <row r="353" spans="1:16" x14ac:dyDescent="0.35">
      <c r="A353">
        <v>2021</v>
      </c>
      <c r="B353" s="6" t="s">
        <v>29</v>
      </c>
      <c r="J353" s="13">
        <v>33449.339999999997</v>
      </c>
      <c r="K353" s="5">
        <f t="shared" si="11"/>
        <v>30</v>
      </c>
      <c r="P353" t="str">
        <f t="shared" si="12"/>
        <v>30K</v>
      </c>
    </row>
    <row r="354" spans="1:16" x14ac:dyDescent="0.35">
      <c r="A354">
        <v>2017</v>
      </c>
      <c r="B354" s="7" t="s">
        <v>23</v>
      </c>
      <c r="J354" s="12">
        <v>99072.6</v>
      </c>
      <c r="K354" s="5">
        <f t="shared" si="11"/>
        <v>100</v>
      </c>
      <c r="P354" t="str">
        <f t="shared" si="12"/>
        <v>100K</v>
      </c>
    </row>
    <row r="355" spans="1:16" x14ac:dyDescent="0.35">
      <c r="A355">
        <v>2007</v>
      </c>
      <c r="B355" s="6" t="s">
        <v>29</v>
      </c>
      <c r="J355" s="13">
        <v>65109.2</v>
      </c>
      <c r="K355" s="5">
        <f t="shared" si="11"/>
        <v>70</v>
      </c>
      <c r="P355" t="str">
        <f t="shared" si="12"/>
        <v>70K</v>
      </c>
    </row>
    <row r="356" spans="1:16" x14ac:dyDescent="0.35">
      <c r="A356">
        <v>2006</v>
      </c>
      <c r="B356" s="7" t="s">
        <v>35</v>
      </c>
      <c r="J356" s="12">
        <v>27998.42</v>
      </c>
      <c r="K356" s="5">
        <f t="shared" si="11"/>
        <v>30</v>
      </c>
      <c r="P356" t="str">
        <f t="shared" si="12"/>
        <v>30K</v>
      </c>
    </row>
    <row r="357" spans="1:16" x14ac:dyDescent="0.35">
      <c r="A357">
        <v>2000</v>
      </c>
      <c r="B357" s="6" t="s">
        <v>23</v>
      </c>
      <c r="J357" s="13">
        <v>46493.9</v>
      </c>
      <c r="K357" s="5">
        <f t="shared" si="11"/>
        <v>50</v>
      </c>
      <c r="P357" t="str">
        <f t="shared" si="12"/>
        <v>50K</v>
      </c>
    </row>
    <row r="358" spans="1:16" x14ac:dyDescent="0.35">
      <c r="A358">
        <v>2020</v>
      </c>
      <c r="B358" s="7" t="s">
        <v>35</v>
      </c>
      <c r="J358" s="12">
        <v>75343.05</v>
      </c>
      <c r="K358" s="5">
        <f t="shared" si="11"/>
        <v>80</v>
      </c>
      <c r="P358" t="str">
        <f t="shared" si="12"/>
        <v>80K</v>
      </c>
    </row>
    <row r="359" spans="1:16" x14ac:dyDescent="0.35">
      <c r="A359">
        <v>2015</v>
      </c>
      <c r="B359" s="6" t="s">
        <v>25</v>
      </c>
      <c r="J359" s="13">
        <v>47415.4</v>
      </c>
      <c r="K359" s="5">
        <f t="shared" si="11"/>
        <v>50</v>
      </c>
      <c r="P359" t="str">
        <f t="shared" si="12"/>
        <v>50K</v>
      </c>
    </row>
    <row r="360" spans="1:16" x14ac:dyDescent="0.35">
      <c r="A360">
        <v>2011</v>
      </c>
      <c r="B360" s="7" t="s">
        <v>20</v>
      </c>
      <c r="J360" s="12">
        <v>11508.22</v>
      </c>
      <c r="K360" s="5">
        <f t="shared" si="11"/>
        <v>10</v>
      </c>
      <c r="P360" t="str">
        <f t="shared" si="12"/>
        <v>10K</v>
      </c>
    </row>
    <row r="361" spans="1:16" x14ac:dyDescent="0.35">
      <c r="A361">
        <v>2005</v>
      </c>
      <c r="B361" s="6" t="s">
        <v>29</v>
      </c>
      <c r="J361" s="13">
        <v>21017.35</v>
      </c>
      <c r="K361" s="5">
        <f t="shared" si="11"/>
        <v>20</v>
      </c>
      <c r="P361" t="str">
        <f t="shared" si="12"/>
        <v>20K</v>
      </c>
    </row>
    <row r="362" spans="1:16" x14ac:dyDescent="0.35">
      <c r="A362">
        <v>2019</v>
      </c>
      <c r="B362" s="7" t="s">
        <v>20</v>
      </c>
      <c r="J362" s="12">
        <v>80173.289999999994</v>
      </c>
      <c r="K362" s="5">
        <f t="shared" si="11"/>
        <v>80</v>
      </c>
      <c r="P362" t="str">
        <f t="shared" si="12"/>
        <v>80K</v>
      </c>
    </row>
    <row r="363" spans="1:16" x14ac:dyDescent="0.35">
      <c r="A363">
        <v>2001</v>
      </c>
      <c r="B363" s="6" t="s">
        <v>20</v>
      </c>
      <c r="J363" s="13">
        <v>66595.44</v>
      </c>
      <c r="K363" s="5">
        <f t="shared" si="11"/>
        <v>70</v>
      </c>
      <c r="P363" t="str">
        <f t="shared" si="12"/>
        <v>70K</v>
      </c>
    </row>
    <row r="364" spans="1:16" x14ac:dyDescent="0.35">
      <c r="A364">
        <v>2013</v>
      </c>
      <c r="B364" s="7" t="s">
        <v>29</v>
      </c>
      <c r="J364" s="12">
        <v>59133.42</v>
      </c>
      <c r="K364" s="5">
        <f t="shared" si="11"/>
        <v>60</v>
      </c>
      <c r="P364" t="str">
        <f t="shared" si="12"/>
        <v>60K</v>
      </c>
    </row>
    <row r="365" spans="1:16" x14ac:dyDescent="0.35">
      <c r="A365">
        <v>2003</v>
      </c>
      <c r="B365" s="6" t="s">
        <v>23</v>
      </c>
      <c r="J365" s="13">
        <v>20924.09</v>
      </c>
      <c r="K365" s="5">
        <f t="shared" si="11"/>
        <v>20</v>
      </c>
      <c r="P365" t="str">
        <f t="shared" si="12"/>
        <v>20K</v>
      </c>
    </row>
    <row r="366" spans="1:16" x14ac:dyDescent="0.35">
      <c r="A366">
        <v>2000</v>
      </c>
      <c r="B366" s="7" t="s">
        <v>25</v>
      </c>
      <c r="J366" s="12">
        <v>84586.96</v>
      </c>
      <c r="K366" s="5">
        <f t="shared" si="11"/>
        <v>80</v>
      </c>
      <c r="P366" t="str">
        <f t="shared" si="12"/>
        <v>80K</v>
      </c>
    </row>
    <row r="367" spans="1:16" x14ac:dyDescent="0.35">
      <c r="A367">
        <v>2022</v>
      </c>
      <c r="B367" s="6" t="s">
        <v>35</v>
      </c>
      <c r="J367" s="13">
        <v>96270.31</v>
      </c>
      <c r="K367" s="5">
        <f t="shared" si="11"/>
        <v>100</v>
      </c>
      <c r="P367" t="str">
        <f t="shared" si="12"/>
        <v>100K</v>
      </c>
    </row>
    <row r="368" spans="1:16" x14ac:dyDescent="0.35">
      <c r="A368">
        <v>2017</v>
      </c>
      <c r="B368" s="7" t="s">
        <v>27</v>
      </c>
      <c r="J368" s="12">
        <v>8884.27</v>
      </c>
      <c r="K368" s="5">
        <f t="shared" si="11"/>
        <v>10</v>
      </c>
      <c r="P368" t="str">
        <f t="shared" si="12"/>
        <v>10K</v>
      </c>
    </row>
    <row r="369" spans="1:16" x14ac:dyDescent="0.35">
      <c r="A369">
        <v>2012</v>
      </c>
      <c r="B369" s="6" t="s">
        <v>35</v>
      </c>
      <c r="J369" s="13">
        <v>12413.03</v>
      </c>
      <c r="K369" s="5">
        <f t="shared" si="11"/>
        <v>10</v>
      </c>
      <c r="P369" t="str">
        <f t="shared" si="12"/>
        <v>10K</v>
      </c>
    </row>
    <row r="370" spans="1:16" x14ac:dyDescent="0.35">
      <c r="A370">
        <v>2001</v>
      </c>
      <c r="B370" s="7" t="s">
        <v>27</v>
      </c>
      <c r="J370" s="12">
        <v>89048.83</v>
      </c>
      <c r="K370" s="5">
        <f t="shared" si="11"/>
        <v>90</v>
      </c>
      <c r="P370" t="str">
        <f t="shared" si="12"/>
        <v>90K</v>
      </c>
    </row>
    <row r="371" spans="1:16" x14ac:dyDescent="0.35">
      <c r="A371">
        <v>2008</v>
      </c>
      <c r="B371" s="6" t="s">
        <v>35</v>
      </c>
      <c r="J371" s="13">
        <v>82477.460000000006</v>
      </c>
      <c r="K371" s="5">
        <f t="shared" si="11"/>
        <v>80</v>
      </c>
      <c r="P371" t="str">
        <f t="shared" si="12"/>
        <v>80K</v>
      </c>
    </row>
    <row r="372" spans="1:16" x14ac:dyDescent="0.35">
      <c r="A372">
        <v>2020</v>
      </c>
      <c r="B372" s="7" t="s">
        <v>29</v>
      </c>
      <c r="J372" s="12">
        <v>63703.77</v>
      </c>
      <c r="K372" s="5">
        <f t="shared" si="11"/>
        <v>60</v>
      </c>
      <c r="P372" t="str">
        <f t="shared" si="12"/>
        <v>60K</v>
      </c>
    </row>
    <row r="373" spans="1:16" x14ac:dyDescent="0.35">
      <c r="A373">
        <v>2001</v>
      </c>
      <c r="B373" s="6" t="s">
        <v>25</v>
      </c>
      <c r="J373" s="13">
        <v>94771.69</v>
      </c>
      <c r="K373" s="5">
        <f t="shared" si="11"/>
        <v>90</v>
      </c>
      <c r="P373" t="str">
        <f t="shared" si="12"/>
        <v>90K</v>
      </c>
    </row>
    <row r="374" spans="1:16" x14ac:dyDescent="0.35">
      <c r="A374">
        <v>2008</v>
      </c>
      <c r="B374" s="7" t="s">
        <v>27</v>
      </c>
      <c r="J374" s="12">
        <v>66410.899999999994</v>
      </c>
      <c r="K374" s="5">
        <f t="shared" si="11"/>
        <v>70</v>
      </c>
      <c r="P374" t="str">
        <f t="shared" si="12"/>
        <v>70K</v>
      </c>
    </row>
    <row r="375" spans="1:16" x14ac:dyDescent="0.35">
      <c r="A375">
        <v>2000</v>
      </c>
      <c r="B375" s="6" t="s">
        <v>10</v>
      </c>
      <c r="J375" s="13">
        <v>25518.6</v>
      </c>
      <c r="K375" s="5">
        <f t="shared" si="11"/>
        <v>30</v>
      </c>
      <c r="P375" t="str">
        <f t="shared" si="12"/>
        <v>30K</v>
      </c>
    </row>
    <row r="376" spans="1:16" x14ac:dyDescent="0.35">
      <c r="A376">
        <v>2010</v>
      </c>
      <c r="B376" s="7" t="s">
        <v>23</v>
      </c>
      <c r="J376" s="12">
        <v>74221.02</v>
      </c>
      <c r="K376" s="5">
        <f t="shared" si="11"/>
        <v>70</v>
      </c>
      <c r="P376" t="str">
        <f t="shared" si="12"/>
        <v>70K</v>
      </c>
    </row>
    <row r="377" spans="1:16" x14ac:dyDescent="0.35">
      <c r="A377">
        <v>2002</v>
      </c>
      <c r="B377" s="6" t="s">
        <v>35</v>
      </c>
      <c r="J377" s="13">
        <v>66342.48</v>
      </c>
      <c r="K377" s="5">
        <f t="shared" si="11"/>
        <v>70</v>
      </c>
      <c r="P377" t="str">
        <f t="shared" si="12"/>
        <v>70K</v>
      </c>
    </row>
    <row r="378" spans="1:16" x14ac:dyDescent="0.35">
      <c r="A378">
        <v>2019</v>
      </c>
      <c r="B378" s="7" t="s">
        <v>35</v>
      </c>
      <c r="J378" s="12">
        <v>98645.75</v>
      </c>
      <c r="K378" s="5">
        <f t="shared" si="11"/>
        <v>100</v>
      </c>
      <c r="P378" t="str">
        <f t="shared" si="12"/>
        <v>100K</v>
      </c>
    </row>
    <row r="379" spans="1:16" x14ac:dyDescent="0.35">
      <c r="A379">
        <v>2022</v>
      </c>
      <c r="B379" s="6" t="s">
        <v>27</v>
      </c>
      <c r="J379" s="13">
        <v>25320.09</v>
      </c>
      <c r="K379" s="5">
        <f t="shared" si="11"/>
        <v>30</v>
      </c>
      <c r="P379" t="str">
        <f t="shared" si="12"/>
        <v>30K</v>
      </c>
    </row>
    <row r="380" spans="1:16" x14ac:dyDescent="0.35">
      <c r="A380">
        <v>2003</v>
      </c>
      <c r="B380" s="7" t="s">
        <v>23</v>
      </c>
      <c r="J380" s="12">
        <v>61799.07</v>
      </c>
      <c r="K380" s="5">
        <f t="shared" si="11"/>
        <v>60</v>
      </c>
      <c r="P380" t="str">
        <f t="shared" si="12"/>
        <v>60K</v>
      </c>
    </row>
    <row r="381" spans="1:16" x14ac:dyDescent="0.35">
      <c r="A381">
        <v>2017</v>
      </c>
      <c r="B381" s="6" t="s">
        <v>23</v>
      </c>
      <c r="J381" s="13">
        <v>79115.91</v>
      </c>
      <c r="K381" s="5">
        <f t="shared" si="11"/>
        <v>80</v>
      </c>
      <c r="P381" t="str">
        <f t="shared" si="12"/>
        <v>80K</v>
      </c>
    </row>
    <row r="382" spans="1:16" x14ac:dyDescent="0.35">
      <c r="A382">
        <v>2022</v>
      </c>
      <c r="B382" s="7" t="s">
        <v>29</v>
      </c>
      <c r="J382" s="12">
        <v>37203.39</v>
      </c>
      <c r="K382" s="5">
        <f t="shared" si="11"/>
        <v>40</v>
      </c>
      <c r="P382" t="str">
        <f t="shared" si="12"/>
        <v>40K</v>
      </c>
    </row>
    <row r="383" spans="1:16" x14ac:dyDescent="0.35">
      <c r="A383">
        <v>2005</v>
      </c>
      <c r="B383" s="6" t="s">
        <v>10</v>
      </c>
      <c r="J383" s="13">
        <v>41069.56</v>
      </c>
      <c r="K383" s="5">
        <f t="shared" si="11"/>
        <v>40</v>
      </c>
      <c r="P383" t="str">
        <f t="shared" si="12"/>
        <v>40K</v>
      </c>
    </row>
    <row r="384" spans="1:16" x14ac:dyDescent="0.35">
      <c r="A384">
        <v>2002</v>
      </c>
      <c r="B384" s="7" t="s">
        <v>29</v>
      </c>
      <c r="J384" s="12">
        <v>89350.67</v>
      </c>
      <c r="K384" s="5">
        <f t="shared" si="11"/>
        <v>90</v>
      </c>
      <c r="P384" t="str">
        <f t="shared" si="12"/>
        <v>90K</v>
      </c>
    </row>
    <row r="385" spans="1:16" x14ac:dyDescent="0.35">
      <c r="A385">
        <v>2021</v>
      </c>
      <c r="B385" s="6" t="s">
        <v>29</v>
      </c>
      <c r="J385" s="13">
        <v>43398.51</v>
      </c>
      <c r="K385" s="5">
        <f t="shared" si="11"/>
        <v>40</v>
      </c>
      <c r="P385" t="str">
        <f t="shared" si="12"/>
        <v>40K</v>
      </c>
    </row>
    <row r="386" spans="1:16" x14ac:dyDescent="0.35">
      <c r="A386">
        <v>2010</v>
      </c>
      <c r="B386" s="7" t="s">
        <v>29</v>
      </c>
      <c r="J386" s="12">
        <v>64349.62</v>
      </c>
      <c r="K386" s="5">
        <f t="shared" si="11"/>
        <v>60</v>
      </c>
      <c r="P386" t="str">
        <f t="shared" si="12"/>
        <v>60K</v>
      </c>
    </row>
    <row r="387" spans="1:16" x14ac:dyDescent="0.35">
      <c r="A387">
        <v>2014</v>
      </c>
      <c r="B387" s="6" t="s">
        <v>29</v>
      </c>
      <c r="J387" s="13">
        <v>89477.62</v>
      </c>
      <c r="K387" s="5">
        <f t="shared" ref="K387:K450" si="13">ROUND(J387/10000,0)*10</f>
        <v>90</v>
      </c>
      <c r="P387" t="str">
        <f t="shared" ref="P387:P450" si="14">TEXT(ROUND(J387/10000,0)*10,"0") &amp; "K"</f>
        <v>90K</v>
      </c>
    </row>
    <row r="388" spans="1:16" x14ac:dyDescent="0.35">
      <c r="A388">
        <v>2021</v>
      </c>
      <c r="B388" s="7" t="s">
        <v>29</v>
      </c>
      <c r="J388" s="12">
        <v>24933.53</v>
      </c>
      <c r="K388" s="5">
        <f t="shared" si="13"/>
        <v>20</v>
      </c>
      <c r="P388" t="str">
        <f t="shared" si="14"/>
        <v>20K</v>
      </c>
    </row>
    <row r="389" spans="1:16" x14ac:dyDescent="0.35">
      <c r="A389">
        <v>2004</v>
      </c>
      <c r="B389" s="6" t="s">
        <v>25</v>
      </c>
      <c r="J389" s="13">
        <v>98278.34</v>
      </c>
      <c r="K389" s="5">
        <f t="shared" si="13"/>
        <v>100</v>
      </c>
      <c r="P389" t="str">
        <f t="shared" si="14"/>
        <v>100K</v>
      </c>
    </row>
    <row r="390" spans="1:16" x14ac:dyDescent="0.35">
      <c r="A390">
        <v>2019</v>
      </c>
      <c r="B390" s="7" t="s">
        <v>23</v>
      </c>
      <c r="J390" s="12">
        <v>71685.59</v>
      </c>
      <c r="K390" s="5">
        <f t="shared" si="13"/>
        <v>70</v>
      </c>
      <c r="P390" t="str">
        <f t="shared" si="14"/>
        <v>70K</v>
      </c>
    </row>
    <row r="391" spans="1:16" x14ac:dyDescent="0.35">
      <c r="A391">
        <v>2009</v>
      </c>
      <c r="B391" s="6" t="s">
        <v>29</v>
      </c>
      <c r="J391" s="13">
        <v>52131.56</v>
      </c>
      <c r="K391" s="5">
        <f t="shared" si="13"/>
        <v>50</v>
      </c>
      <c r="P391" t="str">
        <f t="shared" si="14"/>
        <v>50K</v>
      </c>
    </row>
    <row r="392" spans="1:16" x14ac:dyDescent="0.35">
      <c r="A392">
        <v>2011</v>
      </c>
      <c r="B392" s="7" t="s">
        <v>23</v>
      </c>
      <c r="J392" s="12">
        <v>45937.45</v>
      </c>
      <c r="K392" s="5">
        <f t="shared" si="13"/>
        <v>50</v>
      </c>
      <c r="P392" t="str">
        <f t="shared" si="14"/>
        <v>50K</v>
      </c>
    </row>
    <row r="393" spans="1:16" x14ac:dyDescent="0.35">
      <c r="A393">
        <v>2014</v>
      </c>
      <c r="B393" s="6" t="s">
        <v>23</v>
      </c>
      <c r="J393" s="13">
        <v>95664.639999999999</v>
      </c>
      <c r="K393" s="5">
        <f t="shared" si="13"/>
        <v>100</v>
      </c>
      <c r="P393" t="str">
        <f t="shared" si="14"/>
        <v>100K</v>
      </c>
    </row>
    <row r="394" spans="1:16" x14ac:dyDescent="0.35">
      <c r="A394">
        <v>2016</v>
      </c>
      <c r="B394" s="7" t="s">
        <v>20</v>
      </c>
      <c r="J394" s="12">
        <v>24543.86</v>
      </c>
      <c r="K394" s="5">
        <f t="shared" si="13"/>
        <v>20</v>
      </c>
      <c r="P394" t="str">
        <f t="shared" si="14"/>
        <v>20K</v>
      </c>
    </row>
    <row r="395" spans="1:16" x14ac:dyDescent="0.35">
      <c r="A395">
        <v>2009</v>
      </c>
      <c r="B395" s="6" t="s">
        <v>25</v>
      </c>
      <c r="J395" s="13">
        <v>34609.910000000003</v>
      </c>
      <c r="K395" s="5">
        <f t="shared" si="13"/>
        <v>30</v>
      </c>
      <c r="P395" t="str">
        <f t="shared" si="14"/>
        <v>30K</v>
      </c>
    </row>
    <row r="396" spans="1:16" x14ac:dyDescent="0.35">
      <c r="A396">
        <v>2005</v>
      </c>
      <c r="B396" s="7" t="s">
        <v>29</v>
      </c>
      <c r="J396" s="12">
        <v>34240.31</v>
      </c>
      <c r="K396" s="5">
        <f t="shared" si="13"/>
        <v>30</v>
      </c>
      <c r="P396" t="str">
        <f t="shared" si="14"/>
        <v>30K</v>
      </c>
    </row>
    <row r="397" spans="1:16" x14ac:dyDescent="0.35">
      <c r="A397">
        <v>2017</v>
      </c>
      <c r="B397" s="6" t="s">
        <v>35</v>
      </c>
      <c r="J397" s="13">
        <v>32455.599999999999</v>
      </c>
      <c r="K397" s="5">
        <f t="shared" si="13"/>
        <v>30</v>
      </c>
      <c r="P397" t="str">
        <f t="shared" si="14"/>
        <v>30K</v>
      </c>
    </row>
    <row r="398" spans="1:16" x14ac:dyDescent="0.35">
      <c r="A398">
        <v>2012</v>
      </c>
      <c r="B398" s="7" t="s">
        <v>27</v>
      </c>
      <c r="J398" s="12">
        <v>49511.11</v>
      </c>
      <c r="K398" s="5">
        <f t="shared" si="13"/>
        <v>50</v>
      </c>
      <c r="P398" t="str">
        <f t="shared" si="14"/>
        <v>50K</v>
      </c>
    </row>
    <row r="399" spans="1:16" x14ac:dyDescent="0.35">
      <c r="A399">
        <v>2002</v>
      </c>
      <c r="B399" s="6" t="s">
        <v>10</v>
      </c>
      <c r="J399" s="13">
        <v>98972.03</v>
      </c>
      <c r="K399" s="5">
        <f t="shared" si="13"/>
        <v>100</v>
      </c>
      <c r="P399" t="str">
        <f t="shared" si="14"/>
        <v>100K</v>
      </c>
    </row>
    <row r="400" spans="1:16" x14ac:dyDescent="0.35">
      <c r="A400">
        <v>2023</v>
      </c>
      <c r="B400" s="7" t="s">
        <v>35</v>
      </c>
      <c r="J400" s="12">
        <v>89434.74</v>
      </c>
      <c r="K400" s="5">
        <f t="shared" si="13"/>
        <v>90</v>
      </c>
      <c r="P400" t="str">
        <f t="shared" si="14"/>
        <v>90K</v>
      </c>
    </row>
    <row r="401" spans="1:16" x14ac:dyDescent="0.35">
      <c r="A401">
        <v>2009</v>
      </c>
      <c r="B401" s="6" t="s">
        <v>25</v>
      </c>
      <c r="J401" s="13">
        <v>36155.21</v>
      </c>
      <c r="K401" s="5">
        <f t="shared" si="13"/>
        <v>40</v>
      </c>
      <c r="P401" t="str">
        <f t="shared" si="14"/>
        <v>40K</v>
      </c>
    </row>
    <row r="402" spans="1:16" x14ac:dyDescent="0.35">
      <c r="A402">
        <v>2013</v>
      </c>
      <c r="B402" s="7" t="s">
        <v>27</v>
      </c>
      <c r="J402" s="12">
        <v>45172.66</v>
      </c>
      <c r="K402" s="5">
        <f t="shared" si="13"/>
        <v>50</v>
      </c>
      <c r="P402" t="str">
        <f t="shared" si="14"/>
        <v>50K</v>
      </c>
    </row>
    <row r="403" spans="1:16" x14ac:dyDescent="0.35">
      <c r="A403">
        <v>2005</v>
      </c>
      <c r="B403" s="6" t="s">
        <v>25</v>
      </c>
      <c r="J403" s="13">
        <v>68600.67</v>
      </c>
      <c r="K403" s="5">
        <f t="shared" si="13"/>
        <v>70</v>
      </c>
      <c r="P403" t="str">
        <f t="shared" si="14"/>
        <v>70K</v>
      </c>
    </row>
    <row r="404" spans="1:16" x14ac:dyDescent="0.35">
      <c r="A404">
        <v>2002</v>
      </c>
      <c r="B404" s="7" t="s">
        <v>23</v>
      </c>
      <c r="J404" s="12">
        <v>6629.41</v>
      </c>
      <c r="K404" s="5">
        <f t="shared" si="13"/>
        <v>10</v>
      </c>
      <c r="P404" t="str">
        <f t="shared" si="14"/>
        <v>10K</v>
      </c>
    </row>
    <row r="405" spans="1:16" x14ac:dyDescent="0.35">
      <c r="A405">
        <v>2015</v>
      </c>
      <c r="B405" s="6" t="s">
        <v>27</v>
      </c>
      <c r="J405" s="13">
        <v>82914.600000000006</v>
      </c>
      <c r="K405" s="5">
        <f t="shared" si="13"/>
        <v>80</v>
      </c>
      <c r="P405" t="str">
        <f t="shared" si="14"/>
        <v>80K</v>
      </c>
    </row>
    <row r="406" spans="1:16" x14ac:dyDescent="0.35">
      <c r="A406">
        <v>2006</v>
      </c>
      <c r="B406" s="7" t="s">
        <v>23</v>
      </c>
      <c r="J406" s="12">
        <v>88580.82</v>
      </c>
      <c r="K406" s="5">
        <f t="shared" si="13"/>
        <v>90</v>
      </c>
      <c r="P406" t="str">
        <f t="shared" si="14"/>
        <v>90K</v>
      </c>
    </row>
    <row r="407" spans="1:16" x14ac:dyDescent="0.35">
      <c r="A407">
        <v>2019</v>
      </c>
      <c r="B407" s="6" t="s">
        <v>35</v>
      </c>
      <c r="J407" s="13">
        <v>86434.03</v>
      </c>
      <c r="K407" s="5">
        <f t="shared" si="13"/>
        <v>90</v>
      </c>
      <c r="P407" t="str">
        <f t="shared" si="14"/>
        <v>90K</v>
      </c>
    </row>
    <row r="408" spans="1:16" x14ac:dyDescent="0.35">
      <c r="A408">
        <v>2013</v>
      </c>
      <c r="B408" s="7" t="s">
        <v>35</v>
      </c>
      <c r="J408" s="12">
        <v>40630.17</v>
      </c>
      <c r="K408" s="5">
        <f t="shared" si="13"/>
        <v>40</v>
      </c>
      <c r="P408" t="str">
        <f t="shared" si="14"/>
        <v>40K</v>
      </c>
    </row>
    <row r="409" spans="1:16" x14ac:dyDescent="0.35">
      <c r="A409">
        <v>2008</v>
      </c>
      <c r="B409" s="6" t="s">
        <v>27</v>
      </c>
      <c r="J409" s="13">
        <v>48889.95</v>
      </c>
      <c r="K409" s="5">
        <f t="shared" si="13"/>
        <v>50</v>
      </c>
      <c r="P409" t="str">
        <f t="shared" si="14"/>
        <v>50K</v>
      </c>
    </row>
    <row r="410" spans="1:16" x14ac:dyDescent="0.35">
      <c r="A410">
        <v>2014</v>
      </c>
      <c r="B410" s="7" t="s">
        <v>27</v>
      </c>
      <c r="J410" s="12">
        <v>6176.89</v>
      </c>
      <c r="K410" s="5">
        <f t="shared" si="13"/>
        <v>10</v>
      </c>
      <c r="P410" t="str">
        <f t="shared" si="14"/>
        <v>10K</v>
      </c>
    </row>
    <row r="411" spans="1:16" x14ac:dyDescent="0.35">
      <c r="A411">
        <v>2020</v>
      </c>
      <c r="B411" s="6" t="s">
        <v>29</v>
      </c>
      <c r="J411" s="13">
        <v>42942.559999999998</v>
      </c>
      <c r="K411" s="5">
        <f t="shared" si="13"/>
        <v>40</v>
      </c>
      <c r="P411" t="str">
        <f t="shared" si="14"/>
        <v>40K</v>
      </c>
    </row>
    <row r="412" spans="1:16" x14ac:dyDescent="0.35">
      <c r="A412">
        <v>2002</v>
      </c>
      <c r="B412" s="7" t="s">
        <v>25</v>
      </c>
      <c r="J412" s="12">
        <v>48740.55</v>
      </c>
      <c r="K412" s="5">
        <f t="shared" si="13"/>
        <v>50</v>
      </c>
      <c r="P412" t="str">
        <f t="shared" si="14"/>
        <v>50K</v>
      </c>
    </row>
    <row r="413" spans="1:16" x14ac:dyDescent="0.35">
      <c r="A413">
        <v>2001</v>
      </c>
      <c r="B413" s="6" t="s">
        <v>29</v>
      </c>
      <c r="J413" s="13">
        <v>91162.559999999998</v>
      </c>
      <c r="K413" s="5">
        <f t="shared" si="13"/>
        <v>90</v>
      </c>
      <c r="P413" t="str">
        <f t="shared" si="14"/>
        <v>90K</v>
      </c>
    </row>
    <row r="414" spans="1:16" x14ac:dyDescent="0.35">
      <c r="A414">
        <v>2001</v>
      </c>
      <c r="B414" s="7" t="s">
        <v>25</v>
      </c>
      <c r="J414" s="12">
        <v>89928.83</v>
      </c>
      <c r="K414" s="5">
        <f t="shared" si="13"/>
        <v>90</v>
      </c>
      <c r="P414" t="str">
        <f t="shared" si="14"/>
        <v>90K</v>
      </c>
    </row>
    <row r="415" spans="1:16" x14ac:dyDescent="0.35">
      <c r="A415">
        <v>2002</v>
      </c>
      <c r="B415" s="6" t="s">
        <v>29</v>
      </c>
      <c r="J415" s="13">
        <v>96779.22</v>
      </c>
      <c r="K415" s="5">
        <f t="shared" si="13"/>
        <v>100</v>
      </c>
      <c r="P415" t="str">
        <f t="shared" si="14"/>
        <v>100K</v>
      </c>
    </row>
    <row r="416" spans="1:16" x14ac:dyDescent="0.35">
      <c r="A416">
        <v>2017</v>
      </c>
      <c r="B416" s="7" t="s">
        <v>23</v>
      </c>
      <c r="J416" s="12">
        <v>89084.97</v>
      </c>
      <c r="K416" s="5">
        <f t="shared" si="13"/>
        <v>90</v>
      </c>
      <c r="P416" t="str">
        <f t="shared" si="14"/>
        <v>90K</v>
      </c>
    </row>
    <row r="417" spans="1:16" x14ac:dyDescent="0.35">
      <c r="A417">
        <v>2013</v>
      </c>
      <c r="B417" s="6" t="s">
        <v>27</v>
      </c>
      <c r="J417" s="13">
        <v>5779.07</v>
      </c>
      <c r="K417" s="5">
        <f t="shared" si="13"/>
        <v>10</v>
      </c>
      <c r="P417" t="str">
        <f t="shared" si="14"/>
        <v>10K</v>
      </c>
    </row>
    <row r="418" spans="1:16" x14ac:dyDescent="0.35">
      <c r="A418">
        <v>2019</v>
      </c>
      <c r="B418" s="7" t="s">
        <v>35</v>
      </c>
      <c r="J418" s="12">
        <v>65938.78</v>
      </c>
      <c r="K418" s="5">
        <f t="shared" si="13"/>
        <v>70</v>
      </c>
      <c r="P418" t="str">
        <f t="shared" si="14"/>
        <v>70K</v>
      </c>
    </row>
    <row r="419" spans="1:16" x14ac:dyDescent="0.35">
      <c r="A419">
        <v>2017</v>
      </c>
      <c r="B419" s="6" t="s">
        <v>25</v>
      </c>
      <c r="J419" s="13">
        <v>11482.58</v>
      </c>
      <c r="K419" s="5">
        <f t="shared" si="13"/>
        <v>10</v>
      </c>
      <c r="P419" t="str">
        <f t="shared" si="14"/>
        <v>10K</v>
      </c>
    </row>
    <row r="420" spans="1:16" x14ac:dyDescent="0.35">
      <c r="A420">
        <v>2009</v>
      </c>
      <c r="B420" s="7" t="s">
        <v>25</v>
      </c>
      <c r="J420" s="12">
        <v>30896.46</v>
      </c>
      <c r="K420" s="5">
        <f t="shared" si="13"/>
        <v>30</v>
      </c>
      <c r="P420" t="str">
        <f t="shared" si="14"/>
        <v>30K</v>
      </c>
    </row>
    <row r="421" spans="1:16" x14ac:dyDescent="0.35">
      <c r="A421">
        <v>2001</v>
      </c>
      <c r="B421" s="6" t="s">
        <v>35</v>
      </c>
      <c r="J421" s="13">
        <v>59939.22</v>
      </c>
      <c r="K421" s="5">
        <f t="shared" si="13"/>
        <v>60</v>
      </c>
      <c r="P421" t="str">
        <f t="shared" si="14"/>
        <v>60K</v>
      </c>
    </row>
    <row r="422" spans="1:16" x14ac:dyDescent="0.35">
      <c r="A422">
        <v>2021</v>
      </c>
      <c r="B422" s="7" t="s">
        <v>29</v>
      </c>
      <c r="J422" s="12">
        <v>71558.31</v>
      </c>
      <c r="K422" s="5">
        <f t="shared" si="13"/>
        <v>70</v>
      </c>
      <c r="P422" t="str">
        <f t="shared" si="14"/>
        <v>70K</v>
      </c>
    </row>
    <row r="423" spans="1:16" x14ac:dyDescent="0.35">
      <c r="A423">
        <v>2000</v>
      </c>
      <c r="B423" s="6" t="s">
        <v>25</v>
      </c>
      <c r="J423" s="13">
        <v>67190.039999999994</v>
      </c>
      <c r="K423" s="5">
        <f t="shared" si="13"/>
        <v>70</v>
      </c>
      <c r="P423" t="str">
        <f t="shared" si="14"/>
        <v>70K</v>
      </c>
    </row>
    <row r="424" spans="1:16" x14ac:dyDescent="0.35">
      <c r="A424">
        <v>2003</v>
      </c>
      <c r="B424" s="7" t="s">
        <v>10</v>
      </c>
      <c r="J424" s="12">
        <v>9660.5400000000009</v>
      </c>
      <c r="K424" s="5">
        <f t="shared" si="13"/>
        <v>10</v>
      </c>
      <c r="P424" t="str">
        <f t="shared" si="14"/>
        <v>10K</v>
      </c>
    </row>
    <row r="425" spans="1:16" x14ac:dyDescent="0.35">
      <c r="A425">
        <v>2013</v>
      </c>
      <c r="B425" s="6" t="s">
        <v>23</v>
      </c>
      <c r="J425" s="13">
        <v>14842.37</v>
      </c>
      <c r="K425" s="5">
        <f t="shared" si="13"/>
        <v>10</v>
      </c>
      <c r="P425" t="str">
        <f t="shared" si="14"/>
        <v>10K</v>
      </c>
    </row>
    <row r="426" spans="1:16" x14ac:dyDescent="0.35">
      <c r="A426">
        <v>2000</v>
      </c>
      <c r="B426" s="7" t="s">
        <v>27</v>
      </c>
      <c r="J426" s="12">
        <v>17215.75</v>
      </c>
      <c r="K426" s="5">
        <f t="shared" si="13"/>
        <v>20</v>
      </c>
      <c r="P426" t="str">
        <f t="shared" si="14"/>
        <v>20K</v>
      </c>
    </row>
    <row r="427" spans="1:16" x14ac:dyDescent="0.35">
      <c r="A427">
        <v>2013</v>
      </c>
      <c r="B427" s="6" t="s">
        <v>35</v>
      </c>
      <c r="J427" s="13">
        <v>13684.37</v>
      </c>
      <c r="K427" s="5">
        <f t="shared" si="13"/>
        <v>10</v>
      </c>
      <c r="P427" t="str">
        <f t="shared" si="14"/>
        <v>10K</v>
      </c>
    </row>
    <row r="428" spans="1:16" x14ac:dyDescent="0.35">
      <c r="A428">
        <v>2015</v>
      </c>
      <c r="B428" s="7" t="s">
        <v>27</v>
      </c>
      <c r="J428" s="12">
        <v>21932.27</v>
      </c>
      <c r="K428" s="5">
        <f t="shared" si="13"/>
        <v>20</v>
      </c>
      <c r="P428" t="str">
        <f t="shared" si="14"/>
        <v>20K</v>
      </c>
    </row>
    <row r="429" spans="1:16" x14ac:dyDescent="0.35">
      <c r="A429">
        <v>2021</v>
      </c>
      <c r="B429" s="6" t="s">
        <v>10</v>
      </c>
      <c r="J429" s="13">
        <v>70406.34</v>
      </c>
      <c r="K429" s="5">
        <f t="shared" si="13"/>
        <v>70</v>
      </c>
      <c r="P429" t="str">
        <f t="shared" si="14"/>
        <v>70K</v>
      </c>
    </row>
    <row r="430" spans="1:16" x14ac:dyDescent="0.35">
      <c r="A430">
        <v>2013</v>
      </c>
      <c r="B430" s="7" t="s">
        <v>25</v>
      </c>
      <c r="J430" s="12">
        <v>83929.54</v>
      </c>
      <c r="K430" s="5">
        <f t="shared" si="13"/>
        <v>80</v>
      </c>
      <c r="P430" t="str">
        <f t="shared" si="14"/>
        <v>80K</v>
      </c>
    </row>
    <row r="431" spans="1:16" x14ac:dyDescent="0.35">
      <c r="A431">
        <v>2019</v>
      </c>
      <c r="B431" s="6" t="s">
        <v>25</v>
      </c>
      <c r="J431" s="13">
        <v>43837.32</v>
      </c>
      <c r="K431" s="5">
        <f t="shared" si="13"/>
        <v>40</v>
      </c>
      <c r="P431" t="str">
        <f t="shared" si="14"/>
        <v>40K</v>
      </c>
    </row>
    <row r="432" spans="1:16" x14ac:dyDescent="0.35">
      <c r="A432">
        <v>2002</v>
      </c>
      <c r="B432" s="7" t="s">
        <v>10</v>
      </c>
      <c r="J432" s="12">
        <v>70814.240000000005</v>
      </c>
      <c r="K432" s="5">
        <f t="shared" si="13"/>
        <v>70</v>
      </c>
      <c r="P432" t="str">
        <f t="shared" si="14"/>
        <v>70K</v>
      </c>
    </row>
    <row r="433" spans="1:16" x14ac:dyDescent="0.35">
      <c r="A433">
        <v>2002</v>
      </c>
      <c r="B433" s="6" t="s">
        <v>35</v>
      </c>
      <c r="J433" s="13">
        <v>24001.54</v>
      </c>
      <c r="K433" s="5">
        <f t="shared" si="13"/>
        <v>20</v>
      </c>
      <c r="P433" t="str">
        <f t="shared" si="14"/>
        <v>20K</v>
      </c>
    </row>
    <row r="434" spans="1:16" x14ac:dyDescent="0.35">
      <c r="A434">
        <v>2008</v>
      </c>
      <c r="B434" s="7" t="s">
        <v>23</v>
      </c>
      <c r="J434" s="12">
        <v>97461.61</v>
      </c>
      <c r="K434" s="5">
        <f t="shared" si="13"/>
        <v>100</v>
      </c>
      <c r="P434" t="str">
        <f t="shared" si="14"/>
        <v>100K</v>
      </c>
    </row>
    <row r="435" spans="1:16" x14ac:dyDescent="0.35">
      <c r="A435">
        <v>2005</v>
      </c>
      <c r="B435" s="6" t="s">
        <v>20</v>
      </c>
      <c r="J435" s="13">
        <v>38249.760000000002</v>
      </c>
      <c r="K435" s="5">
        <f t="shared" si="13"/>
        <v>40</v>
      </c>
      <c r="P435" t="str">
        <f t="shared" si="14"/>
        <v>40K</v>
      </c>
    </row>
    <row r="436" spans="1:16" x14ac:dyDescent="0.35">
      <c r="A436">
        <v>2012</v>
      </c>
      <c r="B436" s="7" t="s">
        <v>35</v>
      </c>
      <c r="J436" s="12">
        <v>85357.36</v>
      </c>
      <c r="K436" s="5">
        <f t="shared" si="13"/>
        <v>90</v>
      </c>
      <c r="P436" t="str">
        <f t="shared" si="14"/>
        <v>90K</v>
      </c>
    </row>
    <row r="437" spans="1:16" x14ac:dyDescent="0.35">
      <c r="A437">
        <v>2020</v>
      </c>
      <c r="B437" s="6" t="s">
        <v>20</v>
      </c>
      <c r="J437" s="13">
        <v>94809.81</v>
      </c>
      <c r="K437" s="5">
        <f t="shared" si="13"/>
        <v>90</v>
      </c>
      <c r="P437" t="str">
        <f t="shared" si="14"/>
        <v>90K</v>
      </c>
    </row>
    <row r="438" spans="1:16" x14ac:dyDescent="0.35">
      <c r="A438">
        <v>2001</v>
      </c>
      <c r="B438" s="7" t="s">
        <v>10</v>
      </c>
      <c r="J438" s="12">
        <v>87147.83</v>
      </c>
      <c r="K438" s="5">
        <f t="shared" si="13"/>
        <v>90</v>
      </c>
      <c r="P438" t="str">
        <f t="shared" si="14"/>
        <v>90K</v>
      </c>
    </row>
    <row r="439" spans="1:16" x14ac:dyDescent="0.35">
      <c r="A439">
        <v>2007</v>
      </c>
      <c r="B439" s="6" t="s">
        <v>29</v>
      </c>
      <c r="J439" s="13">
        <v>11371.43</v>
      </c>
      <c r="K439" s="5">
        <f t="shared" si="13"/>
        <v>10</v>
      </c>
      <c r="P439" t="str">
        <f t="shared" si="14"/>
        <v>10K</v>
      </c>
    </row>
    <row r="440" spans="1:16" x14ac:dyDescent="0.35">
      <c r="A440">
        <v>2020</v>
      </c>
      <c r="B440" s="7" t="s">
        <v>20</v>
      </c>
      <c r="J440" s="12">
        <v>66779.179999999993</v>
      </c>
      <c r="K440" s="5">
        <f t="shared" si="13"/>
        <v>70</v>
      </c>
      <c r="P440" t="str">
        <f t="shared" si="14"/>
        <v>70K</v>
      </c>
    </row>
    <row r="441" spans="1:16" x14ac:dyDescent="0.35">
      <c r="A441">
        <v>2001</v>
      </c>
      <c r="B441" s="6" t="s">
        <v>23</v>
      </c>
      <c r="J441" s="13">
        <v>16408.62</v>
      </c>
      <c r="K441" s="5">
        <f t="shared" si="13"/>
        <v>20</v>
      </c>
      <c r="P441" t="str">
        <f t="shared" si="14"/>
        <v>20K</v>
      </c>
    </row>
    <row r="442" spans="1:16" x14ac:dyDescent="0.35">
      <c r="A442">
        <v>2003</v>
      </c>
      <c r="B442" s="7" t="s">
        <v>29</v>
      </c>
      <c r="J442" s="12">
        <v>5537.99</v>
      </c>
      <c r="K442" s="5">
        <f t="shared" si="13"/>
        <v>10</v>
      </c>
      <c r="P442" t="str">
        <f t="shared" si="14"/>
        <v>10K</v>
      </c>
    </row>
    <row r="443" spans="1:16" x14ac:dyDescent="0.35">
      <c r="A443">
        <v>2014</v>
      </c>
      <c r="B443" s="6" t="s">
        <v>20</v>
      </c>
      <c r="J443" s="13">
        <v>9919.43</v>
      </c>
      <c r="K443" s="5">
        <f t="shared" si="13"/>
        <v>10</v>
      </c>
      <c r="P443" t="str">
        <f t="shared" si="14"/>
        <v>10K</v>
      </c>
    </row>
    <row r="444" spans="1:16" x14ac:dyDescent="0.35">
      <c r="A444">
        <v>2003</v>
      </c>
      <c r="B444" s="7" t="s">
        <v>10</v>
      </c>
      <c r="J444" s="12">
        <v>92034.17</v>
      </c>
      <c r="K444" s="5">
        <f t="shared" si="13"/>
        <v>90</v>
      </c>
      <c r="P444" t="str">
        <f t="shared" si="14"/>
        <v>90K</v>
      </c>
    </row>
    <row r="445" spans="1:16" x14ac:dyDescent="0.35">
      <c r="A445">
        <v>2012</v>
      </c>
      <c r="B445" s="6" t="s">
        <v>29</v>
      </c>
      <c r="J445" s="13">
        <v>91304.03</v>
      </c>
      <c r="K445" s="5">
        <f t="shared" si="13"/>
        <v>90</v>
      </c>
      <c r="P445" t="str">
        <f t="shared" si="14"/>
        <v>90K</v>
      </c>
    </row>
    <row r="446" spans="1:16" x14ac:dyDescent="0.35">
      <c r="A446">
        <v>2011</v>
      </c>
      <c r="B446" s="7" t="s">
        <v>10</v>
      </c>
      <c r="J446" s="12">
        <v>26453.32</v>
      </c>
      <c r="K446" s="5">
        <f t="shared" si="13"/>
        <v>30</v>
      </c>
      <c r="P446" t="str">
        <f t="shared" si="14"/>
        <v>30K</v>
      </c>
    </row>
    <row r="447" spans="1:16" x14ac:dyDescent="0.35">
      <c r="A447">
        <v>2012</v>
      </c>
      <c r="B447" s="6" t="s">
        <v>20</v>
      </c>
      <c r="J447" s="13">
        <v>56970.82</v>
      </c>
      <c r="K447" s="5">
        <f t="shared" si="13"/>
        <v>60</v>
      </c>
      <c r="P447" t="str">
        <f t="shared" si="14"/>
        <v>60K</v>
      </c>
    </row>
    <row r="448" spans="1:16" x14ac:dyDescent="0.35">
      <c r="A448">
        <v>2013</v>
      </c>
      <c r="B448" s="7" t="s">
        <v>10</v>
      </c>
      <c r="J448" s="12">
        <v>95727.679999999993</v>
      </c>
      <c r="K448" s="5">
        <f t="shared" si="13"/>
        <v>100</v>
      </c>
      <c r="P448" t="str">
        <f t="shared" si="14"/>
        <v>100K</v>
      </c>
    </row>
    <row r="449" spans="1:16" x14ac:dyDescent="0.35">
      <c r="A449">
        <v>2019</v>
      </c>
      <c r="B449" s="6" t="s">
        <v>23</v>
      </c>
      <c r="J449" s="13">
        <v>52187.08</v>
      </c>
      <c r="K449" s="5">
        <f t="shared" si="13"/>
        <v>50</v>
      </c>
      <c r="P449" t="str">
        <f t="shared" si="14"/>
        <v>50K</v>
      </c>
    </row>
    <row r="450" spans="1:16" x14ac:dyDescent="0.35">
      <c r="A450">
        <v>2017</v>
      </c>
      <c r="B450" s="7" t="s">
        <v>20</v>
      </c>
      <c r="J450" s="12">
        <v>42389.89</v>
      </c>
      <c r="K450" s="5">
        <f t="shared" si="13"/>
        <v>40</v>
      </c>
      <c r="P450" t="str">
        <f t="shared" si="14"/>
        <v>40K</v>
      </c>
    </row>
    <row r="451" spans="1:16" x14ac:dyDescent="0.35">
      <c r="A451">
        <v>2005</v>
      </c>
      <c r="B451" s="6" t="s">
        <v>20</v>
      </c>
      <c r="J451" s="13">
        <v>50908.63</v>
      </c>
      <c r="K451" s="5">
        <f t="shared" ref="K451:K514" si="15">ROUND(J451/10000,0)*10</f>
        <v>50</v>
      </c>
      <c r="P451" t="str">
        <f t="shared" ref="P451:P514" si="16">TEXT(ROUND(J451/10000,0)*10,"0") &amp; "K"</f>
        <v>50K</v>
      </c>
    </row>
    <row r="452" spans="1:16" x14ac:dyDescent="0.35">
      <c r="A452">
        <v>2010</v>
      </c>
      <c r="B452" s="7" t="s">
        <v>20</v>
      </c>
      <c r="J452" s="12">
        <v>80070.5</v>
      </c>
      <c r="K452" s="5">
        <f t="shared" si="15"/>
        <v>80</v>
      </c>
      <c r="P452" t="str">
        <f t="shared" si="16"/>
        <v>80K</v>
      </c>
    </row>
    <row r="453" spans="1:16" x14ac:dyDescent="0.35">
      <c r="A453">
        <v>2001</v>
      </c>
      <c r="B453" s="6" t="s">
        <v>35</v>
      </c>
      <c r="J453" s="13">
        <v>50341.38</v>
      </c>
      <c r="K453" s="5">
        <f t="shared" si="15"/>
        <v>50</v>
      </c>
      <c r="P453" t="str">
        <f t="shared" si="16"/>
        <v>50K</v>
      </c>
    </row>
    <row r="454" spans="1:16" x14ac:dyDescent="0.35">
      <c r="A454">
        <v>2022</v>
      </c>
      <c r="B454" s="7" t="s">
        <v>35</v>
      </c>
      <c r="J454" s="12">
        <v>79411.38</v>
      </c>
      <c r="K454" s="5">
        <f t="shared" si="15"/>
        <v>80</v>
      </c>
      <c r="P454" t="str">
        <f t="shared" si="16"/>
        <v>80K</v>
      </c>
    </row>
    <row r="455" spans="1:16" x14ac:dyDescent="0.35">
      <c r="A455">
        <v>2018</v>
      </c>
      <c r="B455" s="6" t="s">
        <v>35</v>
      </c>
      <c r="J455" s="13">
        <v>46011.26</v>
      </c>
      <c r="K455" s="5">
        <f t="shared" si="15"/>
        <v>50</v>
      </c>
      <c r="P455" t="str">
        <f t="shared" si="16"/>
        <v>50K</v>
      </c>
    </row>
    <row r="456" spans="1:16" x14ac:dyDescent="0.35">
      <c r="A456">
        <v>2018</v>
      </c>
      <c r="B456" s="7" t="s">
        <v>23</v>
      </c>
      <c r="J456" s="12">
        <v>28940.54</v>
      </c>
      <c r="K456" s="5">
        <f t="shared" si="15"/>
        <v>30</v>
      </c>
      <c r="P456" t="str">
        <f t="shared" si="16"/>
        <v>30K</v>
      </c>
    </row>
    <row r="457" spans="1:16" x14ac:dyDescent="0.35">
      <c r="A457">
        <v>2004</v>
      </c>
      <c r="B457" s="6" t="s">
        <v>29</v>
      </c>
      <c r="J457" s="13">
        <v>36014.910000000003</v>
      </c>
      <c r="K457" s="5">
        <f t="shared" si="15"/>
        <v>40</v>
      </c>
      <c r="P457" t="str">
        <f t="shared" si="16"/>
        <v>40K</v>
      </c>
    </row>
    <row r="458" spans="1:16" x14ac:dyDescent="0.35">
      <c r="A458">
        <v>2018</v>
      </c>
      <c r="B458" s="7" t="s">
        <v>10</v>
      </c>
      <c r="J458" s="12">
        <v>12393.23</v>
      </c>
      <c r="K458" s="5">
        <f t="shared" si="15"/>
        <v>10</v>
      </c>
      <c r="P458" t="str">
        <f t="shared" si="16"/>
        <v>10K</v>
      </c>
    </row>
    <row r="459" spans="1:16" x14ac:dyDescent="0.35">
      <c r="A459">
        <v>2001</v>
      </c>
      <c r="B459" s="6" t="s">
        <v>25</v>
      </c>
      <c r="J459" s="13">
        <v>52251.21</v>
      </c>
      <c r="K459" s="5">
        <f t="shared" si="15"/>
        <v>50</v>
      </c>
      <c r="P459" t="str">
        <f t="shared" si="16"/>
        <v>50K</v>
      </c>
    </row>
    <row r="460" spans="1:16" x14ac:dyDescent="0.35">
      <c r="A460">
        <v>2009</v>
      </c>
      <c r="B460" s="7" t="s">
        <v>20</v>
      </c>
      <c r="J460" s="12">
        <v>19070.54</v>
      </c>
      <c r="K460" s="5">
        <f t="shared" si="15"/>
        <v>20</v>
      </c>
      <c r="P460" t="str">
        <f t="shared" si="16"/>
        <v>20K</v>
      </c>
    </row>
    <row r="461" spans="1:16" x14ac:dyDescent="0.35">
      <c r="A461">
        <v>2001</v>
      </c>
      <c r="B461" s="6" t="s">
        <v>10</v>
      </c>
      <c r="J461" s="13">
        <v>82096.97</v>
      </c>
      <c r="K461" s="5">
        <f t="shared" si="15"/>
        <v>80</v>
      </c>
      <c r="P461" t="str">
        <f t="shared" si="16"/>
        <v>80K</v>
      </c>
    </row>
    <row r="462" spans="1:16" x14ac:dyDescent="0.35">
      <c r="A462">
        <v>2010</v>
      </c>
      <c r="B462" s="7" t="s">
        <v>20</v>
      </c>
      <c r="J462" s="12">
        <v>44956.1</v>
      </c>
      <c r="K462" s="5">
        <f t="shared" si="15"/>
        <v>40</v>
      </c>
      <c r="P462" t="str">
        <f t="shared" si="16"/>
        <v>40K</v>
      </c>
    </row>
    <row r="463" spans="1:16" x14ac:dyDescent="0.35">
      <c r="A463">
        <v>2017</v>
      </c>
      <c r="B463" s="6" t="s">
        <v>23</v>
      </c>
      <c r="J463" s="13">
        <v>77675.22</v>
      </c>
      <c r="K463" s="5">
        <f t="shared" si="15"/>
        <v>80</v>
      </c>
      <c r="P463" t="str">
        <f t="shared" si="16"/>
        <v>80K</v>
      </c>
    </row>
    <row r="464" spans="1:16" x14ac:dyDescent="0.35">
      <c r="A464">
        <v>2023</v>
      </c>
      <c r="B464" s="7" t="s">
        <v>20</v>
      </c>
      <c r="J464" s="12">
        <v>95673.74</v>
      </c>
      <c r="K464" s="5">
        <f t="shared" si="15"/>
        <v>100</v>
      </c>
      <c r="P464" t="str">
        <f t="shared" si="16"/>
        <v>100K</v>
      </c>
    </row>
    <row r="465" spans="1:16" x14ac:dyDescent="0.35">
      <c r="A465">
        <v>2014</v>
      </c>
      <c r="B465" s="6" t="s">
        <v>35</v>
      </c>
      <c r="J465" s="13">
        <v>85700.41</v>
      </c>
      <c r="K465" s="5">
        <f t="shared" si="15"/>
        <v>90</v>
      </c>
      <c r="P465" t="str">
        <f t="shared" si="16"/>
        <v>90K</v>
      </c>
    </row>
    <row r="466" spans="1:16" x14ac:dyDescent="0.35">
      <c r="A466">
        <v>2008</v>
      </c>
      <c r="B466" s="7" t="s">
        <v>25</v>
      </c>
      <c r="J466" s="12">
        <v>95389.05</v>
      </c>
      <c r="K466" s="5">
        <f t="shared" si="15"/>
        <v>100</v>
      </c>
      <c r="P466" t="str">
        <f t="shared" si="16"/>
        <v>100K</v>
      </c>
    </row>
    <row r="467" spans="1:16" x14ac:dyDescent="0.35">
      <c r="A467">
        <v>2022</v>
      </c>
      <c r="B467" s="6" t="s">
        <v>27</v>
      </c>
      <c r="J467" s="13">
        <v>58953.97</v>
      </c>
      <c r="K467" s="5">
        <f t="shared" si="15"/>
        <v>60</v>
      </c>
      <c r="P467" t="str">
        <f t="shared" si="16"/>
        <v>60K</v>
      </c>
    </row>
    <row r="468" spans="1:16" x14ac:dyDescent="0.35">
      <c r="A468">
        <v>2018</v>
      </c>
      <c r="B468" s="7" t="s">
        <v>20</v>
      </c>
      <c r="J468" s="12">
        <v>20705.82</v>
      </c>
      <c r="K468" s="5">
        <f t="shared" si="15"/>
        <v>20</v>
      </c>
      <c r="P468" t="str">
        <f t="shared" si="16"/>
        <v>20K</v>
      </c>
    </row>
    <row r="469" spans="1:16" x14ac:dyDescent="0.35">
      <c r="A469">
        <v>2008</v>
      </c>
      <c r="B469" s="6" t="s">
        <v>10</v>
      </c>
      <c r="J469" s="13">
        <v>93862.62</v>
      </c>
      <c r="K469" s="5">
        <f t="shared" si="15"/>
        <v>90</v>
      </c>
      <c r="P469" t="str">
        <f t="shared" si="16"/>
        <v>90K</v>
      </c>
    </row>
    <row r="470" spans="1:16" x14ac:dyDescent="0.35">
      <c r="A470">
        <v>2002</v>
      </c>
      <c r="B470" s="7" t="s">
        <v>35</v>
      </c>
      <c r="J470" s="12">
        <v>87507.92</v>
      </c>
      <c r="K470" s="5">
        <f t="shared" si="15"/>
        <v>90</v>
      </c>
      <c r="P470" t="str">
        <f t="shared" si="16"/>
        <v>90K</v>
      </c>
    </row>
    <row r="471" spans="1:16" x14ac:dyDescent="0.35">
      <c r="A471">
        <v>2020</v>
      </c>
      <c r="B471" s="6" t="s">
        <v>27</v>
      </c>
      <c r="J471" s="13">
        <v>87119.23</v>
      </c>
      <c r="K471" s="5">
        <f t="shared" si="15"/>
        <v>90</v>
      </c>
      <c r="P471" t="str">
        <f t="shared" si="16"/>
        <v>90K</v>
      </c>
    </row>
    <row r="472" spans="1:16" x14ac:dyDescent="0.35">
      <c r="A472">
        <v>2008</v>
      </c>
      <c r="B472" s="7" t="s">
        <v>25</v>
      </c>
      <c r="J472" s="12">
        <v>70861.070000000007</v>
      </c>
      <c r="K472" s="5">
        <f t="shared" si="15"/>
        <v>70</v>
      </c>
      <c r="P472" t="str">
        <f t="shared" si="16"/>
        <v>70K</v>
      </c>
    </row>
    <row r="473" spans="1:16" x14ac:dyDescent="0.35">
      <c r="A473">
        <v>2013</v>
      </c>
      <c r="B473" s="6" t="s">
        <v>27</v>
      </c>
      <c r="J473" s="13">
        <v>64367.040000000001</v>
      </c>
      <c r="K473" s="5">
        <f t="shared" si="15"/>
        <v>60</v>
      </c>
      <c r="P473" t="str">
        <f t="shared" si="16"/>
        <v>60K</v>
      </c>
    </row>
    <row r="474" spans="1:16" x14ac:dyDescent="0.35">
      <c r="A474">
        <v>2018</v>
      </c>
      <c r="B474" s="7" t="s">
        <v>35</v>
      </c>
      <c r="J474" s="12">
        <v>6398.77</v>
      </c>
      <c r="K474" s="5">
        <f t="shared" si="15"/>
        <v>10</v>
      </c>
      <c r="P474" t="str">
        <f t="shared" si="16"/>
        <v>10K</v>
      </c>
    </row>
    <row r="475" spans="1:16" x14ac:dyDescent="0.35">
      <c r="A475">
        <v>2006</v>
      </c>
      <c r="B475" s="6" t="s">
        <v>29</v>
      </c>
      <c r="J475" s="13">
        <v>76065.14</v>
      </c>
      <c r="K475" s="5">
        <f t="shared" si="15"/>
        <v>80</v>
      </c>
      <c r="P475" t="str">
        <f t="shared" si="16"/>
        <v>80K</v>
      </c>
    </row>
    <row r="476" spans="1:16" x14ac:dyDescent="0.35">
      <c r="A476">
        <v>2015</v>
      </c>
      <c r="B476" s="7" t="s">
        <v>29</v>
      </c>
      <c r="J476" s="12">
        <v>13695.84</v>
      </c>
      <c r="K476" s="5">
        <f t="shared" si="15"/>
        <v>10</v>
      </c>
      <c r="P476" t="str">
        <f t="shared" si="16"/>
        <v>10K</v>
      </c>
    </row>
    <row r="477" spans="1:16" x14ac:dyDescent="0.35">
      <c r="A477">
        <v>2015</v>
      </c>
      <c r="B477" s="6" t="s">
        <v>27</v>
      </c>
      <c r="J477" s="13">
        <v>29676.34</v>
      </c>
      <c r="K477" s="5">
        <f t="shared" si="15"/>
        <v>30</v>
      </c>
      <c r="P477" t="str">
        <f t="shared" si="16"/>
        <v>30K</v>
      </c>
    </row>
    <row r="478" spans="1:16" x14ac:dyDescent="0.35">
      <c r="A478">
        <v>2000</v>
      </c>
      <c r="B478" s="7" t="s">
        <v>23</v>
      </c>
      <c r="J478" s="12">
        <v>57391.58</v>
      </c>
      <c r="K478" s="5">
        <f t="shared" si="15"/>
        <v>60</v>
      </c>
      <c r="P478" t="str">
        <f t="shared" si="16"/>
        <v>60K</v>
      </c>
    </row>
    <row r="479" spans="1:16" x14ac:dyDescent="0.35">
      <c r="A479">
        <v>2003</v>
      </c>
      <c r="B479" s="6" t="s">
        <v>10</v>
      </c>
      <c r="J479" s="13">
        <v>47914.6</v>
      </c>
      <c r="K479" s="5">
        <f t="shared" si="15"/>
        <v>50</v>
      </c>
      <c r="P479" t="str">
        <f t="shared" si="16"/>
        <v>50K</v>
      </c>
    </row>
    <row r="480" spans="1:16" x14ac:dyDescent="0.35">
      <c r="A480">
        <v>2003</v>
      </c>
      <c r="B480" s="7" t="s">
        <v>10</v>
      </c>
      <c r="J480" s="12">
        <v>6498.57</v>
      </c>
      <c r="K480" s="5">
        <f t="shared" si="15"/>
        <v>10</v>
      </c>
      <c r="P480" t="str">
        <f t="shared" si="16"/>
        <v>10K</v>
      </c>
    </row>
    <row r="481" spans="1:16" x14ac:dyDescent="0.35">
      <c r="A481">
        <v>2006</v>
      </c>
      <c r="B481" s="6" t="s">
        <v>27</v>
      </c>
      <c r="J481" s="13">
        <v>83278.58</v>
      </c>
      <c r="K481" s="5">
        <f t="shared" si="15"/>
        <v>80</v>
      </c>
      <c r="P481" t="str">
        <f t="shared" si="16"/>
        <v>80K</v>
      </c>
    </row>
    <row r="482" spans="1:16" x14ac:dyDescent="0.35">
      <c r="A482">
        <v>2007</v>
      </c>
      <c r="B482" s="7" t="s">
        <v>20</v>
      </c>
      <c r="J482" s="12">
        <v>88486.09</v>
      </c>
      <c r="K482" s="5">
        <f t="shared" si="15"/>
        <v>90</v>
      </c>
      <c r="P482" t="str">
        <f t="shared" si="16"/>
        <v>90K</v>
      </c>
    </row>
    <row r="483" spans="1:16" x14ac:dyDescent="0.35">
      <c r="A483">
        <v>2016</v>
      </c>
      <c r="B483" s="6" t="s">
        <v>20</v>
      </c>
      <c r="J483" s="13">
        <v>69777.929999999993</v>
      </c>
      <c r="K483" s="5">
        <f t="shared" si="15"/>
        <v>70</v>
      </c>
      <c r="P483" t="str">
        <f t="shared" si="16"/>
        <v>70K</v>
      </c>
    </row>
    <row r="484" spans="1:16" x14ac:dyDescent="0.35">
      <c r="A484">
        <v>2004</v>
      </c>
      <c r="B484" s="7" t="s">
        <v>10</v>
      </c>
      <c r="J484" s="12">
        <v>56401.45</v>
      </c>
      <c r="K484" s="5">
        <f t="shared" si="15"/>
        <v>60</v>
      </c>
      <c r="P484" t="str">
        <f t="shared" si="16"/>
        <v>60K</v>
      </c>
    </row>
    <row r="485" spans="1:16" x14ac:dyDescent="0.35">
      <c r="A485">
        <v>2006</v>
      </c>
      <c r="B485" s="6" t="s">
        <v>10</v>
      </c>
      <c r="J485" s="13">
        <v>96270.09</v>
      </c>
      <c r="K485" s="5">
        <f t="shared" si="15"/>
        <v>100</v>
      </c>
      <c r="P485" t="str">
        <f t="shared" si="16"/>
        <v>100K</v>
      </c>
    </row>
    <row r="486" spans="1:16" x14ac:dyDescent="0.35">
      <c r="A486">
        <v>2019</v>
      </c>
      <c r="B486" s="7" t="s">
        <v>29</v>
      </c>
      <c r="J486" s="12">
        <v>16395.84</v>
      </c>
      <c r="K486" s="5">
        <f t="shared" si="15"/>
        <v>20</v>
      </c>
      <c r="P486" t="str">
        <f t="shared" si="16"/>
        <v>20K</v>
      </c>
    </row>
    <row r="487" spans="1:16" x14ac:dyDescent="0.35">
      <c r="A487">
        <v>2019</v>
      </c>
      <c r="B487" s="6" t="s">
        <v>23</v>
      </c>
      <c r="J487" s="13">
        <v>75101.460000000006</v>
      </c>
      <c r="K487" s="5">
        <f t="shared" si="15"/>
        <v>80</v>
      </c>
      <c r="P487" t="str">
        <f t="shared" si="16"/>
        <v>80K</v>
      </c>
    </row>
    <row r="488" spans="1:16" x14ac:dyDescent="0.35">
      <c r="A488">
        <v>2003</v>
      </c>
      <c r="B488" s="7" t="s">
        <v>35</v>
      </c>
      <c r="J488" s="12">
        <v>17194.259999999998</v>
      </c>
      <c r="K488" s="5">
        <f t="shared" si="15"/>
        <v>20</v>
      </c>
      <c r="P488" t="str">
        <f t="shared" si="16"/>
        <v>20K</v>
      </c>
    </row>
    <row r="489" spans="1:16" x14ac:dyDescent="0.35">
      <c r="A489">
        <v>2005</v>
      </c>
      <c r="B489" s="6" t="s">
        <v>20</v>
      </c>
      <c r="J489" s="13">
        <v>41275.26</v>
      </c>
      <c r="K489" s="5">
        <f t="shared" si="15"/>
        <v>40</v>
      </c>
      <c r="P489" t="str">
        <f t="shared" si="16"/>
        <v>40K</v>
      </c>
    </row>
    <row r="490" spans="1:16" x14ac:dyDescent="0.35">
      <c r="A490">
        <v>2006</v>
      </c>
      <c r="B490" s="7" t="s">
        <v>10</v>
      </c>
      <c r="J490" s="12">
        <v>60621.03</v>
      </c>
      <c r="K490" s="5">
        <f t="shared" si="15"/>
        <v>60</v>
      </c>
      <c r="P490" t="str">
        <f t="shared" si="16"/>
        <v>60K</v>
      </c>
    </row>
    <row r="491" spans="1:16" x14ac:dyDescent="0.35">
      <c r="A491">
        <v>2017</v>
      </c>
      <c r="B491" s="6" t="s">
        <v>29</v>
      </c>
      <c r="J491" s="13">
        <v>75023.33</v>
      </c>
      <c r="K491" s="5">
        <f t="shared" si="15"/>
        <v>80</v>
      </c>
      <c r="P491" t="str">
        <f t="shared" si="16"/>
        <v>80K</v>
      </c>
    </row>
    <row r="492" spans="1:16" x14ac:dyDescent="0.35">
      <c r="A492">
        <v>2004</v>
      </c>
      <c r="B492" s="7" t="s">
        <v>25</v>
      </c>
      <c r="J492" s="12">
        <v>5353.03</v>
      </c>
      <c r="K492" s="5">
        <f t="shared" si="15"/>
        <v>10</v>
      </c>
      <c r="P492" t="str">
        <f t="shared" si="16"/>
        <v>10K</v>
      </c>
    </row>
    <row r="493" spans="1:16" x14ac:dyDescent="0.35">
      <c r="A493">
        <v>2019</v>
      </c>
      <c r="B493" s="6" t="s">
        <v>29</v>
      </c>
      <c r="J493" s="13">
        <v>29756.799999999999</v>
      </c>
      <c r="K493" s="5">
        <f t="shared" si="15"/>
        <v>30</v>
      </c>
      <c r="P493" t="str">
        <f t="shared" si="16"/>
        <v>30K</v>
      </c>
    </row>
    <row r="494" spans="1:16" x14ac:dyDescent="0.35">
      <c r="A494">
        <v>2002</v>
      </c>
      <c r="B494" s="7" t="s">
        <v>20</v>
      </c>
      <c r="J494" s="12">
        <v>56129.04</v>
      </c>
      <c r="K494" s="5">
        <f t="shared" si="15"/>
        <v>60</v>
      </c>
      <c r="P494" t="str">
        <f t="shared" si="16"/>
        <v>60K</v>
      </c>
    </row>
    <row r="495" spans="1:16" x14ac:dyDescent="0.35">
      <c r="A495">
        <v>2006</v>
      </c>
      <c r="B495" s="6" t="s">
        <v>20</v>
      </c>
      <c r="J495" s="13">
        <v>55623</v>
      </c>
      <c r="K495" s="5">
        <f t="shared" si="15"/>
        <v>60</v>
      </c>
      <c r="P495" t="str">
        <f t="shared" si="16"/>
        <v>60K</v>
      </c>
    </row>
    <row r="496" spans="1:16" x14ac:dyDescent="0.35">
      <c r="A496">
        <v>2021</v>
      </c>
      <c r="B496" s="7" t="s">
        <v>29</v>
      </c>
      <c r="J496" s="12">
        <v>65574.509999999995</v>
      </c>
      <c r="K496" s="5">
        <f t="shared" si="15"/>
        <v>70</v>
      </c>
      <c r="P496" t="str">
        <f t="shared" si="16"/>
        <v>70K</v>
      </c>
    </row>
    <row r="497" spans="1:16" x14ac:dyDescent="0.35">
      <c r="A497">
        <v>2013</v>
      </c>
      <c r="B497" s="6" t="s">
        <v>35</v>
      </c>
      <c r="J497" s="13">
        <v>33866.089999999997</v>
      </c>
      <c r="K497" s="5">
        <f t="shared" si="15"/>
        <v>30</v>
      </c>
      <c r="P497" t="str">
        <f t="shared" si="16"/>
        <v>30K</v>
      </c>
    </row>
    <row r="498" spans="1:16" x14ac:dyDescent="0.35">
      <c r="A498">
        <v>2006</v>
      </c>
      <c r="B498" s="7" t="s">
        <v>27</v>
      </c>
      <c r="J498" s="12">
        <v>56350.28</v>
      </c>
      <c r="K498" s="5">
        <f t="shared" si="15"/>
        <v>60</v>
      </c>
      <c r="P498" t="str">
        <f t="shared" si="16"/>
        <v>60K</v>
      </c>
    </row>
    <row r="499" spans="1:16" x14ac:dyDescent="0.35">
      <c r="A499">
        <v>2004</v>
      </c>
      <c r="B499" s="6" t="s">
        <v>20</v>
      </c>
      <c r="J499" s="13">
        <v>23029.74</v>
      </c>
      <c r="K499" s="5">
        <f t="shared" si="15"/>
        <v>20</v>
      </c>
      <c r="P499" t="str">
        <f t="shared" si="16"/>
        <v>20K</v>
      </c>
    </row>
    <row r="500" spans="1:16" x14ac:dyDescent="0.35">
      <c r="A500">
        <v>2021</v>
      </c>
      <c r="B500" s="7" t="s">
        <v>29</v>
      </c>
      <c r="J500" s="12">
        <v>22752.86</v>
      </c>
      <c r="K500" s="5">
        <f t="shared" si="15"/>
        <v>20</v>
      </c>
      <c r="P500" t="str">
        <f t="shared" si="16"/>
        <v>20K</v>
      </c>
    </row>
    <row r="501" spans="1:16" x14ac:dyDescent="0.35">
      <c r="A501">
        <v>2004</v>
      </c>
      <c r="B501" s="6" t="s">
        <v>10</v>
      </c>
      <c r="J501" s="13">
        <v>59773.58</v>
      </c>
      <c r="K501" s="5">
        <f t="shared" si="15"/>
        <v>60</v>
      </c>
      <c r="P501" t="str">
        <f t="shared" si="16"/>
        <v>60K</v>
      </c>
    </row>
    <row r="502" spans="1:16" x14ac:dyDescent="0.35">
      <c r="A502">
        <v>2022</v>
      </c>
      <c r="B502" s="7" t="s">
        <v>29</v>
      </c>
      <c r="J502" s="12">
        <v>70119.899999999994</v>
      </c>
      <c r="K502" s="5">
        <f t="shared" si="15"/>
        <v>70</v>
      </c>
      <c r="P502" t="str">
        <f t="shared" si="16"/>
        <v>70K</v>
      </c>
    </row>
    <row r="503" spans="1:16" x14ac:dyDescent="0.35">
      <c r="A503">
        <v>2001</v>
      </c>
      <c r="B503" s="6" t="s">
        <v>23</v>
      </c>
      <c r="J503" s="13">
        <v>16438</v>
      </c>
      <c r="K503" s="5">
        <f t="shared" si="15"/>
        <v>20</v>
      </c>
      <c r="P503" t="str">
        <f t="shared" si="16"/>
        <v>20K</v>
      </c>
    </row>
    <row r="504" spans="1:16" x14ac:dyDescent="0.35">
      <c r="A504">
        <v>2020</v>
      </c>
      <c r="B504" s="7" t="s">
        <v>27</v>
      </c>
      <c r="J504" s="12">
        <v>16665.04</v>
      </c>
      <c r="K504" s="5">
        <f t="shared" si="15"/>
        <v>20</v>
      </c>
      <c r="P504" t="str">
        <f t="shared" si="16"/>
        <v>20K</v>
      </c>
    </row>
    <row r="505" spans="1:16" x14ac:dyDescent="0.35">
      <c r="A505">
        <v>2021</v>
      </c>
      <c r="B505" s="6" t="s">
        <v>25</v>
      </c>
      <c r="J505" s="13">
        <v>58703.76</v>
      </c>
      <c r="K505" s="5">
        <f t="shared" si="15"/>
        <v>60</v>
      </c>
      <c r="P505" t="str">
        <f t="shared" si="16"/>
        <v>60K</v>
      </c>
    </row>
    <row r="506" spans="1:16" x14ac:dyDescent="0.35">
      <c r="A506">
        <v>2005</v>
      </c>
      <c r="B506" s="7" t="s">
        <v>35</v>
      </c>
      <c r="J506" s="12">
        <v>30659.1</v>
      </c>
      <c r="K506" s="5">
        <f t="shared" si="15"/>
        <v>30</v>
      </c>
      <c r="P506" t="str">
        <f t="shared" si="16"/>
        <v>30K</v>
      </c>
    </row>
    <row r="507" spans="1:16" x14ac:dyDescent="0.35">
      <c r="A507">
        <v>2014</v>
      </c>
      <c r="B507" s="6" t="s">
        <v>25</v>
      </c>
      <c r="J507" s="13">
        <v>42277.91</v>
      </c>
      <c r="K507" s="5">
        <f t="shared" si="15"/>
        <v>40</v>
      </c>
      <c r="P507" t="str">
        <f t="shared" si="16"/>
        <v>40K</v>
      </c>
    </row>
    <row r="508" spans="1:16" x14ac:dyDescent="0.35">
      <c r="A508">
        <v>2020</v>
      </c>
      <c r="B508" s="7" t="s">
        <v>27</v>
      </c>
      <c r="J508" s="12">
        <v>43071.1</v>
      </c>
      <c r="K508" s="5">
        <f t="shared" si="15"/>
        <v>40</v>
      </c>
      <c r="P508" t="str">
        <f t="shared" si="16"/>
        <v>40K</v>
      </c>
    </row>
    <row r="509" spans="1:16" x14ac:dyDescent="0.35">
      <c r="A509">
        <v>2009</v>
      </c>
      <c r="B509" s="6" t="s">
        <v>27</v>
      </c>
      <c r="J509" s="13">
        <v>21962.52</v>
      </c>
      <c r="K509" s="5">
        <f t="shared" si="15"/>
        <v>20</v>
      </c>
      <c r="P509" t="str">
        <f t="shared" si="16"/>
        <v>20K</v>
      </c>
    </row>
    <row r="510" spans="1:16" x14ac:dyDescent="0.35">
      <c r="A510">
        <v>2022</v>
      </c>
      <c r="B510" s="7" t="s">
        <v>27</v>
      </c>
      <c r="J510" s="12">
        <v>5124.8900000000003</v>
      </c>
      <c r="K510" s="5">
        <f t="shared" si="15"/>
        <v>10</v>
      </c>
      <c r="P510" t="str">
        <f t="shared" si="16"/>
        <v>10K</v>
      </c>
    </row>
    <row r="511" spans="1:16" x14ac:dyDescent="0.35">
      <c r="A511">
        <v>2023</v>
      </c>
      <c r="B511" s="6" t="s">
        <v>25</v>
      </c>
      <c r="J511" s="13">
        <v>86049.42</v>
      </c>
      <c r="K511" s="5">
        <f t="shared" si="15"/>
        <v>90</v>
      </c>
      <c r="P511" t="str">
        <f t="shared" si="16"/>
        <v>90K</v>
      </c>
    </row>
    <row r="512" spans="1:16" x14ac:dyDescent="0.35">
      <c r="A512">
        <v>2006</v>
      </c>
      <c r="B512" s="7" t="s">
        <v>10</v>
      </c>
      <c r="J512" s="12">
        <v>72925.19</v>
      </c>
      <c r="K512" s="5">
        <f t="shared" si="15"/>
        <v>70</v>
      </c>
      <c r="P512" t="str">
        <f t="shared" si="16"/>
        <v>70K</v>
      </c>
    </row>
    <row r="513" spans="1:16" x14ac:dyDescent="0.35">
      <c r="A513">
        <v>2004</v>
      </c>
      <c r="B513" s="6" t="s">
        <v>27</v>
      </c>
      <c r="J513" s="13">
        <v>70601.16</v>
      </c>
      <c r="K513" s="5">
        <f t="shared" si="15"/>
        <v>70</v>
      </c>
      <c r="P513" t="str">
        <f t="shared" si="16"/>
        <v>70K</v>
      </c>
    </row>
    <row r="514" spans="1:16" x14ac:dyDescent="0.35">
      <c r="A514">
        <v>2000</v>
      </c>
      <c r="B514" s="7" t="s">
        <v>29</v>
      </c>
      <c r="J514" s="12">
        <v>56917.99</v>
      </c>
      <c r="K514" s="5">
        <f t="shared" si="15"/>
        <v>60</v>
      </c>
      <c r="P514" t="str">
        <f t="shared" si="16"/>
        <v>60K</v>
      </c>
    </row>
    <row r="515" spans="1:16" x14ac:dyDescent="0.35">
      <c r="A515">
        <v>2012</v>
      </c>
      <c r="B515" s="6" t="s">
        <v>25</v>
      </c>
      <c r="J515" s="13">
        <v>71592.12</v>
      </c>
      <c r="K515" s="5">
        <f t="shared" ref="K515:K578" si="17">ROUND(J515/10000,0)*10</f>
        <v>70</v>
      </c>
      <c r="P515" t="str">
        <f t="shared" ref="P515:P578" si="18">TEXT(ROUND(J515/10000,0)*10,"0") &amp; "K"</f>
        <v>70K</v>
      </c>
    </row>
    <row r="516" spans="1:16" x14ac:dyDescent="0.35">
      <c r="A516">
        <v>2020</v>
      </c>
      <c r="B516" s="7" t="s">
        <v>27</v>
      </c>
      <c r="J516" s="12">
        <v>93890.4</v>
      </c>
      <c r="K516" s="5">
        <f t="shared" si="17"/>
        <v>90</v>
      </c>
      <c r="P516" t="str">
        <f t="shared" si="18"/>
        <v>90K</v>
      </c>
    </row>
    <row r="517" spans="1:16" x14ac:dyDescent="0.35">
      <c r="A517">
        <v>2017</v>
      </c>
      <c r="B517" s="6" t="s">
        <v>29</v>
      </c>
      <c r="J517" s="13">
        <v>68239</v>
      </c>
      <c r="K517" s="5">
        <f t="shared" si="17"/>
        <v>70</v>
      </c>
      <c r="P517" t="str">
        <f t="shared" si="18"/>
        <v>70K</v>
      </c>
    </row>
    <row r="518" spans="1:16" x14ac:dyDescent="0.35">
      <c r="A518">
        <v>2012</v>
      </c>
      <c r="B518" s="7" t="s">
        <v>10</v>
      </c>
      <c r="J518" s="12">
        <v>30183.68</v>
      </c>
      <c r="K518" s="5">
        <f t="shared" si="17"/>
        <v>30</v>
      </c>
      <c r="P518" t="str">
        <f t="shared" si="18"/>
        <v>30K</v>
      </c>
    </row>
    <row r="519" spans="1:16" x14ac:dyDescent="0.35">
      <c r="A519">
        <v>2020</v>
      </c>
      <c r="B519" s="6" t="s">
        <v>23</v>
      </c>
      <c r="J519" s="13">
        <v>59203.199999999997</v>
      </c>
      <c r="K519" s="5">
        <f t="shared" si="17"/>
        <v>60</v>
      </c>
      <c r="P519" t="str">
        <f t="shared" si="18"/>
        <v>60K</v>
      </c>
    </row>
    <row r="520" spans="1:16" x14ac:dyDescent="0.35">
      <c r="A520">
        <v>2020</v>
      </c>
      <c r="B520" s="7" t="s">
        <v>10</v>
      </c>
      <c r="J520" s="12">
        <v>47020.82</v>
      </c>
      <c r="K520" s="5">
        <f t="shared" si="17"/>
        <v>50</v>
      </c>
      <c r="P520" t="str">
        <f t="shared" si="18"/>
        <v>50K</v>
      </c>
    </row>
    <row r="521" spans="1:16" x14ac:dyDescent="0.35">
      <c r="A521">
        <v>2017</v>
      </c>
      <c r="B521" s="6" t="s">
        <v>27</v>
      </c>
      <c r="J521" s="13">
        <v>57859.82</v>
      </c>
      <c r="K521" s="5">
        <f t="shared" si="17"/>
        <v>60</v>
      </c>
      <c r="P521" t="str">
        <f t="shared" si="18"/>
        <v>60K</v>
      </c>
    </row>
    <row r="522" spans="1:16" x14ac:dyDescent="0.35">
      <c r="A522">
        <v>2004</v>
      </c>
      <c r="B522" s="7" t="s">
        <v>25</v>
      </c>
      <c r="J522" s="12">
        <v>54173</v>
      </c>
      <c r="K522" s="5">
        <f t="shared" si="17"/>
        <v>50</v>
      </c>
      <c r="P522" t="str">
        <f t="shared" si="18"/>
        <v>50K</v>
      </c>
    </row>
    <row r="523" spans="1:16" x14ac:dyDescent="0.35">
      <c r="A523">
        <v>2012</v>
      </c>
      <c r="B523" s="6" t="s">
        <v>20</v>
      </c>
      <c r="J523" s="13">
        <v>86583.65</v>
      </c>
      <c r="K523" s="5">
        <f t="shared" si="17"/>
        <v>90</v>
      </c>
      <c r="P523" t="str">
        <f t="shared" si="18"/>
        <v>90K</v>
      </c>
    </row>
    <row r="524" spans="1:16" x14ac:dyDescent="0.35">
      <c r="A524">
        <v>2003</v>
      </c>
      <c r="B524" s="7" t="s">
        <v>27</v>
      </c>
      <c r="J524" s="12">
        <v>66921.009999999995</v>
      </c>
      <c r="K524" s="5">
        <f t="shared" si="17"/>
        <v>70</v>
      </c>
      <c r="P524" t="str">
        <f t="shared" si="18"/>
        <v>70K</v>
      </c>
    </row>
    <row r="525" spans="1:16" x14ac:dyDescent="0.35">
      <c r="A525">
        <v>2016</v>
      </c>
      <c r="B525" s="6" t="s">
        <v>20</v>
      </c>
      <c r="J525" s="13">
        <v>22932.06</v>
      </c>
      <c r="K525" s="5">
        <f t="shared" si="17"/>
        <v>20</v>
      </c>
      <c r="P525" t="str">
        <f t="shared" si="18"/>
        <v>20K</v>
      </c>
    </row>
    <row r="526" spans="1:16" x14ac:dyDescent="0.35">
      <c r="A526">
        <v>2002</v>
      </c>
      <c r="B526" s="7" t="s">
        <v>29</v>
      </c>
      <c r="J526" s="12">
        <v>10986.59</v>
      </c>
      <c r="K526" s="5">
        <f t="shared" si="17"/>
        <v>10</v>
      </c>
      <c r="P526" t="str">
        <f t="shared" si="18"/>
        <v>10K</v>
      </c>
    </row>
    <row r="527" spans="1:16" x14ac:dyDescent="0.35">
      <c r="A527">
        <v>2016</v>
      </c>
      <c r="B527" s="6" t="s">
        <v>23</v>
      </c>
      <c r="J527" s="13">
        <v>45314.559999999998</v>
      </c>
      <c r="K527" s="5">
        <f t="shared" si="17"/>
        <v>50</v>
      </c>
      <c r="P527" t="str">
        <f t="shared" si="18"/>
        <v>50K</v>
      </c>
    </row>
    <row r="528" spans="1:16" x14ac:dyDescent="0.35">
      <c r="A528">
        <v>2010</v>
      </c>
      <c r="B528" s="7" t="s">
        <v>35</v>
      </c>
      <c r="J528" s="12">
        <v>6483.01</v>
      </c>
      <c r="K528" s="5">
        <f t="shared" si="17"/>
        <v>10</v>
      </c>
      <c r="P528" t="str">
        <f t="shared" si="18"/>
        <v>10K</v>
      </c>
    </row>
    <row r="529" spans="1:16" x14ac:dyDescent="0.35">
      <c r="A529">
        <v>2020</v>
      </c>
      <c r="B529" s="6" t="s">
        <v>10</v>
      </c>
      <c r="J529" s="13">
        <v>35238.25</v>
      </c>
      <c r="K529" s="5">
        <f t="shared" si="17"/>
        <v>40</v>
      </c>
      <c r="P529" t="str">
        <f t="shared" si="18"/>
        <v>40K</v>
      </c>
    </row>
    <row r="530" spans="1:16" x14ac:dyDescent="0.35">
      <c r="A530">
        <v>2019</v>
      </c>
      <c r="B530" s="7" t="s">
        <v>23</v>
      </c>
      <c r="J530" s="12">
        <v>39962.04</v>
      </c>
      <c r="K530" s="5">
        <f t="shared" si="17"/>
        <v>40</v>
      </c>
      <c r="P530" t="str">
        <f t="shared" si="18"/>
        <v>40K</v>
      </c>
    </row>
    <row r="531" spans="1:16" x14ac:dyDescent="0.35">
      <c r="A531">
        <v>2022</v>
      </c>
      <c r="B531" s="6" t="s">
        <v>27</v>
      </c>
      <c r="J531" s="13">
        <v>40680.94</v>
      </c>
      <c r="K531" s="5">
        <f t="shared" si="17"/>
        <v>40</v>
      </c>
      <c r="P531" t="str">
        <f t="shared" si="18"/>
        <v>40K</v>
      </c>
    </row>
    <row r="532" spans="1:16" x14ac:dyDescent="0.35">
      <c r="A532">
        <v>2020</v>
      </c>
      <c r="B532" s="7" t="s">
        <v>20</v>
      </c>
      <c r="J532" s="12">
        <v>98038.25</v>
      </c>
      <c r="K532" s="5">
        <f t="shared" si="17"/>
        <v>100</v>
      </c>
      <c r="P532" t="str">
        <f t="shared" si="18"/>
        <v>100K</v>
      </c>
    </row>
    <row r="533" spans="1:16" x14ac:dyDescent="0.35">
      <c r="A533">
        <v>2003</v>
      </c>
      <c r="B533" s="6" t="s">
        <v>10</v>
      </c>
      <c r="J533" s="13">
        <v>33870.58</v>
      </c>
      <c r="K533" s="5">
        <f t="shared" si="17"/>
        <v>30</v>
      </c>
      <c r="P533" t="str">
        <f t="shared" si="18"/>
        <v>30K</v>
      </c>
    </row>
    <row r="534" spans="1:16" x14ac:dyDescent="0.35">
      <c r="A534">
        <v>2001</v>
      </c>
      <c r="B534" s="7" t="s">
        <v>20</v>
      </c>
      <c r="J534" s="12">
        <v>30196.61</v>
      </c>
      <c r="K534" s="5">
        <f t="shared" si="17"/>
        <v>30</v>
      </c>
      <c r="P534" t="str">
        <f t="shared" si="18"/>
        <v>30K</v>
      </c>
    </row>
    <row r="535" spans="1:16" x14ac:dyDescent="0.35">
      <c r="A535">
        <v>2019</v>
      </c>
      <c r="B535" s="6" t="s">
        <v>25</v>
      </c>
      <c r="J535" s="13">
        <v>17291.189999999999</v>
      </c>
      <c r="K535" s="5">
        <f t="shared" si="17"/>
        <v>20</v>
      </c>
      <c r="P535" t="str">
        <f t="shared" si="18"/>
        <v>20K</v>
      </c>
    </row>
    <row r="536" spans="1:16" x14ac:dyDescent="0.35">
      <c r="A536">
        <v>2015</v>
      </c>
      <c r="B536" s="7" t="s">
        <v>20</v>
      </c>
      <c r="J536" s="12">
        <v>53545.84</v>
      </c>
      <c r="K536" s="5">
        <f t="shared" si="17"/>
        <v>50</v>
      </c>
      <c r="P536" t="str">
        <f t="shared" si="18"/>
        <v>50K</v>
      </c>
    </row>
    <row r="537" spans="1:16" x14ac:dyDescent="0.35">
      <c r="A537">
        <v>2017</v>
      </c>
      <c r="B537" s="6" t="s">
        <v>25</v>
      </c>
      <c r="J537" s="13">
        <v>19599.060000000001</v>
      </c>
      <c r="K537" s="5">
        <f t="shared" si="17"/>
        <v>20</v>
      </c>
      <c r="P537" t="str">
        <f t="shared" si="18"/>
        <v>20K</v>
      </c>
    </row>
    <row r="538" spans="1:16" x14ac:dyDescent="0.35">
      <c r="A538">
        <v>2007</v>
      </c>
      <c r="B538" s="7" t="s">
        <v>29</v>
      </c>
      <c r="J538" s="12">
        <v>63548</v>
      </c>
      <c r="K538" s="5">
        <f t="shared" si="17"/>
        <v>60</v>
      </c>
      <c r="P538" t="str">
        <f t="shared" si="18"/>
        <v>60K</v>
      </c>
    </row>
    <row r="539" spans="1:16" x14ac:dyDescent="0.35">
      <c r="A539">
        <v>2002</v>
      </c>
      <c r="B539" s="6" t="s">
        <v>10</v>
      </c>
      <c r="J539" s="13">
        <v>19740.18</v>
      </c>
      <c r="K539" s="5">
        <f t="shared" si="17"/>
        <v>20</v>
      </c>
      <c r="P539" t="str">
        <f t="shared" si="18"/>
        <v>20K</v>
      </c>
    </row>
    <row r="540" spans="1:16" x14ac:dyDescent="0.35">
      <c r="A540">
        <v>2008</v>
      </c>
      <c r="B540" s="7" t="s">
        <v>10</v>
      </c>
      <c r="J540" s="12">
        <v>59783.97</v>
      </c>
      <c r="K540" s="5">
        <f t="shared" si="17"/>
        <v>60</v>
      </c>
      <c r="P540" t="str">
        <f t="shared" si="18"/>
        <v>60K</v>
      </c>
    </row>
    <row r="541" spans="1:16" x14ac:dyDescent="0.35">
      <c r="A541">
        <v>2019</v>
      </c>
      <c r="B541" s="6" t="s">
        <v>35</v>
      </c>
      <c r="J541" s="13">
        <v>83495.58</v>
      </c>
      <c r="K541" s="5">
        <f t="shared" si="17"/>
        <v>80</v>
      </c>
      <c r="P541" t="str">
        <f t="shared" si="18"/>
        <v>80K</v>
      </c>
    </row>
    <row r="542" spans="1:16" x14ac:dyDescent="0.35">
      <c r="A542">
        <v>2005</v>
      </c>
      <c r="B542" s="7" t="s">
        <v>27</v>
      </c>
      <c r="J542" s="12">
        <v>9039.84</v>
      </c>
      <c r="K542" s="5">
        <f t="shared" si="17"/>
        <v>10</v>
      </c>
      <c r="P542" t="str">
        <f t="shared" si="18"/>
        <v>10K</v>
      </c>
    </row>
    <row r="543" spans="1:16" x14ac:dyDescent="0.35">
      <c r="A543">
        <v>2009</v>
      </c>
      <c r="B543" s="6" t="s">
        <v>25</v>
      </c>
      <c r="J543" s="13">
        <v>44875.96</v>
      </c>
      <c r="K543" s="5">
        <f t="shared" si="17"/>
        <v>40</v>
      </c>
      <c r="P543" t="str">
        <f t="shared" si="18"/>
        <v>40K</v>
      </c>
    </row>
    <row r="544" spans="1:16" x14ac:dyDescent="0.35">
      <c r="A544">
        <v>2020</v>
      </c>
      <c r="B544" s="7" t="s">
        <v>35</v>
      </c>
      <c r="J544" s="12">
        <v>48799.65</v>
      </c>
      <c r="K544" s="5">
        <f t="shared" si="17"/>
        <v>50</v>
      </c>
      <c r="P544" t="str">
        <f t="shared" si="18"/>
        <v>50K</v>
      </c>
    </row>
    <row r="545" spans="1:16" x14ac:dyDescent="0.35">
      <c r="A545">
        <v>2009</v>
      </c>
      <c r="B545" s="6" t="s">
        <v>20</v>
      </c>
      <c r="J545" s="13">
        <v>80151.850000000006</v>
      </c>
      <c r="K545" s="5">
        <f t="shared" si="17"/>
        <v>80</v>
      </c>
      <c r="P545" t="str">
        <f t="shared" si="18"/>
        <v>80K</v>
      </c>
    </row>
    <row r="546" spans="1:16" x14ac:dyDescent="0.35">
      <c r="A546">
        <v>2012</v>
      </c>
      <c r="B546" s="7" t="s">
        <v>20</v>
      </c>
      <c r="J546" s="12">
        <v>49451.99</v>
      </c>
      <c r="K546" s="5">
        <f t="shared" si="17"/>
        <v>50</v>
      </c>
      <c r="P546" t="str">
        <f t="shared" si="18"/>
        <v>50K</v>
      </c>
    </row>
    <row r="547" spans="1:16" x14ac:dyDescent="0.35">
      <c r="A547">
        <v>2016</v>
      </c>
      <c r="B547" s="6" t="s">
        <v>35</v>
      </c>
      <c r="J547" s="13">
        <v>58915.9</v>
      </c>
      <c r="K547" s="5">
        <f t="shared" si="17"/>
        <v>60</v>
      </c>
      <c r="P547" t="str">
        <f t="shared" si="18"/>
        <v>60K</v>
      </c>
    </row>
    <row r="548" spans="1:16" x14ac:dyDescent="0.35">
      <c r="A548">
        <v>2008</v>
      </c>
      <c r="B548" s="7" t="s">
        <v>10</v>
      </c>
      <c r="J548" s="12">
        <v>80164.399999999994</v>
      </c>
      <c r="K548" s="5">
        <f t="shared" si="17"/>
        <v>80</v>
      </c>
      <c r="P548" t="str">
        <f t="shared" si="18"/>
        <v>80K</v>
      </c>
    </row>
    <row r="549" spans="1:16" x14ac:dyDescent="0.35">
      <c r="A549">
        <v>2016</v>
      </c>
      <c r="B549" s="6" t="s">
        <v>20</v>
      </c>
      <c r="J549" s="13">
        <v>58177.06</v>
      </c>
      <c r="K549" s="5">
        <f t="shared" si="17"/>
        <v>60</v>
      </c>
      <c r="P549" t="str">
        <f t="shared" si="18"/>
        <v>60K</v>
      </c>
    </row>
    <row r="550" spans="1:16" x14ac:dyDescent="0.35">
      <c r="A550">
        <v>2023</v>
      </c>
      <c r="B550" s="7" t="s">
        <v>29</v>
      </c>
      <c r="J550" s="12">
        <v>39038.44</v>
      </c>
      <c r="K550" s="5">
        <f t="shared" si="17"/>
        <v>40</v>
      </c>
      <c r="P550" t="str">
        <f t="shared" si="18"/>
        <v>40K</v>
      </c>
    </row>
    <row r="551" spans="1:16" x14ac:dyDescent="0.35">
      <c r="A551">
        <v>2008</v>
      </c>
      <c r="B551" s="6" t="s">
        <v>29</v>
      </c>
      <c r="J551" s="13">
        <v>13155.02</v>
      </c>
      <c r="K551" s="5">
        <f t="shared" si="17"/>
        <v>10</v>
      </c>
      <c r="P551" t="str">
        <f t="shared" si="18"/>
        <v>10K</v>
      </c>
    </row>
    <row r="552" spans="1:16" x14ac:dyDescent="0.35">
      <c r="A552">
        <v>2008</v>
      </c>
      <c r="B552" s="7" t="s">
        <v>35</v>
      </c>
      <c r="J552" s="12">
        <v>74341.98</v>
      </c>
      <c r="K552" s="5">
        <f t="shared" si="17"/>
        <v>70</v>
      </c>
      <c r="P552" t="str">
        <f t="shared" si="18"/>
        <v>70K</v>
      </c>
    </row>
    <row r="553" spans="1:16" x14ac:dyDescent="0.35">
      <c r="A553">
        <v>2000</v>
      </c>
      <c r="B553" s="6" t="s">
        <v>25</v>
      </c>
      <c r="J553" s="13">
        <v>87758.12</v>
      </c>
      <c r="K553" s="5">
        <f t="shared" si="17"/>
        <v>90</v>
      </c>
      <c r="P553" t="str">
        <f t="shared" si="18"/>
        <v>90K</v>
      </c>
    </row>
    <row r="554" spans="1:16" x14ac:dyDescent="0.35">
      <c r="A554">
        <v>2001</v>
      </c>
      <c r="B554" s="7" t="s">
        <v>25</v>
      </c>
      <c r="J554" s="12">
        <v>97156.13</v>
      </c>
      <c r="K554" s="5">
        <f t="shared" si="17"/>
        <v>100</v>
      </c>
      <c r="P554" t="str">
        <f t="shared" si="18"/>
        <v>100K</v>
      </c>
    </row>
    <row r="555" spans="1:16" x14ac:dyDescent="0.35">
      <c r="A555">
        <v>2015</v>
      </c>
      <c r="B555" s="6" t="s">
        <v>35</v>
      </c>
      <c r="J555" s="13">
        <v>93026.99</v>
      </c>
      <c r="K555" s="5">
        <f t="shared" si="17"/>
        <v>90</v>
      </c>
      <c r="P555" t="str">
        <f t="shared" si="18"/>
        <v>90K</v>
      </c>
    </row>
    <row r="556" spans="1:16" x14ac:dyDescent="0.35">
      <c r="A556">
        <v>2000</v>
      </c>
      <c r="B556" s="7" t="s">
        <v>25</v>
      </c>
      <c r="J556" s="12">
        <v>80754.7</v>
      </c>
      <c r="K556" s="5">
        <f t="shared" si="17"/>
        <v>80</v>
      </c>
      <c r="P556" t="str">
        <f t="shared" si="18"/>
        <v>80K</v>
      </c>
    </row>
    <row r="557" spans="1:16" x14ac:dyDescent="0.35">
      <c r="A557">
        <v>2009</v>
      </c>
      <c r="B557" s="6" t="s">
        <v>10</v>
      </c>
      <c r="J557" s="13">
        <v>66129.83</v>
      </c>
      <c r="K557" s="5">
        <f t="shared" si="17"/>
        <v>70</v>
      </c>
      <c r="P557" t="str">
        <f t="shared" si="18"/>
        <v>70K</v>
      </c>
    </row>
    <row r="558" spans="1:16" x14ac:dyDescent="0.35">
      <c r="A558">
        <v>2017</v>
      </c>
      <c r="B558" s="7" t="s">
        <v>10</v>
      </c>
      <c r="J558" s="12">
        <v>79238.710000000006</v>
      </c>
      <c r="K558" s="5">
        <f t="shared" si="17"/>
        <v>80</v>
      </c>
      <c r="P558" t="str">
        <f t="shared" si="18"/>
        <v>80K</v>
      </c>
    </row>
    <row r="559" spans="1:16" x14ac:dyDescent="0.35">
      <c r="A559">
        <v>2007</v>
      </c>
      <c r="B559" s="6" t="s">
        <v>25</v>
      </c>
      <c r="J559" s="13">
        <v>46047.95</v>
      </c>
      <c r="K559" s="5">
        <f t="shared" si="17"/>
        <v>50</v>
      </c>
      <c r="P559" t="str">
        <f t="shared" si="18"/>
        <v>50K</v>
      </c>
    </row>
    <row r="560" spans="1:16" x14ac:dyDescent="0.35">
      <c r="A560">
        <v>2020</v>
      </c>
      <c r="B560" s="7" t="s">
        <v>29</v>
      </c>
      <c r="J560" s="12">
        <v>61503.74</v>
      </c>
      <c r="K560" s="5">
        <f t="shared" si="17"/>
        <v>60</v>
      </c>
      <c r="P560" t="str">
        <f t="shared" si="18"/>
        <v>60K</v>
      </c>
    </row>
    <row r="561" spans="1:16" x14ac:dyDescent="0.35">
      <c r="A561">
        <v>2010</v>
      </c>
      <c r="B561" s="6" t="s">
        <v>25</v>
      </c>
      <c r="J561" s="13">
        <v>38126.480000000003</v>
      </c>
      <c r="K561" s="5">
        <f t="shared" si="17"/>
        <v>40</v>
      </c>
      <c r="P561" t="str">
        <f t="shared" si="18"/>
        <v>40K</v>
      </c>
    </row>
    <row r="562" spans="1:16" x14ac:dyDescent="0.35">
      <c r="A562">
        <v>2022</v>
      </c>
      <c r="B562" s="7" t="s">
        <v>10</v>
      </c>
      <c r="J562" s="12">
        <v>36037.379999999997</v>
      </c>
      <c r="K562" s="5">
        <f t="shared" si="17"/>
        <v>40</v>
      </c>
      <c r="P562" t="str">
        <f t="shared" si="18"/>
        <v>40K</v>
      </c>
    </row>
    <row r="563" spans="1:16" x14ac:dyDescent="0.35">
      <c r="A563">
        <v>2001</v>
      </c>
      <c r="B563" s="6" t="s">
        <v>23</v>
      </c>
      <c r="J563" s="13">
        <v>76885.72</v>
      </c>
      <c r="K563" s="5">
        <f t="shared" si="17"/>
        <v>80</v>
      </c>
      <c r="P563" t="str">
        <f t="shared" si="18"/>
        <v>80K</v>
      </c>
    </row>
    <row r="564" spans="1:16" x14ac:dyDescent="0.35">
      <c r="A564">
        <v>2007</v>
      </c>
      <c r="B564" s="7" t="s">
        <v>27</v>
      </c>
      <c r="J564" s="12">
        <v>48123.61</v>
      </c>
      <c r="K564" s="5">
        <f t="shared" si="17"/>
        <v>50</v>
      </c>
      <c r="P564" t="str">
        <f t="shared" si="18"/>
        <v>50K</v>
      </c>
    </row>
    <row r="565" spans="1:16" x14ac:dyDescent="0.35">
      <c r="A565">
        <v>2021</v>
      </c>
      <c r="B565" s="6" t="s">
        <v>20</v>
      </c>
      <c r="J565" s="13">
        <v>25155.32</v>
      </c>
      <c r="K565" s="5">
        <f t="shared" si="17"/>
        <v>30</v>
      </c>
      <c r="P565" t="str">
        <f t="shared" si="18"/>
        <v>30K</v>
      </c>
    </row>
    <row r="566" spans="1:16" x14ac:dyDescent="0.35">
      <c r="A566">
        <v>2007</v>
      </c>
      <c r="B566" s="7" t="s">
        <v>23</v>
      </c>
      <c r="J566" s="12">
        <v>24184.13</v>
      </c>
      <c r="K566" s="5">
        <f t="shared" si="17"/>
        <v>20</v>
      </c>
      <c r="P566" t="str">
        <f t="shared" si="18"/>
        <v>20K</v>
      </c>
    </row>
    <row r="567" spans="1:16" x14ac:dyDescent="0.35">
      <c r="A567">
        <v>2016</v>
      </c>
      <c r="B567" s="6" t="s">
        <v>25</v>
      </c>
      <c r="J567" s="13">
        <v>86621.37</v>
      </c>
      <c r="K567" s="5">
        <f t="shared" si="17"/>
        <v>90</v>
      </c>
      <c r="P567" t="str">
        <f t="shared" si="18"/>
        <v>90K</v>
      </c>
    </row>
    <row r="568" spans="1:16" x14ac:dyDescent="0.35">
      <c r="A568">
        <v>2014</v>
      </c>
      <c r="B568" s="7" t="s">
        <v>29</v>
      </c>
      <c r="J568" s="12">
        <v>69387.25</v>
      </c>
      <c r="K568" s="5">
        <f t="shared" si="17"/>
        <v>70</v>
      </c>
      <c r="P568" t="str">
        <f t="shared" si="18"/>
        <v>70K</v>
      </c>
    </row>
    <row r="569" spans="1:16" x14ac:dyDescent="0.35">
      <c r="A569">
        <v>2016</v>
      </c>
      <c r="B569" s="6" t="s">
        <v>35</v>
      </c>
      <c r="J569" s="13">
        <v>56874.38</v>
      </c>
      <c r="K569" s="5">
        <f t="shared" si="17"/>
        <v>60</v>
      </c>
      <c r="P569" t="str">
        <f t="shared" si="18"/>
        <v>60K</v>
      </c>
    </row>
    <row r="570" spans="1:16" x14ac:dyDescent="0.35">
      <c r="A570">
        <v>2022</v>
      </c>
      <c r="B570" s="7" t="s">
        <v>25</v>
      </c>
      <c r="J570" s="12">
        <v>43089.18</v>
      </c>
      <c r="K570" s="5">
        <f t="shared" si="17"/>
        <v>40</v>
      </c>
      <c r="P570" t="str">
        <f t="shared" si="18"/>
        <v>40K</v>
      </c>
    </row>
    <row r="571" spans="1:16" x14ac:dyDescent="0.35">
      <c r="A571">
        <v>2023</v>
      </c>
      <c r="B571" s="6" t="s">
        <v>29</v>
      </c>
      <c r="J571" s="13">
        <v>45927.65</v>
      </c>
      <c r="K571" s="5">
        <f t="shared" si="17"/>
        <v>50</v>
      </c>
      <c r="P571" t="str">
        <f t="shared" si="18"/>
        <v>50K</v>
      </c>
    </row>
    <row r="572" spans="1:16" x14ac:dyDescent="0.35">
      <c r="A572">
        <v>2012</v>
      </c>
      <c r="B572" s="7" t="s">
        <v>27</v>
      </c>
      <c r="J572" s="12">
        <v>10456.34</v>
      </c>
      <c r="K572" s="5">
        <f t="shared" si="17"/>
        <v>10</v>
      </c>
      <c r="P572" t="str">
        <f t="shared" si="18"/>
        <v>10K</v>
      </c>
    </row>
    <row r="573" spans="1:16" x14ac:dyDescent="0.35">
      <c r="A573">
        <v>2018</v>
      </c>
      <c r="B573" s="6" t="s">
        <v>25</v>
      </c>
      <c r="J573" s="13">
        <v>48216.46</v>
      </c>
      <c r="K573" s="5">
        <f t="shared" si="17"/>
        <v>50</v>
      </c>
      <c r="P573" t="str">
        <f t="shared" si="18"/>
        <v>50K</v>
      </c>
    </row>
    <row r="574" spans="1:16" x14ac:dyDescent="0.35">
      <c r="A574">
        <v>2004</v>
      </c>
      <c r="B574" s="7" t="s">
        <v>10</v>
      </c>
      <c r="J574" s="12">
        <v>80568.22</v>
      </c>
      <c r="K574" s="5">
        <f t="shared" si="17"/>
        <v>80</v>
      </c>
      <c r="P574" t="str">
        <f t="shared" si="18"/>
        <v>80K</v>
      </c>
    </row>
    <row r="575" spans="1:16" x14ac:dyDescent="0.35">
      <c r="A575">
        <v>2011</v>
      </c>
      <c r="B575" s="6" t="s">
        <v>35</v>
      </c>
      <c r="J575" s="13">
        <v>41858.720000000001</v>
      </c>
      <c r="K575" s="5">
        <f t="shared" si="17"/>
        <v>40</v>
      </c>
      <c r="P575" t="str">
        <f t="shared" si="18"/>
        <v>40K</v>
      </c>
    </row>
    <row r="576" spans="1:16" x14ac:dyDescent="0.35">
      <c r="A576">
        <v>2000</v>
      </c>
      <c r="B576" s="7" t="s">
        <v>29</v>
      </c>
      <c r="J576" s="12">
        <v>41440.22</v>
      </c>
      <c r="K576" s="5">
        <f t="shared" si="17"/>
        <v>40</v>
      </c>
      <c r="P576" t="str">
        <f t="shared" si="18"/>
        <v>40K</v>
      </c>
    </row>
    <row r="577" spans="1:16" x14ac:dyDescent="0.35">
      <c r="A577">
        <v>2022</v>
      </c>
      <c r="B577" s="6" t="s">
        <v>29</v>
      </c>
      <c r="J577" s="13">
        <v>6493.08</v>
      </c>
      <c r="K577" s="5">
        <f t="shared" si="17"/>
        <v>10</v>
      </c>
      <c r="P577" t="str">
        <f t="shared" si="18"/>
        <v>10K</v>
      </c>
    </row>
    <row r="578" spans="1:16" x14ac:dyDescent="0.35">
      <c r="A578">
        <v>2004</v>
      </c>
      <c r="B578" s="7" t="s">
        <v>29</v>
      </c>
      <c r="J578" s="12">
        <v>48494.35</v>
      </c>
      <c r="K578" s="5">
        <f t="shared" si="17"/>
        <v>50</v>
      </c>
      <c r="P578" t="str">
        <f t="shared" si="18"/>
        <v>50K</v>
      </c>
    </row>
    <row r="579" spans="1:16" x14ac:dyDescent="0.35">
      <c r="A579">
        <v>2007</v>
      </c>
      <c r="B579" s="6" t="s">
        <v>27</v>
      </c>
      <c r="J579" s="13">
        <v>7407.08</v>
      </c>
      <c r="K579" s="5">
        <f t="shared" ref="K579:K642" si="19">ROUND(J579/10000,0)*10</f>
        <v>10</v>
      </c>
      <c r="P579" t="str">
        <f t="shared" ref="P579:P642" si="20">TEXT(ROUND(J579/10000,0)*10,"0") &amp; "K"</f>
        <v>10K</v>
      </c>
    </row>
    <row r="580" spans="1:16" x14ac:dyDescent="0.35">
      <c r="A580">
        <v>2012</v>
      </c>
      <c r="B580" s="7" t="s">
        <v>25</v>
      </c>
      <c r="J580" s="12">
        <v>59183.199999999997</v>
      </c>
      <c r="K580" s="5">
        <f t="shared" si="19"/>
        <v>60</v>
      </c>
      <c r="P580" t="str">
        <f t="shared" si="20"/>
        <v>60K</v>
      </c>
    </row>
    <row r="581" spans="1:16" x14ac:dyDescent="0.35">
      <c r="A581">
        <v>2007</v>
      </c>
      <c r="B581" s="6" t="s">
        <v>27</v>
      </c>
      <c r="J581" s="13">
        <v>53144.42</v>
      </c>
      <c r="K581" s="5">
        <f t="shared" si="19"/>
        <v>50</v>
      </c>
      <c r="P581" t="str">
        <f t="shared" si="20"/>
        <v>50K</v>
      </c>
    </row>
    <row r="582" spans="1:16" x14ac:dyDescent="0.35">
      <c r="A582">
        <v>2022</v>
      </c>
      <c r="B582" s="7" t="s">
        <v>20</v>
      </c>
      <c r="J582" s="12">
        <v>84800.81</v>
      </c>
      <c r="K582" s="5">
        <f t="shared" si="19"/>
        <v>80</v>
      </c>
      <c r="P582" t="str">
        <f t="shared" si="20"/>
        <v>80K</v>
      </c>
    </row>
    <row r="583" spans="1:16" x14ac:dyDescent="0.35">
      <c r="A583">
        <v>2010</v>
      </c>
      <c r="B583" s="6" t="s">
        <v>20</v>
      </c>
      <c r="J583" s="13">
        <v>60269.16</v>
      </c>
      <c r="K583" s="5">
        <f t="shared" si="19"/>
        <v>60</v>
      </c>
      <c r="P583" t="str">
        <f t="shared" si="20"/>
        <v>60K</v>
      </c>
    </row>
    <row r="584" spans="1:16" x14ac:dyDescent="0.35">
      <c r="A584">
        <v>2000</v>
      </c>
      <c r="B584" s="7" t="s">
        <v>25</v>
      </c>
      <c r="J584" s="12">
        <v>35725.599999999999</v>
      </c>
      <c r="K584" s="5">
        <f t="shared" si="19"/>
        <v>40</v>
      </c>
      <c r="P584" t="str">
        <f t="shared" si="20"/>
        <v>40K</v>
      </c>
    </row>
    <row r="585" spans="1:16" x14ac:dyDescent="0.35">
      <c r="A585">
        <v>2012</v>
      </c>
      <c r="B585" s="6" t="s">
        <v>10</v>
      </c>
      <c r="J585" s="13">
        <v>54041.95</v>
      </c>
      <c r="K585" s="5">
        <f t="shared" si="19"/>
        <v>50</v>
      </c>
      <c r="P585" t="str">
        <f t="shared" si="20"/>
        <v>50K</v>
      </c>
    </row>
    <row r="586" spans="1:16" x14ac:dyDescent="0.35">
      <c r="A586">
        <v>2018</v>
      </c>
      <c r="B586" s="7" t="s">
        <v>27</v>
      </c>
      <c r="J586" s="12">
        <v>71472.100000000006</v>
      </c>
      <c r="K586" s="5">
        <f t="shared" si="19"/>
        <v>70</v>
      </c>
      <c r="P586" t="str">
        <f t="shared" si="20"/>
        <v>70K</v>
      </c>
    </row>
    <row r="587" spans="1:16" x14ac:dyDescent="0.35">
      <c r="A587">
        <v>2023</v>
      </c>
      <c r="B587" s="6" t="s">
        <v>35</v>
      </c>
      <c r="J587" s="13">
        <v>13926.56</v>
      </c>
      <c r="K587" s="5">
        <f t="shared" si="19"/>
        <v>10</v>
      </c>
      <c r="P587" t="str">
        <f t="shared" si="20"/>
        <v>10K</v>
      </c>
    </row>
    <row r="588" spans="1:16" x14ac:dyDescent="0.35">
      <c r="A588">
        <v>2002</v>
      </c>
      <c r="B588" s="7" t="s">
        <v>29</v>
      </c>
      <c r="J588" s="12">
        <v>64002.04</v>
      </c>
      <c r="K588" s="5">
        <f t="shared" si="19"/>
        <v>60</v>
      </c>
      <c r="P588" t="str">
        <f t="shared" si="20"/>
        <v>60K</v>
      </c>
    </row>
    <row r="589" spans="1:16" x14ac:dyDescent="0.35">
      <c r="A589">
        <v>2023</v>
      </c>
      <c r="B589" s="6" t="s">
        <v>29</v>
      </c>
      <c r="J589" s="13">
        <v>92079.5</v>
      </c>
      <c r="K589" s="5">
        <f t="shared" si="19"/>
        <v>90</v>
      </c>
      <c r="P589" t="str">
        <f t="shared" si="20"/>
        <v>90K</v>
      </c>
    </row>
    <row r="590" spans="1:16" x14ac:dyDescent="0.35">
      <c r="A590">
        <v>2016</v>
      </c>
      <c r="B590" s="7" t="s">
        <v>25</v>
      </c>
      <c r="J590" s="12">
        <v>33417.379999999997</v>
      </c>
      <c r="K590" s="5">
        <f t="shared" si="19"/>
        <v>30</v>
      </c>
      <c r="P590" t="str">
        <f t="shared" si="20"/>
        <v>30K</v>
      </c>
    </row>
    <row r="591" spans="1:16" x14ac:dyDescent="0.35">
      <c r="A591">
        <v>2004</v>
      </c>
      <c r="B591" s="6" t="s">
        <v>10</v>
      </c>
      <c r="J591" s="13">
        <v>64529.38</v>
      </c>
      <c r="K591" s="5">
        <f t="shared" si="19"/>
        <v>60</v>
      </c>
      <c r="P591" t="str">
        <f t="shared" si="20"/>
        <v>60K</v>
      </c>
    </row>
    <row r="592" spans="1:16" x14ac:dyDescent="0.35">
      <c r="A592">
        <v>2019</v>
      </c>
      <c r="B592" s="7" t="s">
        <v>20</v>
      </c>
      <c r="J592" s="12">
        <v>83026.3</v>
      </c>
      <c r="K592" s="5">
        <f t="shared" si="19"/>
        <v>80</v>
      </c>
      <c r="P592" t="str">
        <f t="shared" si="20"/>
        <v>80K</v>
      </c>
    </row>
    <row r="593" spans="1:16" x14ac:dyDescent="0.35">
      <c r="A593">
        <v>2020</v>
      </c>
      <c r="B593" s="6" t="s">
        <v>20</v>
      </c>
      <c r="J593" s="13">
        <v>53621.61</v>
      </c>
      <c r="K593" s="5">
        <f t="shared" si="19"/>
        <v>50</v>
      </c>
      <c r="P593" t="str">
        <f t="shared" si="20"/>
        <v>50K</v>
      </c>
    </row>
    <row r="594" spans="1:16" x14ac:dyDescent="0.35">
      <c r="A594">
        <v>2007</v>
      </c>
      <c r="B594" s="7" t="s">
        <v>29</v>
      </c>
      <c r="J594" s="12">
        <v>73208.06</v>
      </c>
      <c r="K594" s="5">
        <f t="shared" si="19"/>
        <v>70</v>
      </c>
      <c r="P594" t="str">
        <f t="shared" si="20"/>
        <v>70K</v>
      </c>
    </row>
    <row r="595" spans="1:16" x14ac:dyDescent="0.35">
      <c r="A595">
        <v>2013</v>
      </c>
      <c r="B595" s="6" t="s">
        <v>25</v>
      </c>
      <c r="J595" s="13">
        <v>34545.980000000003</v>
      </c>
      <c r="K595" s="5">
        <f t="shared" si="19"/>
        <v>30</v>
      </c>
      <c r="P595" t="str">
        <f t="shared" si="20"/>
        <v>30K</v>
      </c>
    </row>
    <row r="596" spans="1:16" x14ac:dyDescent="0.35">
      <c r="A596">
        <v>2003</v>
      </c>
      <c r="B596" s="7" t="s">
        <v>27</v>
      </c>
      <c r="J596" s="12">
        <v>34075.550000000003</v>
      </c>
      <c r="K596" s="5">
        <f t="shared" si="19"/>
        <v>30</v>
      </c>
      <c r="P596" t="str">
        <f t="shared" si="20"/>
        <v>30K</v>
      </c>
    </row>
    <row r="597" spans="1:16" x14ac:dyDescent="0.35">
      <c r="A597">
        <v>2010</v>
      </c>
      <c r="B597" s="6" t="s">
        <v>20</v>
      </c>
      <c r="J597" s="13">
        <v>68420.479999999996</v>
      </c>
      <c r="K597" s="5">
        <f t="shared" si="19"/>
        <v>70</v>
      </c>
      <c r="P597" t="str">
        <f t="shared" si="20"/>
        <v>70K</v>
      </c>
    </row>
    <row r="598" spans="1:16" x14ac:dyDescent="0.35">
      <c r="A598">
        <v>2019</v>
      </c>
      <c r="B598" s="7" t="s">
        <v>27</v>
      </c>
      <c r="J598" s="12">
        <v>72013.84</v>
      </c>
      <c r="K598" s="5">
        <f t="shared" si="19"/>
        <v>70</v>
      </c>
      <c r="P598" t="str">
        <f t="shared" si="20"/>
        <v>70K</v>
      </c>
    </row>
    <row r="599" spans="1:16" x14ac:dyDescent="0.35">
      <c r="A599">
        <v>2014</v>
      </c>
      <c r="B599" s="6" t="s">
        <v>10</v>
      </c>
      <c r="J599" s="13">
        <v>94015.92</v>
      </c>
      <c r="K599" s="5">
        <f t="shared" si="19"/>
        <v>90</v>
      </c>
      <c r="P599" t="str">
        <f t="shared" si="20"/>
        <v>90K</v>
      </c>
    </row>
    <row r="600" spans="1:16" x14ac:dyDescent="0.35">
      <c r="A600">
        <v>2018</v>
      </c>
      <c r="B600" s="7" t="s">
        <v>20</v>
      </c>
      <c r="J600" s="12">
        <v>26359.66</v>
      </c>
      <c r="K600" s="5">
        <f t="shared" si="19"/>
        <v>30</v>
      </c>
      <c r="P600" t="str">
        <f t="shared" si="20"/>
        <v>30K</v>
      </c>
    </row>
    <row r="601" spans="1:16" x14ac:dyDescent="0.35">
      <c r="A601">
        <v>2006</v>
      </c>
      <c r="B601" s="6" t="s">
        <v>20</v>
      </c>
      <c r="J601" s="13">
        <v>49480.67</v>
      </c>
      <c r="K601" s="5">
        <f t="shared" si="19"/>
        <v>50</v>
      </c>
      <c r="P601" t="str">
        <f t="shared" si="20"/>
        <v>50K</v>
      </c>
    </row>
    <row r="602" spans="1:16" x14ac:dyDescent="0.35">
      <c r="A602">
        <v>2018</v>
      </c>
      <c r="B602" s="7" t="s">
        <v>23</v>
      </c>
      <c r="J602" s="12">
        <v>28798.78</v>
      </c>
      <c r="K602" s="5">
        <f t="shared" si="19"/>
        <v>30</v>
      </c>
      <c r="P602" t="str">
        <f t="shared" si="20"/>
        <v>30K</v>
      </c>
    </row>
    <row r="603" spans="1:16" x14ac:dyDescent="0.35">
      <c r="A603">
        <v>2018</v>
      </c>
      <c r="B603" s="6" t="s">
        <v>20</v>
      </c>
      <c r="J603" s="13">
        <v>12608.76</v>
      </c>
      <c r="K603" s="5">
        <f t="shared" si="19"/>
        <v>10</v>
      </c>
      <c r="P603" t="str">
        <f t="shared" si="20"/>
        <v>10K</v>
      </c>
    </row>
    <row r="604" spans="1:16" x14ac:dyDescent="0.35">
      <c r="A604">
        <v>2010</v>
      </c>
      <c r="B604" s="7" t="s">
        <v>35</v>
      </c>
      <c r="J604" s="12">
        <v>43306.9</v>
      </c>
      <c r="K604" s="5">
        <f t="shared" si="19"/>
        <v>40</v>
      </c>
      <c r="P604" t="str">
        <f t="shared" si="20"/>
        <v>40K</v>
      </c>
    </row>
    <row r="605" spans="1:16" x14ac:dyDescent="0.35">
      <c r="A605">
        <v>2004</v>
      </c>
      <c r="B605" s="6" t="s">
        <v>25</v>
      </c>
      <c r="J605" s="13">
        <v>40537.67</v>
      </c>
      <c r="K605" s="5">
        <f t="shared" si="19"/>
        <v>40</v>
      </c>
      <c r="P605" t="str">
        <f t="shared" si="20"/>
        <v>40K</v>
      </c>
    </row>
    <row r="606" spans="1:16" x14ac:dyDescent="0.35">
      <c r="A606">
        <v>2004</v>
      </c>
      <c r="B606" s="7" t="s">
        <v>25</v>
      </c>
      <c r="J606" s="12">
        <v>30691.24</v>
      </c>
      <c r="K606" s="5">
        <f t="shared" si="19"/>
        <v>30</v>
      </c>
      <c r="P606" t="str">
        <f t="shared" si="20"/>
        <v>30K</v>
      </c>
    </row>
    <row r="607" spans="1:16" x14ac:dyDescent="0.35">
      <c r="A607">
        <v>2021</v>
      </c>
      <c r="B607" s="6" t="s">
        <v>27</v>
      </c>
      <c r="J607" s="13">
        <v>33214.51</v>
      </c>
      <c r="K607" s="5">
        <f t="shared" si="19"/>
        <v>30</v>
      </c>
      <c r="P607" t="str">
        <f t="shared" si="20"/>
        <v>30K</v>
      </c>
    </row>
    <row r="608" spans="1:16" x14ac:dyDescent="0.35">
      <c r="A608">
        <v>2007</v>
      </c>
      <c r="B608" s="7" t="s">
        <v>10</v>
      </c>
      <c r="J608" s="12">
        <v>39239.120000000003</v>
      </c>
      <c r="K608" s="5">
        <f t="shared" si="19"/>
        <v>40</v>
      </c>
      <c r="P608" t="str">
        <f t="shared" si="20"/>
        <v>40K</v>
      </c>
    </row>
    <row r="609" spans="1:16" x14ac:dyDescent="0.35">
      <c r="A609">
        <v>2009</v>
      </c>
      <c r="B609" s="6" t="s">
        <v>20</v>
      </c>
      <c r="J609" s="13">
        <v>98939.58</v>
      </c>
      <c r="K609" s="5">
        <f t="shared" si="19"/>
        <v>100</v>
      </c>
      <c r="P609" t="str">
        <f t="shared" si="20"/>
        <v>100K</v>
      </c>
    </row>
    <row r="610" spans="1:16" x14ac:dyDescent="0.35">
      <c r="A610">
        <v>2005</v>
      </c>
      <c r="B610" s="7" t="s">
        <v>35</v>
      </c>
      <c r="J610" s="12">
        <v>79380.990000000005</v>
      </c>
      <c r="K610" s="5">
        <f t="shared" si="19"/>
        <v>80</v>
      </c>
      <c r="P610" t="str">
        <f t="shared" si="20"/>
        <v>80K</v>
      </c>
    </row>
    <row r="611" spans="1:16" x14ac:dyDescent="0.35">
      <c r="A611">
        <v>2014</v>
      </c>
      <c r="B611" s="6" t="s">
        <v>27</v>
      </c>
      <c r="J611" s="13">
        <v>11783.11</v>
      </c>
      <c r="K611" s="5">
        <f t="shared" si="19"/>
        <v>10</v>
      </c>
      <c r="P611" t="str">
        <f t="shared" si="20"/>
        <v>10K</v>
      </c>
    </row>
    <row r="612" spans="1:16" x14ac:dyDescent="0.35">
      <c r="A612">
        <v>2015</v>
      </c>
      <c r="B612" s="7" t="s">
        <v>23</v>
      </c>
      <c r="J612" s="12">
        <v>87879.25</v>
      </c>
      <c r="K612" s="5">
        <f t="shared" si="19"/>
        <v>90</v>
      </c>
      <c r="P612" t="str">
        <f t="shared" si="20"/>
        <v>90K</v>
      </c>
    </row>
    <row r="613" spans="1:16" x14ac:dyDescent="0.35">
      <c r="A613">
        <v>2016</v>
      </c>
      <c r="B613" s="6" t="s">
        <v>27</v>
      </c>
      <c r="J613" s="13">
        <v>65163.82</v>
      </c>
      <c r="K613" s="5">
        <f t="shared" si="19"/>
        <v>70</v>
      </c>
      <c r="P613" t="str">
        <f t="shared" si="20"/>
        <v>70K</v>
      </c>
    </row>
    <row r="614" spans="1:16" x14ac:dyDescent="0.35">
      <c r="A614">
        <v>2007</v>
      </c>
      <c r="B614" s="7" t="s">
        <v>27</v>
      </c>
      <c r="J614" s="12">
        <v>89606.41</v>
      </c>
      <c r="K614" s="5">
        <f t="shared" si="19"/>
        <v>90</v>
      </c>
      <c r="P614" t="str">
        <f t="shared" si="20"/>
        <v>90K</v>
      </c>
    </row>
    <row r="615" spans="1:16" x14ac:dyDescent="0.35">
      <c r="A615">
        <v>2007</v>
      </c>
      <c r="B615" s="6" t="s">
        <v>20</v>
      </c>
      <c r="J615" s="13">
        <v>37462.42</v>
      </c>
      <c r="K615" s="5">
        <f t="shared" si="19"/>
        <v>40</v>
      </c>
      <c r="P615" t="str">
        <f t="shared" si="20"/>
        <v>40K</v>
      </c>
    </row>
    <row r="616" spans="1:16" x14ac:dyDescent="0.35">
      <c r="A616">
        <v>2008</v>
      </c>
      <c r="B616" s="7" t="s">
        <v>23</v>
      </c>
      <c r="J616" s="12">
        <v>49129.29</v>
      </c>
      <c r="K616" s="5">
        <f t="shared" si="19"/>
        <v>50</v>
      </c>
      <c r="P616" t="str">
        <f t="shared" si="20"/>
        <v>50K</v>
      </c>
    </row>
    <row r="617" spans="1:16" x14ac:dyDescent="0.35">
      <c r="A617">
        <v>2001</v>
      </c>
      <c r="B617" s="6" t="s">
        <v>27</v>
      </c>
      <c r="J617" s="13">
        <v>90141.57</v>
      </c>
      <c r="K617" s="5">
        <f t="shared" si="19"/>
        <v>90</v>
      </c>
      <c r="P617" t="str">
        <f t="shared" si="20"/>
        <v>90K</v>
      </c>
    </row>
    <row r="618" spans="1:16" x14ac:dyDescent="0.35">
      <c r="A618">
        <v>2014</v>
      </c>
      <c r="B618" s="7" t="s">
        <v>35</v>
      </c>
      <c r="J618" s="12">
        <v>30894.45</v>
      </c>
      <c r="K618" s="5">
        <f t="shared" si="19"/>
        <v>30</v>
      </c>
      <c r="P618" t="str">
        <f t="shared" si="20"/>
        <v>30K</v>
      </c>
    </row>
    <row r="619" spans="1:16" x14ac:dyDescent="0.35">
      <c r="A619">
        <v>2017</v>
      </c>
      <c r="B619" s="6" t="s">
        <v>35</v>
      </c>
      <c r="J619" s="13">
        <v>91972.58</v>
      </c>
      <c r="K619" s="5">
        <f t="shared" si="19"/>
        <v>90</v>
      </c>
      <c r="P619" t="str">
        <f t="shared" si="20"/>
        <v>90K</v>
      </c>
    </row>
    <row r="620" spans="1:16" x14ac:dyDescent="0.35">
      <c r="A620">
        <v>2002</v>
      </c>
      <c r="B620" s="7" t="s">
        <v>25</v>
      </c>
      <c r="J620" s="12">
        <v>83707.47</v>
      </c>
      <c r="K620" s="5">
        <f t="shared" si="19"/>
        <v>80</v>
      </c>
      <c r="P620" t="str">
        <f t="shared" si="20"/>
        <v>80K</v>
      </c>
    </row>
    <row r="621" spans="1:16" x14ac:dyDescent="0.35">
      <c r="A621">
        <v>2016</v>
      </c>
      <c r="B621" s="6" t="s">
        <v>23</v>
      </c>
      <c r="J621" s="13">
        <v>98153</v>
      </c>
      <c r="K621" s="5">
        <f t="shared" si="19"/>
        <v>100</v>
      </c>
      <c r="P621" t="str">
        <f t="shared" si="20"/>
        <v>100K</v>
      </c>
    </row>
    <row r="622" spans="1:16" x14ac:dyDescent="0.35">
      <c r="A622">
        <v>2003</v>
      </c>
      <c r="B622" s="7" t="s">
        <v>23</v>
      </c>
      <c r="J622" s="12">
        <v>35804.47</v>
      </c>
      <c r="K622" s="5">
        <f t="shared" si="19"/>
        <v>40</v>
      </c>
      <c r="P622" t="str">
        <f t="shared" si="20"/>
        <v>40K</v>
      </c>
    </row>
    <row r="623" spans="1:16" x14ac:dyDescent="0.35">
      <c r="A623">
        <v>2003</v>
      </c>
      <c r="B623" s="6" t="s">
        <v>25</v>
      </c>
      <c r="J623" s="13">
        <v>27396.55</v>
      </c>
      <c r="K623" s="5">
        <f t="shared" si="19"/>
        <v>30</v>
      </c>
      <c r="P623" t="str">
        <f t="shared" si="20"/>
        <v>30K</v>
      </c>
    </row>
    <row r="624" spans="1:16" x14ac:dyDescent="0.35">
      <c r="A624">
        <v>2013</v>
      </c>
      <c r="B624" s="7" t="s">
        <v>27</v>
      </c>
      <c r="J624" s="12">
        <v>36432.36</v>
      </c>
      <c r="K624" s="5">
        <f t="shared" si="19"/>
        <v>40</v>
      </c>
      <c r="P624" t="str">
        <f t="shared" si="20"/>
        <v>40K</v>
      </c>
    </row>
    <row r="625" spans="1:16" x14ac:dyDescent="0.35">
      <c r="A625">
        <v>2008</v>
      </c>
      <c r="B625" s="6" t="s">
        <v>23</v>
      </c>
      <c r="J625" s="13">
        <v>95691.73</v>
      </c>
      <c r="K625" s="5">
        <f t="shared" si="19"/>
        <v>100</v>
      </c>
      <c r="P625" t="str">
        <f t="shared" si="20"/>
        <v>100K</v>
      </c>
    </row>
    <row r="626" spans="1:16" x14ac:dyDescent="0.35">
      <c r="A626">
        <v>2008</v>
      </c>
      <c r="B626" s="7" t="s">
        <v>35</v>
      </c>
      <c r="J626" s="12">
        <v>36641.96</v>
      </c>
      <c r="K626" s="5">
        <f t="shared" si="19"/>
        <v>40</v>
      </c>
      <c r="P626" t="str">
        <f t="shared" si="20"/>
        <v>40K</v>
      </c>
    </row>
    <row r="627" spans="1:16" x14ac:dyDescent="0.35">
      <c r="A627">
        <v>2022</v>
      </c>
      <c r="B627" s="6" t="s">
        <v>35</v>
      </c>
      <c r="J627" s="13">
        <v>58695.12</v>
      </c>
      <c r="K627" s="5">
        <f t="shared" si="19"/>
        <v>60</v>
      </c>
      <c r="P627" t="str">
        <f t="shared" si="20"/>
        <v>60K</v>
      </c>
    </row>
    <row r="628" spans="1:16" x14ac:dyDescent="0.35">
      <c r="A628">
        <v>2017</v>
      </c>
      <c r="B628" s="7" t="s">
        <v>20</v>
      </c>
      <c r="J628" s="12">
        <v>43349.53</v>
      </c>
      <c r="K628" s="5">
        <f t="shared" si="19"/>
        <v>40</v>
      </c>
      <c r="P628" t="str">
        <f t="shared" si="20"/>
        <v>40K</v>
      </c>
    </row>
    <row r="629" spans="1:16" x14ac:dyDescent="0.35">
      <c r="A629">
        <v>2009</v>
      </c>
      <c r="B629" s="6" t="s">
        <v>23</v>
      </c>
      <c r="J629" s="13">
        <v>42640.91</v>
      </c>
      <c r="K629" s="5">
        <f t="shared" si="19"/>
        <v>40</v>
      </c>
      <c r="P629" t="str">
        <f t="shared" si="20"/>
        <v>40K</v>
      </c>
    </row>
    <row r="630" spans="1:16" x14ac:dyDescent="0.35">
      <c r="A630">
        <v>2020</v>
      </c>
      <c r="B630" s="7" t="s">
        <v>27</v>
      </c>
      <c r="J630" s="12">
        <v>23370.97</v>
      </c>
      <c r="K630" s="5">
        <f t="shared" si="19"/>
        <v>20</v>
      </c>
      <c r="P630" t="str">
        <f t="shared" si="20"/>
        <v>20K</v>
      </c>
    </row>
    <row r="631" spans="1:16" x14ac:dyDescent="0.35">
      <c r="A631">
        <v>2003</v>
      </c>
      <c r="B631" s="6" t="s">
        <v>25</v>
      </c>
      <c r="J631" s="13">
        <v>56022.559999999998</v>
      </c>
      <c r="K631" s="5">
        <f t="shared" si="19"/>
        <v>60</v>
      </c>
      <c r="P631" t="str">
        <f t="shared" si="20"/>
        <v>60K</v>
      </c>
    </row>
    <row r="632" spans="1:16" x14ac:dyDescent="0.35">
      <c r="A632">
        <v>2011</v>
      </c>
      <c r="B632" s="7" t="s">
        <v>25</v>
      </c>
      <c r="J632" s="12">
        <v>85693.4</v>
      </c>
      <c r="K632" s="5">
        <f t="shared" si="19"/>
        <v>90</v>
      </c>
      <c r="P632" t="str">
        <f t="shared" si="20"/>
        <v>90K</v>
      </c>
    </row>
    <row r="633" spans="1:16" x14ac:dyDescent="0.35">
      <c r="A633">
        <v>2007</v>
      </c>
      <c r="B633" s="6" t="s">
        <v>27</v>
      </c>
      <c r="J633" s="13">
        <v>9701.08</v>
      </c>
      <c r="K633" s="5">
        <f t="shared" si="19"/>
        <v>10</v>
      </c>
      <c r="P633" t="str">
        <f t="shared" si="20"/>
        <v>10K</v>
      </c>
    </row>
    <row r="634" spans="1:16" x14ac:dyDescent="0.35">
      <c r="A634">
        <v>2001</v>
      </c>
      <c r="B634" s="7" t="s">
        <v>10</v>
      </c>
      <c r="J634" s="12">
        <v>89476.53</v>
      </c>
      <c r="K634" s="5">
        <f t="shared" si="19"/>
        <v>90</v>
      </c>
      <c r="P634" t="str">
        <f t="shared" si="20"/>
        <v>90K</v>
      </c>
    </row>
    <row r="635" spans="1:16" x14ac:dyDescent="0.35">
      <c r="A635">
        <v>2021</v>
      </c>
      <c r="B635" s="6" t="s">
        <v>29</v>
      </c>
      <c r="J635" s="13">
        <v>68219.929999999993</v>
      </c>
      <c r="K635" s="5">
        <f t="shared" si="19"/>
        <v>70</v>
      </c>
      <c r="P635" t="str">
        <f t="shared" si="20"/>
        <v>70K</v>
      </c>
    </row>
    <row r="636" spans="1:16" x14ac:dyDescent="0.35">
      <c r="A636">
        <v>2012</v>
      </c>
      <c r="B636" s="7" t="s">
        <v>20</v>
      </c>
      <c r="J636" s="12">
        <v>63590.12</v>
      </c>
      <c r="K636" s="5">
        <f t="shared" si="19"/>
        <v>60</v>
      </c>
      <c r="P636" t="str">
        <f t="shared" si="20"/>
        <v>60K</v>
      </c>
    </row>
    <row r="637" spans="1:16" x14ac:dyDescent="0.35">
      <c r="A637">
        <v>2020</v>
      </c>
      <c r="B637" s="6" t="s">
        <v>25</v>
      </c>
      <c r="J637" s="13">
        <v>64460.52</v>
      </c>
      <c r="K637" s="5">
        <f t="shared" si="19"/>
        <v>60</v>
      </c>
      <c r="P637" t="str">
        <f t="shared" si="20"/>
        <v>60K</v>
      </c>
    </row>
    <row r="638" spans="1:16" x14ac:dyDescent="0.35">
      <c r="A638">
        <v>2015</v>
      </c>
      <c r="B638" s="7" t="s">
        <v>23</v>
      </c>
      <c r="J638" s="12">
        <v>33145.629999999997</v>
      </c>
      <c r="K638" s="5">
        <f t="shared" si="19"/>
        <v>30</v>
      </c>
      <c r="P638" t="str">
        <f t="shared" si="20"/>
        <v>30K</v>
      </c>
    </row>
    <row r="639" spans="1:16" x14ac:dyDescent="0.35">
      <c r="A639">
        <v>2001</v>
      </c>
      <c r="B639" s="6" t="s">
        <v>20</v>
      </c>
      <c r="J639" s="13">
        <v>44438.73</v>
      </c>
      <c r="K639" s="5">
        <f t="shared" si="19"/>
        <v>40</v>
      </c>
      <c r="P639" t="str">
        <f t="shared" si="20"/>
        <v>40K</v>
      </c>
    </row>
    <row r="640" spans="1:16" x14ac:dyDescent="0.35">
      <c r="A640">
        <v>2010</v>
      </c>
      <c r="B640" s="7" t="s">
        <v>23</v>
      </c>
      <c r="J640" s="12">
        <v>80932.55</v>
      </c>
      <c r="K640" s="5">
        <f t="shared" si="19"/>
        <v>80</v>
      </c>
      <c r="P640" t="str">
        <f t="shared" si="20"/>
        <v>80K</v>
      </c>
    </row>
    <row r="641" spans="1:16" x14ac:dyDescent="0.35">
      <c r="A641">
        <v>2009</v>
      </c>
      <c r="B641" s="6" t="s">
        <v>10</v>
      </c>
      <c r="J641" s="13">
        <v>34106.199999999997</v>
      </c>
      <c r="K641" s="5">
        <f t="shared" si="19"/>
        <v>30</v>
      </c>
      <c r="P641" t="str">
        <f t="shared" si="20"/>
        <v>30K</v>
      </c>
    </row>
    <row r="642" spans="1:16" x14ac:dyDescent="0.35">
      <c r="A642">
        <v>2014</v>
      </c>
      <c r="B642" s="7" t="s">
        <v>35</v>
      </c>
      <c r="J642" s="12">
        <v>49651.92</v>
      </c>
      <c r="K642" s="5">
        <f t="shared" si="19"/>
        <v>50</v>
      </c>
      <c r="P642" t="str">
        <f t="shared" si="20"/>
        <v>50K</v>
      </c>
    </row>
    <row r="643" spans="1:16" x14ac:dyDescent="0.35">
      <c r="A643">
        <v>2016</v>
      </c>
      <c r="B643" s="6" t="s">
        <v>20</v>
      </c>
      <c r="J643" s="13">
        <v>6865.07</v>
      </c>
      <c r="K643" s="5">
        <f t="shared" ref="K643:K706" si="21">ROUND(J643/10000,0)*10</f>
        <v>10</v>
      </c>
      <c r="P643" t="str">
        <f t="shared" ref="P643:P706" si="22">TEXT(ROUND(J643/10000,0)*10,"0") &amp; "K"</f>
        <v>10K</v>
      </c>
    </row>
    <row r="644" spans="1:16" x14ac:dyDescent="0.35">
      <c r="A644">
        <v>2007</v>
      </c>
      <c r="B644" s="7" t="s">
        <v>25</v>
      </c>
      <c r="J644" s="12">
        <v>74688.039999999994</v>
      </c>
      <c r="K644" s="5">
        <f t="shared" si="21"/>
        <v>70</v>
      </c>
      <c r="P644" t="str">
        <f t="shared" si="22"/>
        <v>70K</v>
      </c>
    </row>
    <row r="645" spans="1:16" x14ac:dyDescent="0.35">
      <c r="A645">
        <v>2017</v>
      </c>
      <c r="B645" s="6" t="s">
        <v>20</v>
      </c>
      <c r="J645" s="13">
        <v>44681.71</v>
      </c>
      <c r="K645" s="5">
        <f t="shared" si="21"/>
        <v>40</v>
      </c>
      <c r="P645" t="str">
        <f t="shared" si="22"/>
        <v>40K</v>
      </c>
    </row>
    <row r="646" spans="1:16" x14ac:dyDescent="0.35">
      <c r="A646">
        <v>2022</v>
      </c>
      <c r="B646" s="7" t="s">
        <v>20</v>
      </c>
      <c r="J646" s="12">
        <v>54909.08</v>
      </c>
      <c r="K646" s="5">
        <f t="shared" si="21"/>
        <v>50</v>
      </c>
      <c r="P646" t="str">
        <f t="shared" si="22"/>
        <v>50K</v>
      </c>
    </row>
    <row r="647" spans="1:16" x14ac:dyDescent="0.35">
      <c r="A647">
        <v>2008</v>
      </c>
      <c r="B647" s="6" t="s">
        <v>20</v>
      </c>
      <c r="J647" s="13">
        <v>15895.49</v>
      </c>
      <c r="K647" s="5">
        <f t="shared" si="21"/>
        <v>20</v>
      </c>
      <c r="P647" t="str">
        <f t="shared" si="22"/>
        <v>20K</v>
      </c>
    </row>
    <row r="648" spans="1:16" x14ac:dyDescent="0.35">
      <c r="A648">
        <v>2007</v>
      </c>
      <c r="B648" s="7" t="s">
        <v>29</v>
      </c>
      <c r="J648" s="12">
        <v>99212.85</v>
      </c>
      <c r="K648" s="5">
        <f t="shared" si="21"/>
        <v>100</v>
      </c>
      <c r="P648" t="str">
        <f t="shared" si="22"/>
        <v>100K</v>
      </c>
    </row>
    <row r="649" spans="1:16" x14ac:dyDescent="0.35">
      <c r="A649">
        <v>2013</v>
      </c>
      <c r="B649" s="6" t="s">
        <v>20</v>
      </c>
      <c r="J649" s="13">
        <v>33734.44</v>
      </c>
      <c r="K649" s="5">
        <f t="shared" si="21"/>
        <v>30</v>
      </c>
      <c r="P649" t="str">
        <f t="shared" si="22"/>
        <v>30K</v>
      </c>
    </row>
    <row r="650" spans="1:16" x14ac:dyDescent="0.35">
      <c r="A650">
        <v>2017</v>
      </c>
      <c r="B650" s="7" t="s">
        <v>23</v>
      </c>
      <c r="J650" s="12">
        <v>65324.02</v>
      </c>
      <c r="K650" s="5">
        <f t="shared" si="21"/>
        <v>70</v>
      </c>
      <c r="P650" t="str">
        <f t="shared" si="22"/>
        <v>70K</v>
      </c>
    </row>
    <row r="651" spans="1:16" x14ac:dyDescent="0.35">
      <c r="A651">
        <v>2021</v>
      </c>
      <c r="B651" s="6" t="s">
        <v>35</v>
      </c>
      <c r="J651" s="13">
        <v>60217.45</v>
      </c>
      <c r="K651" s="5">
        <f t="shared" si="21"/>
        <v>60</v>
      </c>
      <c r="P651" t="str">
        <f t="shared" si="22"/>
        <v>60K</v>
      </c>
    </row>
    <row r="652" spans="1:16" x14ac:dyDescent="0.35">
      <c r="A652">
        <v>2019</v>
      </c>
      <c r="B652" s="7" t="s">
        <v>10</v>
      </c>
      <c r="J652" s="12">
        <v>79583.759999999995</v>
      </c>
      <c r="K652" s="5">
        <f t="shared" si="21"/>
        <v>80</v>
      </c>
      <c r="P652" t="str">
        <f t="shared" si="22"/>
        <v>80K</v>
      </c>
    </row>
    <row r="653" spans="1:16" x14ac:dyDescent="0.35">
      <c r="A653">
        <v>2019</v>
      </c>
      <c r="B653" s="6" t="s">
        <v>27</v>
      </c>
      <c r="J653" s="13">
        <v>32914.51</v>
      </c>
      <c r="K653" s="5">
        <f t="shared" si="21"/>
        <v>30</v>
      </c>
      <c r="P653" t="str">
        <f t="shared" si="22"/>
        <v>30K</v>
      </c>
    </row>
    <row r="654" spans="1:16" x14ac:dyDescent="0.35">
      <c r="A654">
        <v>2020</v>
      </c>
      <c r="B654" s="7" t="s">
        <v>20</v>
      </c>
      <c r="J654" s="12">
        <v>76813.100000000006</v>
      </c>
      <c r="K654" s="5">
        <f t="shared" si="21"/>
        <v>80</v>
      </c>
      <c r="P654" t="str">
        <f t="shared" si="22"/>
        <v>80K</v>
      </c>
    </row>
    <row r="655" spans="1:16" x14ac:dyDescent="0.35">
      <c r="A655">
        <v>2011</v>
      </c>
      <c r="B655" s="6" t="s">
        <v>25</v>
      </c>
      <c r="J655" s="13">
        <v>41337.660000000003</v>
      </c>
      <c r="K655" s="5">
        <f t="shared" si="21"/>
        <v>40</v>
      </c>
      <c r="P655" t="str">
        <f t="shared" si="22"/>
        <v>40K</v>
      </c>
    </row>
    <row r="656" spans="1:16" x14ac:dyDescent="0.35">
      <c r="A656">
        <v>2018</v>
      </c>
      <c r="B656" s="7" t="s">
        <v>20</v>
      </c>
      <c r="J656" s="12">
        <v>44060.29</v>
      </c>
      <c r="K656" s="5">
        <f t="shared" si="21"/>
        <v>40</v>
      </c>
      <c r="P656" t="str">
        <f t="shared" si="22"/>
        <v>40K</v>
      </c>
    </row>
    <row r="657" spans="1:16" x14ac:dyDescent="0.35">
      <c r="A657">
        <v>2013</v>
      </c>
      <c r="B657" s="6" t="s">
        <v>25</v>
      </c>
      <c r="J657" s="13">
        <v>68907.69</v>
      </c>
      <c r="K657" s="5">
        <f t="shared" si="21"/>
        <v>70</v>
      </c>
      <c r="P657" t="str">
        <f t="shared" si="22"/>
        <v>70K</v>
      </c>
    </row>
    <row r="658" spans="1:16" x14ac:dyDescent="0.35">
      <c r="A658">
        <v>2016</v>
      </c>
      <c r="B658" s="7" t="s">
        <v>23</v>
      </c>
      <c r="J658" s="12">
        <v>79507.149999999994</v>
      </c>
      <c r="K658" s="5">
        <f t="shared" si="21"/>
        <v>80</v>
      </c>
      <c r="P658" t="str">
        <f t="shared" si="22"/>
        <v>80K</v>
      </c>
    </row>
    <row r="659" spans="1:16" x14ac:dyDescent="0.35">
      <c r="A659">
        <v>2023</v>
      </c>
      <c r="B659" s="6" t="s">
        <v>25</v>
      </c>
      <c r="J659" s="13">
        <v>68352.33</v>
      </c>
      <c r="K659" s="5">
        <f t="shared" si="21"/>
        <v>70</v>
      </c>
      <c r="P659" t="str">
        <f t="shared" si="22"/>
        <v>70K</v>
      </c>
    </row>
    <row r="660" spans="1:16" x14ac:dyDescent="0.35">
      <c r="A660">
        <v>2020</v>
      </c>
      <c r="B660" s="7" t="s">
        <v>27</v>
      </c>
      <c r="J660" s="12">
        <v>90488.55</v>
      </c>
      <c r="K660" s="5">
        <f t="shared" si="21"/>
        <v>90</v>
      </c>
      <c r="P660" t="str">
        <f t="shared" si="22"/>
        <v>90K</v>
      </c>
    </row>
    <row r="661" spans="1:16" x14ac:dyDescent="0.35">
      <c r="A661">
        <v>2002</v>
      </c>
      <c r="B661" s="6" t="s">
        <v>35</v>
      </c>
      <c r="J661" s="13">
        <v>32090.11</v>
      </c>
      <c r="K661" s="5">
        <f t="shared" si="21"/>
        <v>30</v>
      </c>
      <c r="P661" t="str">
        <f t="shared" si="22"/>
        <v>30K</v>
      </c>
    </row>
    <row r="662" spans="1:16" x14ac:dyDescent="0.35">
      <c r="A662">
        <v>2022</v>
      </c>
      <c r="B662" s="7" t="s">
        <v>25</v>
      </c>
      <c r="J662" s="12">
        <v>90558.59</v>
      </c>
      <c r="K662" s="5">
        <f t="shared" si="21"/>
        <v>90</v>
      </c>
      <c r="P662" t="str">
        <f t="shared" si="22"/>
        <v>90K</v>
      </c>
    </row>
    <row r="663" spans="1:16" x14ac:dyDescent="0.35">
      <c r="A663">
        <v>2006</v>
      </c>
      <c r="B663" s="6" t="s">
        <v>25</v>
      </c>
      <c r="J663" s="13">
        <v>17432.03</v>
      </c>
      <c r="K663" s="5">
        <f t="shared" si="21"/>
        <v>20</v>
      </c>
      <c r="P663" t="str">
        <f t="shared" si="22"/>
        <v>20K</v>
      </c>
    </row>
    <row r="664" spans="1:16" x14ac:dyDescent="0.35">
      <c r="A664">
        <v>2016</v>
      </c>
      <c r="B664" s="7" t="s">
        <v>35</v>
      </c>
      <c r="J664" s="12">
        <v>67655.38</v>
      </c>
      <c r="K664" s="5">
        <f t="shared" si="21"/>
        <v>70</v>
      </c>
      <c r="P664" t="str">
        <f t="shared" si="22"/>
        <v>70K</v>
      </c>
    </row>
    <row r="665" spans="1:16" x14ac:dyDescent="0.35">
      <c r="A665">
        <v>2011</v>
      </c>
      <c r="B665" s="6" t="s">
        <v>27</v>
      </c>
      <c r="J665" s="13">
        <v>57024.91</v>
      </c>
      <c r="K665" s="5">
        <f t="shared" si="21"/>
        <v>60</v>
      </c>
      <c r="P665" t="str">
        <f t="shared" si="22"/>
        <v>60K</v>
      </c>
    </row>
    <row r="666" spans="1:16" x14ac:dyDescent="0.35">
      <c r="A666">
        <v>2008</v>
      </c>
      <c r="B666" s="7" t="s">
        <v>20</v>
      </c>
      <c r="J666" s="12">
        <v>51990.41</v>
      </c>
      <c r="K666" s="5">
        <f t="shared" si="21"/>
        <v>50</v>
      </c>
      <c r="P666" t="str">
        <f t="shared" si="22"/>
        <v>50K</v>
      </c>
    </row>
    <row r="667" spans="1:16" x14ac:dyDescent="0.35">
      <c r="A667">
        <v>2014</v>
      </c>
      <c r="B667" s="6" t="s">
        <v>25</v>
      </c>
      <c r="J667" s="13">
        <v>34536.639999999999</v>
      </c>
      <c r="K667" s="5">
        <f t="shared" si="21"/>
        <v>30</v>
      </c>
      <c r="P667" t="str">
        <f t="shared" si="22"/>
        <v>30K</v>
      </c>
    </row>
    <row r="668" spans="1:16" x14ac:dyDescent="0.35">
      <c r="A668">
        <v>2017</v>
      </c>
      <c r="B668" s="7" t="s">
        <v>35</v>
      </c>
      <c r="J668" s="12">
        <v>52854.61</v>
      </c>
      <c r="K668" s="5">
        <f t="shared" si="21"/>
        <v>50</v>
      </c>
      <c r="P668" t="str">
        <f t="shared" si="22"/>
        <v>50K</v>
      </c>
    </row>
    <row r="669" spans="1:16" x14ac:dyDescent="0.35">
      <c r="A669">
        <v>2020</v>
      </c>
      <c r="B669" s="6" t="s">
        <v>23</v>
      </c>
      <c r="J669" s="13">
        <v>20368.47</v>
      </c>
      <c r="K669" s="5">
        <f t="shared" si="21"/>
        <v>20</v>
      </c>
      <c r="P669" t="str">
        <f t="shared" si="22"/>
        <v>20K</v>
      </c>
    </row>
    <row r="670" spans="1:16" x14ac:dyDescent="0.35">
      <c r="A670">
        <v>2012</v>
      </c>
      <c r="B670" s="7" t="s">
        <v>35</v>
      </c>
      <c r="J670" s="12">
        <v>40085.49</v>
      </c>
      <c r="K670" s="5">
        <f t="shared" si="21"/>
        <v>40</v>
      </c>
      <c r="P670" t="str">
        <f t="shared" si="22"/>
        <v>40K</v>
      </c>
    </row>
    <row r="671" spans="1:16" x14ac:dyDescent="0.35">
      <c r="A671">
        <v>2020</v>
      </c>
      <c r="B671" s="6" t="s">
        <v>23</v>
      </c>
      <c r="J671" s="13">
        <v>14374.69</v>
      </c>
      <c r="K671" s="5">
        <f t="shared" si="21"/>
        <v>10</v>
      </c>
      <c r="P671" t="str">
        <f t="shared" si="22"/>
        <v>10K</v>
      </c>
    </row>
    <row r="672" spans="1:16" x14ac:dyDescent="0.35">
      <c r="A672">
        <v>2007</v>
      </c>
      <c r="B672" s="7" t="s">
        <v>27</v>
      </c>
      <c r="J672" s="12">
        <v>59325.43</v>
      </c>
      <c r="K672" s="5">
        <f t="shared" si="21"/>
        <v>60</v>
      </c>
      <c r="P672" t="str">
        <f t="shared" si="22"/>
        <v>60K</v>
      </c>
    </row>
    <row r="673" spans="1:16" x14ac:dyDescent="0.35">
      <c r="A673">
        <v>2013</v>
      </c>
      <c r="B673" s="6" t="s">
        <v>20</v>
      </c>
      <c r="J673" s="13">
        <v>14097.95</v>
      </c>
      <c r="K673" s="5">
        <f t="shared" si="21"/>
        <v>10</v>
      </c>
      <c r="P673" t="str">
        <f t="shared" si="22"/>
        <v>10K</v>
      </c>
    </row>
    <row r="674" spans="1:16" x14ac:dyDescent="0.35">
      <c r="A674">
        <v>2007</v>
      </c>
      <c r="B674" s="7" t="s">
        <v>35</v>
      </c>
      <c r="J674" s="12">
        <v>20232.740000000002</v>
      </c>
      <c r="K674" s="5">
        <f t="shared" si="21"/>
        <v>20</v>
      </c>
      <c r="P674" t="str">
        <f t="shared" si="22"/>
        <v>20K</v>
      </c>
    </row>
    <row r="675" spans="1:16" x14ac:dyDescent="0.35">
      <c r="A675">
        <v>2013</v>
      </c>
      <c r="B675" s="6" t="s">
        <v>10</v>
      </c>
      <c r="J675" s="13">
        <v>13119.35</v>
      </c>
      <c r="K675" s="5">
        <f t="shared" si="21"/>
        <v>10</v>
      </c>
      <c r="P675" t="str">
        <f t="shared" si="22"/>
        <v>10K</v>
      </c>
    </row>
    <row r="676" spans="1:16" x14ac:dyDescent="0.35">
      <c r="A676">
        <v>2006</v>
      </c>
      <c r="B676" s="7" t="s">
        <v>10</v>
      </c>
      <c r="J676" s="12">
        <v>41224.51</v>
      </c>
      <c r="K676" s="5">
        <f t="shared" si="21"/>
        <v>40</v>
      </c>
      <c r="P676" t="str">
        <f t="shared" si="22"/>
        <v>40K</v>
      </c>
    </row>
    <row r="677" spans="1:16" x14ac:dyDescent="0.35">
      <c r="A677">
        <v>2022</v>
      </c>
      <c r="B677" s="6" t="s">
        <v>29</v>
      </c>
      <c r="J677" s="13">
        <v>84986.05</v>
      </c>
      <c r="K677" s="5">
        <f t="shared" si="21"/>
        <v>80</v>
      </c>
      <c r="P677" t="str">
        <f t="shared" si="22"/>
        <v>80K</v>
      </c>
    </row>
    <row r="678" spans="1:16" x14ac:dyDescent="0.35">
      <c r="A678">
        <v>2011</v>
      </c>
      <c r="B678" s="7" t="s">
        <v>25</v>
      </c>
      <c r="J678" s="12">
        <v>91155.16</v>
      </c>
      <c r="K678" s="5">
        <f t="shared" si="21"/>
        <v>90</v>
      </c>
      <c r="P678" t="str">
        <f t="shared" si="22"/>
        <v>90K</v>
      </c>
    </row>
    <row r="679" spans="1:16" x14ac:dyDescent="0.35">
      <c r="A679">
        <v>2010</v>
      </c>
      <c r="B679" s="6" t="s">
        <v>27</v>
      </c>
      <c r="J679" s="13">
        <v>11829.5</v>
      </c>
      <c r="K679" s="5">
        <f t="shared" si="21"/>
        <v>10</v>
      </c>
      <c r="P679" t="str">
        <f t="shared" si="22"/>
        <v>10K</v>
      </c>
    </row>
    <row r="680" spans="1:16" x14ac:dyDescent="0.35">
      <c r="A680">
        <v>2021</v>
      </c>
      <c r="B680" s="7" t="s">
        <v>35</v>
      </c>
      <c r="J680" s="12">
        <v>65282.26</v>
      </c>
      <c r="K680" s="5">
        <f t="shared" si="21"/>
        <v>70</v>
      </c>
      <c r="P680" t="str">
        <f t="shared" si="22"/>
        <v>70K</v>
      </c>
    </row>
    <row r="681" spans="1:16" x14ac:dyDescent="0.35">
      <c r="A681">
        <v>2021</v>
      </c>
      <c r="B681" s="6" t="s">
        <v>10</v>
      </c>
      <c r="J681" s="13">
        <v>70016.62</v>
      </c>
      <c r="K681" s="5">
        <f t="shared" si="21"/>
        <v>70</v>
      </c>
      <c r="P681" t="str">
        <f t="shared" si="22"/>
        <v>70K</v>
      </c>
    </row>
    <row r="682" spans="1:16" x14ac:dyDescent="0.35">
      <c r="A682">
        <v>2010</v>
      </c>
      <c r="B682" s="7" t="s">
        <v>25</v>
      </c>
      <c r="J682" s="12">
        <v>55708.14</v>
      </c>
      <c r="K682" s="5">
        <f t="shared" si="21"/>
        <v>60</v>
      </c>
      <c r="P682" t="str">
        <f t="shared" si="22"/>
        <v>60K</v>
      </c>
    </row>
    <row r="683" spans="1:16" x14ac:dyDescent="0.35">
      <c r="A683">
        <v>2021</v>
      </c>
      <c r="B683" s="6" t="s">
        <v>10</v>
      </c>
      <c r="J683" s="13">
        <v>68363.56</v>
      </c>
      <c r="K683" s="5">
        <f t="shared" si="21"/>
        <v>70</v>
      </c>
      <c r="P683" t="str">
        <f t="shared" si="22"/>
        <v>70K</v>
      </c>
    </row>
    <row r="684" spans="1:16" x14ac:dyDescent="0.35">
      <c r="A684">
        <v>2012</v>
      </c>
      <c r="B684" s="7" t="s">
        <v>35</v>
      </c>
      <c r="J684" s="12">
        <v>27200.62</v>
      </c>
      <c r="K684" s="5">
        <f t="shared" si="21"/>
        <v>30</v>
      </c>
      <c r="P684" t="str">
        <f t="shared" si="22"/>
        <v>30K</v>
      </c>
    </row>
    <row r="685" spans="1:16" x14ac:dyDescent="0.35">
      <c r="A685">
        <v>2017</v>
      </c>
      <c r="B685" s="6" t="s">
        <v>23</v>
      </c>
      <c r="J685" s="13">
        <v>51516.2</v>
      </c>
      <c r="K685" s="5">
        <f t="shared" si="21"/>
        <v>50</v>
      </c>
      <c r="P685" t="str">
        <f t="shared" si="22"/>
        <v>50K</v>
      </c>
    </row>
    <row r="686" spans="1:16" x14ac:dyDescent="0.35">
      <c r="A686">
        <v>2001</v>
      </c>
      <c r="B686" s="7" t="s">
        <v>35</v>
      </c>
      <c r="J686" s="12">
        <v>42133.21</v>
      </c>
      <c r="K686" s="5">
        <f t="shared" si="21"/>
        <v>40</v>
      </c>
      <c r="P686" t="str">
        <f t="shared" si="22"/>
        <v>40K</v>
      </c>
    </row>
    <row r="687" spans="1:16" x14ac:dyDescent="0.35">
      <c r="A687">
        <v>2020</v>
      </c>
      <c r="B687" s="6" t="s">
        <v>29</v>
      </c>
      <c r="J687" s="13">
        <v>13522.26</v>
      </c>
      <c r="K687" s="5">
        <f t="shared" si="21"/>
        <v>10</v>
      </c>
      <c r="P687" t="str">
        <f t="shared" si="22"/>
        <v>10K</v>
      </c>
    </row>
    <row r="688" spans="1:16" x14ac:dyDescent="0.35">
      <c r="A688">
        <v>2014</v>
      </c>
      <c r="B688" s="7" t="s">
        <v>35</v>
      </c>
      <c r="J688" s="12">
        <v>64427.86</v>
      </c>
      <c r="K688" s="5">
        <f t="shared" si="21"/>
        <v>60</v>
      </c>
      <c r="P688" t="str">
        <f t="shared" si="22"/>
        <v>60K</v>
      </c>
    </row>
    <row r="689" spans="1:16" x14ac:dyDescent="0.35">
      <c r="A689">
        <v>2019</v>
      </c>
      <c r="B689" s="6" t="s">
        <v>35</v>
      </c>
      <c r="J689" s="13">
        <v>52045.440000000002</v>
      </c>
      <c r="K689" s="5">
        <f t="shared" si="21"/>
        <v>50</v>
      </c>
      <c r="P689" t="str">
        <f t="shared" si="22"/>
        <v>50K</v>
      </c>
    </row>
    <row r="690" spans="1:16" x14ac:dyDescent="0.35">
      <c r="A690">
        <v>2017</v>
      </c>
      <c r="B690" s="7" t="s">
        <v>29</v>
      </c>
      <c r="J690" s="12">
        <v>31141.53</v>
      </c>
      <c r="K690" s="5">
        <f t="shared" si="21"/>
        <v>30</v>
      </c>
      <c r="P690" t="str">
        <f t="shared" si="22"/>
        <v>30K</v>
      </c>
    </row>
    <row r="691" spans="1:16" x14ac:dyDescent="0.35">
      <c r="A691">
        <v>2014</v>
      </c>
      <c r="B691" s="6" t="s">
        <v>27</v>
      </c>
      <c r="J691" s="13">
        <v>50000.1</v>
      </c>
      <c r="K691" s="5">
        <f t="shared" si="21"/>
        <v>50</v>
      </c>
      <c r="P691" t="str">
        <f t="shared" si="22"/>
        <v>50K</v>
      </c>
    </row>
    <row r="692" spans="1:16" x14ac:dyDescent="0.35">
      <c r="A692">
        <v>2018</v>
      </c>
      <c r="B692" s="7" t="s">
        <v>35</v>
      </c>
      <c r="J692" s="12">
        <v>78653.31</v>
      </c>
      <c r="K692" s="5">
        <f t="shared" si="21"/>
        <v>80</v>
      </c>
      <c r="P692" t="str">
        <f t="shared" si="22"/>
        <v>80K</v>
      </c>
    </row>
    <row r="693" spans="1:16" x14ac:dyDescent="0.35">
      <c r="A693">
        <v>2022</v>
      </c>
      <c r="B693" s="6" t="s">
        <v>29</v>
      </c>
      <c r="J693" s="13">
        <v>81157.490000000005</v>
      </c>
      <c r="K693" s="5">
        <f t="shared" si="21"/>
        <v>80</v>
      </c>
      <c r="P693" t="str">
        <f t="shared" si="22"/>
        <v>80K</v>
      </c>
    </row>
    <row r="694" spans="1:16" x14ac:dyDescent="0.35">
      <c r="A694">
        <v>2023</v>
      </c>
      <c r="B694" s="7" t="s">
        <v>25</v>
      </c>
      <c r="J694" s="12">
        <v>66704.98</v>
      </c>
      <c r="K694" s="5">
        <f t="shared" si="21"/>
        <v>70</v>
      </c>
      <c r="P694" t="str">
        <f t="shared" si="22"/>
        <v>70K</v>
      </c>
    </row>
    <row r="695" spans="1:16" x14ac:dyDescent="0.35">
      <c r="A695">
        <v>2011</v>
      </c>
      <c r="B695" s="6" t="s">
        <v>23</v>
      </c>
      <c r="J695" s="13">
        <v>49436.04</v>
      </c>
      <c r="K695" s="5">
        <f t="shared" si="21"/>
        <v>50</v>
      </c>
      <c r="P695" t="str">
        <f t="shared" si="22"/>
        <v>50K</v>
      </c>
    </row>
    <row r="696" spans="1:16" x14ac:dyDescent="0.35">
      <c r="A696">
        <v>2012</v>
      </c>
      <c r="B696" s="7" t="s">
        <v>23</v>
      </c>
      <c r="J696" s="12">
        <v>59696.22</v>
      </c>
      <c r="K696" s="5">
        <f t="shared" si="21"/>
        <v>60</v>
      </c>
      <c r="P696" t="str">
        <f t="shared" si="22"/>
        <v>60K</v>
      </c>
    </row>
    <row r="697" spans="1:16" x14ac:dyDescent="0.35">
      <c r="A697">
        <v>2021</v>
      </c>
      <c r="B697" s="6" t="s">
        <v>35</v>
      </c>
      <c r="J697" s="13">
        <v>41576.46</v>
      </c>
      <c r="K697" s="5">
        <f t="shared" si="21"/>
        <v>40</v>
      </c>
      <c r="P697" t="str">
        <f t="shared" si="22"/>
        <v>40K</v>
      </c>
    </row>
    <row r="698" spans="1:16" x14ac:dyDescent="0.35">
      <c r="A698">
        <v>2010</v>
      </c>
      <c r="B698" s="7" t="s">
        <v>27</v>
      </c>
      <c r="J698" s="12">
        <v>17022.849999999999</v>
      </c>
      <c r="K698" s="5">
        <f t="shared" si="21"/>
        <v>20</v>
      </c>
      <c r="P698" t="str">
        <f t="shared" si="22"/>
        <v>20K</v>
      </c>
    </row>
    <row r="699" spans="1:16" x14ac:dyDescent="0.35">
      <c r="A699">
        <v>2004</v>
      </c>
      <c r="B699" s="6" t="s">
        <v>27</v>
      </c>
      <c r="J699" s="13">
        <v>41633.96</v>
      </c>
      <c r="K699" s="5">
        <f t="shared" si="21"/>
        <v>40</v>
      </c>
      <c r="P699" t="str">
        <f t="shared" si="22"/>
        <v>40K</v>
      </c>
    </row>
    <row r="700" spans="1:16" x14ac:dyDescent="0.35">
      <c r="A700">
        <v>2000</v>
      </c>
      <c r="B700" s="7" t="s">
        <v>25</v>
      </c>
      <c r="J700" s="12">
        <v>55381.61</v>
      </c>
      <c r="K700" s="5">
        <f t="shared" si="21"/>
        <v>60</v>
      </c>
      <c r="P700" t="str">
        <f t="shared" si="22"/>
        <v>60K</v>
      </c>
    </row>
    <row r="701" spans="1:16" x14ac:dyDescent="0.35">
      <c r="A701">
        <v>2023</v>
      </c>
      <c r="B701" s="6" t="s">
        <v>35</v>
      </c>
      <c r="J701" s="13">
        <v>61889.23</v>
      </c>
      <c r="K701" s="5">
        <f t="shared" si="21"/>
        <v>60</v>
      </c>
      <c r="P701" t="str">
        <f t="shared" si="22"/>
        <v>60K</v>
      </c>
    </row>
    <row r="702" spans="1:16" x14ac:dyDescent="0.35">
      <c r="A702">
        <v>2002</v>
      </c>
      <c r="B702" s="7" t="s">
        <v>23</v>
      </c>
      <c r="J702" s="12">
        <v>93901.09</v>
      </c>
      <c r="K702" s="5">
        <f t="shared" si="21"/>
        <v>90</v>
      </c>
      <c r="P702" t="str">
        <f t="shared" si="22"/>
        <v>90K</v>
      </c>
    </row>
    <row r="703" spans="1:16" x14ac:dyDescent="0.35">
      <c r="A703">
        <v>2021</v>
      </c>
      <c r="B703" s="6" t="s">
        <v>27</v>
      </c>
      <c r="J703" s="13">
        <v>78846.679999999993</v>
      </c>
      <c r="K703" s="5">
        <f t="shared" si="21"/>
        <v>80</v>
      </c>
      <c r="P703" t="str">
        <f t="shared" si="22"/>
        <v>80K</v>
      </c>
    </row>
    <row r="704" spans="1:16" x14ac:dyDescent="0.35">
      <c r="A704">
        <v>2018</v>
      </c>
      <c r="B704" s="7" t="s">
        <v>35</v>
      </c>
      <c r="J704" s="12">
        <v>19439.29</v>
      </c>
      <c r="K704" s="5">
        <f t="shared" si="21"/>
        <v>20</v>
      </c>
      <c r="P704" t="str">
        <f t="shared" si="22"/>
        <v>20K</v>
      </c>
    </row>
    <row r="705" spans="1:16" x14ac:dyDescent="0.35">
      <c r="A705">
        <v>2022</v>
      </c>
      <c r="B705" s="6" t="s">
        <v>10</v>
      </c>
      <c r="J705" s="13">
        <v>21547.31</v>
      </c>
      <c r="K705" s="5">
        <f t="shared" si="21"/>
        <v>20</v>
      </c>
      <c r="P705" t="str">
        <f t="shared" si="22"/>
        <v>20K</v>
      </c>
    </row>
    <row r="706" spans="1:16" x14ac:dyDescent="0.35">
      <c r="A706">
        <v>2006</v>
      </c>
      <c r="B706" s="7" t="s">
        <v>27</v>
      </c>
      <c r="J706" s="12">
        <v>14547</v>
      </c>
      <c r="K706" s="5">
        <f t="shared" si="21"/>
        <v>10</v>
      </c>
      <c r="P706" t="str">
        <f t="shared" si="22"/>
        <v>10K</v>
      </c>
    </row>
    <row r="707" spans="1:16" x14ac:dyDescent="0.35">
      <c r="A707">
        <v>2011</v>
      </c>
      <c r="B707" s="6" t="s">
        <v>29</v>
      </c>
      <c r="J707" s="13">
        <v>75127.259999999995</v>
      </c>
      <c r="K707" s="5">
        <f t="shared" ref="K707:K770" si="23">ROUND(J707/10000,0)*10</f>
        <v>80</v>
      </c>
      <c r="P707" t="str">
        <f t="shared" ref="P707:P770" si="24">TEXT(ROUND(J707/10000,0)*10,"0") &amp; "K"</f>
        <v>80K</v>
      </c>
    </row>
    <row r="708" spans="1:16" x14ac:dyDescent="0.35">
      <c r="A708">
        <v>2014</v>
      </c>
      <c r="B708" s="7" t="s">
        <v>10</v>
      </c>
      <c r="J708" s="12">
        <v>72081.62</v>
      </c>
      <c r="K708" s="5">
        <f t="shared" si="23"/>
        <v>70</v>
      </c>
      <c r="P708" t="str">
        <f t="shared" si="24"/>
        <v>70K</v>
      </c>
    </row>
    <row r="709" spans="1:16" x14ac:dyDescent="0.35">
      <c r="A709">
        <v>2004</v>
      </c>
      <c r="B709" s="6" t="s">
        <v>27</v>
      </c>
      <c r="J709" s="13">
        <v>98704.48</v>
      </c>
      <c r="K709" s="5">
        <f t="shared" si="23"/>
        <v>100</v>
      </c>
      <c r="P709" t="str">
        <f t="shared" si="24"/>
        <v>100K</v>
      </c>
    </row>
    <row r="710" spans="1:16" x14ac:dyDescent="0.35">
      <c r="A710">
        <v>2014</v>
      </c>
      <c r="B710" s="7" t="s">
        <v>23</v>
      </c>
      <c r="J710" s="12">
        <v>54592.22</v>
      </c>
      <c r="K710" s="5">
        <f t="shared" si="23"/>
        <v>50</v>
      </c>
      <c r="P710" t="str">
        <f t="shared" si="24"/>
        <v>50K</v>
      </c>
    </row>
    <row r="711" spans="1:16" x14ac:dyDescent="0.35">
      <c r="A711">
        <v>2007</v>
      </c>
      <c r="B711" s="6" t="s">
        <v>20</v>
      </c>
      <c r="J711" s="13">
        <v>83509.42</v>
      </c>
      <c r="K711" s="5">
        <f t="shared" si="23"/>
        <v>80</v>
      </c>
      <c r="P711" t="str">
        <f t="shared" si="24"/>
        <v>80K</v>
      </c>
    </row>
    <row r="712" spans="1:16" x14ac:dyDescent="0.35">
      <c r="A712">
        <v>2009</v>
      </c>
      <c r="B712" s="7" t="s">
        <v>10</v>
      </c>
      <c r="J712" s="12">
        <v>59761.79</v>
      </c>
      <c r="K712" s="5">
        <f t="shared" si="23"/>
        <v>60</v>
      </c>
      <c r="P712" t="str">
        <f t="shared" si="24"/>
        <v>60K</v>
      </c>
    </row>
    <row r="713" spans="1:16" x14ac:dyDescent="0.35">
      <c r="A713">
        <v>2015</v>
      </c>
      <c r="B713" s="6" t="s">
        <v>25</v>
      </c>
      <c r="J713" s="13">
        <v>88038.24</v>
      </c>
      <c r="K713" s="5">
        <f t="shared" si="23"/>
        <v>90</v>
      </c>
      <c r="P713" t="str">
        <f t="shared" si="24"/>
        <v>90K</v>
      </c>
    </row>
    <row r="714" spans="1:16" x14ac:dyDescent="0.35">
      <c r="A714">
        <v>2007</v>
      </c>
      <c r="B714" s="7" t="s">
        <v>25</v>
      </c>
      <c r="J714" s="12">
        <v>73497</v>
      </c>
      <c r="K714" s="5">
        <f t="shared" si="23"/>
        <v>70</v>
      </c>
      <c r="P714" t="str">
        <f t="shared" si="24"/>
        <v>70K</v>
      </c>
    </row>
    <row r="715" spans="1:16" x14ac:dyDescent="0.35">
      <c r="A715">
        <v>2000</v>
      </c>
      <c r="B715" s="6" t="s">
        <v>23</v>
      </c>
      <c r="J715" s="13">
        <v>66073.98</v>
      </c>
      <c r="K715" s="5">
        <f t="shared" si="23"/>
        <v>70</v>
      </c>
      <c r="P715" t="str">
        <f t="shared" si="24"/>
        <v>70K</v>
      </c>
    </row>
    <row r="716" spans="1:16" x14ac:dyDescent="0.35">
      <c r="A716">
        <v>2011</v>
      </c>
      <c r="B716" s="7" t="s">
        <v>27</v>
      </c>
      <c r="J716" s="12">
        <v>58686.65</v>
      </c>
      <c r="K716" s="5">
        <f t="shared" si="23"/>
        <v>60</v>
      </c>
      <c r="P716" t="str">
        <f t="shared" si="24"/>
        <v>60K</v>
      </c>
    </row>
    <row r="717" spans="1:16" x14ac:dyDescent="0.35">
      <c r="A717">
        <v>2004</v>
      </c>
      <c r="B717" s="6" t="s">
        <v>35</v>
      </c>
      <c r="J717" s="13">
        <v>73682.2</v>
      </c>
      <c r="K717" s="5">
        <f t="shared" si="23"/>
        <v>70</v>
      </c>
      <c r="P717" t="str">
        <f t="shared" si="24"/>
        <v>70K</v>
      </c>
    </row>
    <row r="718" spans="1:16" x14ac:dyDescent="0.35">
      <c r="A718">
        <v>2002</v>
      </c>
      <c r="B718" s="7" t="s">
        <v>27</v>
      </c>
      <c r="J718" s="12">
        <v>44867.12</v>
      </c>
      <c r="K718" s="5">
        <f t="shared" si="23"/>
        <v>40</v>
      </c>
      <c r="P718" t="str">
        <f t="shared" si="24"/>
        <v>40K</v>
      </c>
    </row>
    <row r="719" spans="1:16" x14ac:dyDescent="0.35">
      <c r="A719">
        <v>2000</v>
      </c>
      <c r="B719" s="6" t="s">
        <v>23</v>
      </c>
      <c r="J719" s="13">
        <v>14174.78</v>
      </c>
      <c r="K719" s="5">
        <f t="shared" si="23"/>
        <v>10</v>
      </c>
      <c r="P719" t="str">
        <f t="shared" si="24"/>
        <v>10K</v>
      </c>
    </row>
    <row r="720" spans="1:16" x14ac:dyDescent="0.35">
      <c r="A720">
        <v>2003</v>
      </c>
      <c r="B720" s="7" t="s">
        <v>25</v>
      </c>
      <c r="J720" s="12">
        <v>8798.68</v>
      </c>
      <c r="K720" s="5">
        <f t="shared" si="23"/>
        <v>10</v>
      </c>
      <c r="P720" t="str">
        <f t="shared" si="24"/>
        <v>10K</v>
      </c>
    </row>
    <row r="721" spans="1:16" x14ac:dyDescent="0.35">
      <c r="A721">
        <v>2007</v>
      </c>
      <c r="B721" s="6" t="s">
        <v>27</v>
      </c>
      <c r="J721" s="13">
        <v>50507.25</v>
      </c>
      <c r="K721" s="5">
        <f t="shared" si="23"/>
        <v>50</v>
      </c>
      <c r="P721" t="str">
        <f t="shared" si="24"/>
        <v>50K</v>
      </c>
    </row>
    <row r="722" spans="1:16" x14ac:dyDescent="0.35">
      <c r="A722">
        <v>2002</v>
      </c>
      <c r="B722" s="7" t="s">
        <v>25</v>
      </c>
      <c r="J722" s="12">
        <v>61932.7</v>
      </c>
      <c r="K722" s="5">
        <f t="shared" si="23"/>
        <v>60</v>
      </c>
      <c r="P722" t="str">
        <f t="shared" si="24"/>
        <v>60K</v>
      </c>
    </row>
    <row r="723" spans="1:16" x14ac:dyDescent="0.35">
      <c r="A723">
        <v>2009</v>
      </c>
      <c r="B723" s="6" t="s">
        <v>10</v>
      </c>
      <c r="J723" s="13">
        <v>12490.66</v>
      </c>
      <c r="K723" s="5">
        <f t="shared" si="23"/>
        <v>10</v>
      </c>
      <c r="P723" t="str">
        <f t="shared" si="24"/>
        <v>10K</v>
      </c>
    </row>
    <row r="724" spans="1:16" x14ac:dyDescent="0.35">
      <c r="A724">
        <v>2001</v>
      </c>
      <c r="B724" s="7" t="s">
        <v>35</v>
      </c>
      <c r="J724" s="12">
        <v>32255.84</v>
      </c>
      <c r="K724" s="5">
        <f t="shared" si="23"/>
        <v>30</v>
      </c>
      <c r="P724" t="str">
        <f t="shared" si="24"/>
        <v>30K</v>
      </c>
    </row>
    <row r="725" spans="1:16" x14ac:dyDescent="0.35">
      <c r="A725">
        <v>2010</v>
      </c>
      <c r="B725" s="6" t="s">
        <v>10</v>
      </c>
      <c r="J725" s="13">
        <v>35593.06</v>
      </c>
      <c r="K725" s="5">
        <f t="shared" si="23"/>
        <v>40</v>
      </c>
      <c r="P725" t="str">
        <f t="shared" si="24"/>
        <v>40K</v>
      </c>
    </row>
    <row r="726" spans="1:16" x14ac:dyDescent="0.35">
      <c r="A726">
        <v>2009</v>
      </c>
      <c r="B726" s="7" t="s">
        <v>25</v>
      </c>
      <c r="J726" s="12">
        <v>58465.58</v>
      </c>
      <c r="K726" s="5">
        <f t="shared" si="23"/>
        <v>60</v>
      </c>
      <c r="P726" t="str">
        <f t="shared" si="24"/>
        <v>60K</v>
      </c>
    </row>
    <row r="727" spans="1:16" x14ac:dyDescent="0.35">
      <c r="A727">
        <v>2020</v>
      </c>
      <c r="B727" s="6" t="s">
        <v>25</v>
      </c>
      <c r="J727" s="13">
        <v>31455.83</v>
      </c>
      <c r="K727" s="5">
        <f t="shared" si="23"/>
        <v>30</v>
      </c>
      <c r="P727" t="str">
        <f t="shared" si="24"/>
        <v>30K</v>
      </c>
    </row>
    <row r="728" spans="1:16" x14ac:dyDescent="0.35">
      <c r="A728">
        <v>2013</v>
      </c>
      <c r="B728" s="7" t="s">
        <v>20</v>
      </c>
      <c r="J728" s="12">
        <v>14086.62</v>
      </c>
      <c r="K728" s="5">
        <f t="shared" si="23"/>
        <v>10</v>
      </c>
      <c r="P728" t="str">
        <f t="shared" si="24"/>
        <v>10K</v>
      </c>
    </row>
    <row r="729" spans="1:16" x14ac:dyDescent="0.35">
      <c r="A729">
        <v>2006</v>
      </c>
      <c r="B729" s="6" t="s">
        <v>20</v>
      </c>
      <c r="J729" s="13">
        <v>20661.39</v>
      </c>
      <c r="K729" s="5">
        <f t="shared" si="23"/>
        <v>20</v>
      </c>
      <c r="P729" t="str">
        <f t="shared" si="24"/>
        <v>20K</v>
      </c>
    </row>
    <row r="730" spans="1:16" x14ac:dyDescent="0.35">
      <c r="A730">
        <v>2001</v>
      </c>
      <c r="B730" s="7" t="s">
        <v>10</v>
      </c>
      <c r="J730" s="12">
        <v>21525.040000000001</v>
      </c>
      <c r="K730" s="5">
        <f t="shared" si="23"/>
        <v>20</v>
      </c>
      <c r="P730" t="str">
        <f t="shared" si="24"/>
        <v>20K</v>
      </c>
    </row>
    <row r="731" spans="1:16" x14ac:dyDescent="0.35">
      <c r="A731">
        <v>2008</v>
      </c>
      <c r="B731" s="6" t="s">
        <v>29</v>
      </c>
      <c r="J731" s="13">
        <v>85056.02</v>
      </c>
      <c r="K731" s="5">
        <f t="shared" si="23"/>
        <v>90</v>
      </c>
      <c r="P731" t="str">
        <f t="shared" si="24"/>
        <v>90K</v>
      </c>
    </row>
    <row r="732" spans="1:16" x14ac:dyDescent="0.35">
      <c r="A732">
        <v>2015</v>
      </c>
      <c r="B732" s="7" t="s">
        <v>10</v>
      </c>
      <c r="J732" s="12">
        <v>32010.37</v>
      </c>
      <c r="K732" s="5">
        <f t="shared" si="23"/>
        <v>30</v>
      </c>
      <c r="P732" t="str">
        <f t="shared" si="24"/>
        <v>30K</v>
      </c>
    </row>
    <row r="733" spans="1:16" x14ac:dyDescent="0.35">
      <c r="A733">
        <v>2012</v>
      </c>
      <c r="B733" s="6" t="s">
        <v>20</v>
      </c>
      <c r="J733" s="13">
        <v>72895.710000000006</v>
      </c>
      <c r="K733" s="5">
        <f t="shared" si="23"/>
        <v>70</v>
      </c>
      <c r="P733" t="str">
        <f t="shared" si="24"/>
        <v>70K</v>
      </c>
    </row>
    <row r="734" spans="1:16" x14ac:dyDescent="0.35">
      <c r="A734">
        <v>2008</v>
      </c>
      <c r="B734" s="7" t="s">
        <v>25</v>
      </c>
      <c r="J734" s="12">
        <v>58944.68</v>
      </c>
      <c r="K734" s="5">
        <f t="shared" si="23"/>
        <v>60</v>
      </c>
      <c r="P734" t="str">
        <f t="shared" si="24"/>
        <v>60K</v>
      </c>
    </row>
    <row r="735" spans="1:16" x14ac:dyDescent="0.35">
      <c r="A735">
        <v>2019</v>
      </c>
      <c r="B735" s="6" t="s">
        <v>23</v>
      </c>
      <c r="J735" s="13">
        <v>97818.68</v>
      </c>
      <c r="K735" s="5">
        <f t="shared" si="23"/>
        <v>100</v>
      </c>
      <c r="P735" t="str">
        <f t="shared" si="24"/>
        <v>100K</v>
      </c>
    </row>
    <row r="736" spans="1:16" x14ac:dyDescent="0.35">
      <c r="A736">
        <v>2003</v>
      </c>
      <c r="B736" s="7" t="s">
        <v>10</v>
      </c>
      <c r="J736" s="12">
        <v>30918.15</v>
      </c>
      <c r="K736" s="5">
        <f t="shared" si="23"/>
        <v>30</v>
      </c>
      <c r="P736" t="str">
        <f t="shared" si="24"/>
        <v>30K</v>
      </c>
    </row>
    <row r="737" spans="1:16" x14ac:dyDescent="0.35">
      <c r="A737">
        <v>2021</v>
      </c>
      <c r="B737" s="6" t="s">
        <v>25</v>
      </c>
      <c r="J737" s="13">
        <v>20045.439999999999</v>
      </c>
      <c r="K737" s="5">
        <f t="shared" si="23"/>
        <v>20</v>
      </c>
      <c r="P737" t="str">
        <f t="shared" si="24"/>
        <v>20K</v>
      </c>
    </row>
    <row r="738" spans="1:16" x14ac:dyDescent="0.35">
      <c r="A738">
        <v>2009</v>
      </c>
      <c r="B738" s="7" t="s">
        <v>23</v>
      </c>
      <c r="J738" s="12">
        <v>9943.59</v>
      </c>
      <c r="K738" s="5">
        <f t="shared" si="23"/>
        <v>10</v>
      </c>
      <c r="P738" t="str">
        <f t="shared" si="24"/>
        <v>10K</v>
      </c>
    </row>
    <row r="739" spans="1:16" x14ac:dyDescent="0.35">
      <c r="A739">
        <v>2021</v>
      </c>
      <c r="B739" s="6" t="s">
        <v>23</v>
      </c>
      <c r="J739" s="13">
        <v>27891.17</v>
      </c>
      <c r="K739" s="5">
        <f t="shared" si="23"/>
        <v>30</v>
      </c>
      <c r="P739" t="str">
        <f t="shared" si="24"/>
        <v>30K</v>
      </c>
    </row>
    <row r="740" spans="1:16" x14ac:dyDescent="0.35">
      <c r="A740">
        <v>2011</v>
      </c>
      <c r="B740" s="7" t="s">
        <v>20</v>
      </c>
      <c r="J740" s="12">
        <v>69986.73</v>
      </c>
      <c r="K740" s="5">
        <f t="shared" si="23"/>
        <v>70</v>
      </c>
      <c r="P740" t="str">
        <f t="shared" si="24"/>
        <v>70K</v>
      </c>
    </row>
    <row r="741" spans="1:16" x14ac:dyDescent="0.35">
      <c r="A741">
        <v>2016</v>
      </c>
      <c r="B741" s="6" t="s">
        <v>10</v>
      </c>
      <c r="J741" s="13">
        <v>13099.53</v>
      </c>
      <c r="K741" s="5">
        <f t="shared" si="23"/>
        <v>10</v>
      </c>
      <c r="P741" t="str">
        <f t="shared" si="24"/>
        <v>10K</v>
      </c>
    </row>
    <row r="742" spans="1:16" x14ac:dyDescent="0.35">
      <c r="A742">
        <v>2013</v>
      </c>
      <c r="B742" s="7" t="s">
        <v>27</v>
      </c>
      <c r="J742" s="12">
        <v>28246.68</v>
      </c>
      <c r="K742" s="5">
        <f t="shared" si="23"/>
        <v>30</v>
      </c>
      <c r="P742" t="str">
        <f t="shared" si="24"/>
        <v>30K</v>
      </c>
    </row>
    <row r="743" spans="1:16" x14ac:dyDescent="0.35">
      <c r="A743">
        <v>2013</v>
      </c>
      <c r="B743" s="6" t="s">
        <v>35</v>
      </c>
      <c r="J743" s="13">
        <v>86254.29</v>
      </c>
      <c r="K743" s="5">
        <f t="shared" si="23"/>
        <v>90</v>
      </c>
      <c r="P743" t="str">
        <f t="shared" si="24"/>
        <v>90K</v>
      </c>
    </row>
    <row r="744" spans="1:16" x14ac:dyDescent="0.35">
      <c r="A744">
        <v>2001</v>
      </c>
      <c r="B744" s="7" t="s">
        <v>20</v>
      </c>
      <c r="J744" s="12">
        <v>60380.53</v>
      </c>
      <c r="K744" s="5">
        <f t="shared" si="23"/>
        <v>60</v>
      </c>
      <c r="P744" t="str">
        <f t="shared" si="24"/>
        <v>60K</v>
      </c>
    </row>
    <row r="745" spans="1:16" x14ac:dyDescent="0.35">
      <c r="A745">
        <v>2020</v>
      </c>
      <c r="B745" s="6" t="s">
        <v>20</v>
      </c>
      <c r="J745" s="13">
        <v>11604.55</v>
      </c>
      <c r="K745" s="5">
        <f t="shared" si="23"/>
        <v>10</v>
      </c>
      <c r="P745" t="str">
        <f t="shared" si="24"/>
        <v>10K</v>
      </c>
    </row>
    <row r="746" spans="1:16" x14ac:dyDescent="0.35">
      <c r="A746">
        <v>2019</v>
      </c>
      <c r="B746" s="7" t="s">
        <v>27</v>
      </c>
      <c r="J746" s="12">
        <v>9529.9</v>
      </c>
      <c r="K746" s="5">
        <f t="shared" si="23"/>
        <v>10</v>
      </c>
      <c r="P746" t="str">
        <f t="shared" si="24"/>
        <v>10K</v>
      </c>
    </row>
    <row r="747" spans="1:16" x14ac:dyDescent="0.35">
      <c r="A747">
        <v>2010</v>
      </c>
      <c r="B747" s="6" t="s">
        <v>35</v>
      </c>
      <c r="J747" s="13">
        <v>10806.67</v>
      </c>
      <c r="K747" s="5">
        <f t="shared" si="23"/>
        <v>10</v>
      </c>
      <c r="P747" t="str">
        <f t="shared" si="24"/>
        <v>10K</v>
      </c>
    </row>
    <row r="748" spans="1:16" x14ac:dyDescent="0.35">
      <c r="A748">
        <v>2015</v>
      </c>
      <c r="B748" s="7" t="s">
        <v>25</v>
      </c>
      <c r="J748" s="12">
        <v>94478.13</v>
      </c>
      <c r="K748" s="5">
        <f t="shared" si="23"/>
        <v>90</v>
      </c>
      <c r="P748" t="str">
        <f t="shared" si="24"/>
        <v>90K</v>
      </c>
    </row>
    <row r="749" spans="1:16" x14ac:dyDescent="0.35">
      <c r="A749">
        <v>2018</v>
      </c>
      <c r="B749" s="6" t="s">
        <v>29</v>
      </c>
      <c r="J749" s="13">
        <v>85737.79</v>
      </c>
      <c r="K749" s="5">
        <f t="shared" si="23"/>
        <v>90</v>
      </c>
      <c r="P749" t="str">
        <f t="shared" si="24"/>
        <v>90K</v>
      </c>
    </row>
    <row r="750" spans="1:16" x14ac:dyDescent="0.35">
      <c r="A750">
        <v>2022</v>
      </c>
      <c r="B750" s="7" t="s">
        <v>10</v>
      </c>
      <c r="J750" s="12">
        <v>85269.3</v>
      </c>
      <c r="K750" s="5">
        <f t="shared" si="23"/>
        <v>90</v>
      </c>
      <c r="P750" t="str">
        <f t="shared" si="24"/>
        <v>90K</v>
      </c>
    </row>
    <row r="751" spans="1:16" x14ac:dyDescent="0.35">
      <c r="A751">
        <v>2005</v>
      </c>
      <c r="B751" s="6" t="s">
        <v>29</v>
      </c>
      <c r="J751" s="13">
        <v>92800.59</v>
      </c>
      <c r="K751" s="5">
        <f t="shared" si="23"/>
        <v>90</v>
      </c>
      <c r="P751" t="str">
        <f t="shared" si="24"/>
        <v>90K</v>
      </c>
    </row>
    <row r="752" spans="1:16" x14ac:dyDescent="0.35">
      <c r="A752">
        <v>2023</v>
      </c>
      <c r="B752" s="7" t="s">
        <v>25</v>
      </c>
      <c r="J752" s="12">
        <v>52999.26</v>
      </c>
      <c r="K752" s="5">
        <f t="shared" si="23"/>
        <v>50</v>
      </c>
      <c r="P752" t="str">
        <f t="shared" si="24"/>
        <v>50K</v>
      </c>
    </row>
    <row r="753" spans="1:16" x14ac:dyDescent="0.35">
      <c r="A753">
        <v>2018</v>
      </c>
      <c r="B753" s="6" t="s">
        <v>20</v>
      </c>
      <c r="J753" s="13">
        <v>28497.74</v>
      </c>
      <c r="K753" s="5">
        <f t="shared" si="23"/>
        <v>30</v>
      </c>
      <c r="P753" t="str">
        <f t="shared" si="24"/>
        <v>30K</v>
      </c>
    </row>
    <row r="754" spans="1:16" x14ac:dyDescent="0.35">
      <c r="A754">
        <v>2004</v>
      </c>
      <c r="B754" s="7" t="s">
        <v>35</v>
      </c>
      <c r="J754" s="12">
        <v>43128.06</v>
      </c>
      <c r="K754" s="5">
        <f t="shared" si="23"/>
        <v>40</v>
      </c>
      <c r="P754" t="str">
        <f t="shared" si="24"/>
        <v>40K</v>
      </c>
    </row>
    <row r="755" spans="1:16" x14ac:dyDescent="0.35">
      <c r="A755">
        <v>2003</v>
      </c>
      <c r="B755" s="6" t="s">
        <v>20</v>
      </c>
      <c r="J755" s="13">
        <v>73292.09</v>
      </c>
      <c r="K755" s="5">
        <f t="shared" si="23"/>
        <v>70</v>
      </c>
      <c r="P755" t="str">
        <f t="shared" si="24"/>
        <v>70K</v>
      </c>
    </row>
    <row r="756" spans="1:16" x14ac:dyDescent="0.35">
      <c r="A756">
        <v>2014</v>
      </c>
      <c r="B756" s="7" t="s">
        <v>23</v>
      </c>
      <c r="J756" s="12">
        <v>88223.12</v>
      </c>
      <c r="K756" s="5">
        <f t="shared" si="23"/>
        <v>90</v>
      </c>
      <c r="P756" t="str">
        <f t="shared" si="24"/>
        <v>90K</v>
      </c>
    </row>
    <row r="757" spans="1:16" x14ac:dyDescent="0.35">
      <c r="A757">
        <v>2003</v>
      </c>
      <c r="B757" s="6" t="s">
        <v>20</v>
      </c>
      <c r="J757" s="13">
        <v>46333.64</v>
      </c>
      <c r="K757" s="5">
        <f t="shared" si="23"/>
        <v>50</v>
      </c>
      <c r="P757" t="str">
        <f t="shared" si="24"/>
        <v>50K</v>
      </c>
    </row>
    <row r="758" spans="1:16" x14ac:dyDescent="0.35">
      <c r="A758">
        <v>2019</v>
      </c>
      <c r="B758" s="7" t="s">
        <v>20</v>
      </c>
      <c r="J758" s="12">
        <v>55861.19</v>
      </c>
      <c r="K758" s="5">
        <f t="shared" si="23"/>
        <v>60</v>
      </c>
      <c r="P758" t="str">
        <f t="shared" si="24"/>
        <v>60K</v>
      </c>
    </row>
    <row r="759" spans="1:16" x14ac:dyDescent="0.35">
      <c r="A759">
        <v>2009</v>
      </c>
      <c r="B759" s="6" t="s">
        <v>25</v>
      </c>
      <c r="J759" s="13">
        <v>93519.38</v>
      </c>
      <c r="K759" s="5">
        <f t="shared" si="23"/>
        <v>90</v>
      </c>
      <c r="P759" t="str">
        <f t="shared" si="24"/>
        <v>90K</v>
      </c>
    </row>
    <row r="760" spans="1:16" x14ac:dyDescent="0.35">
      <c r="A760">
        <v>2023</v>
      </c>
      <c r="B760" s="7" t="s">
        <v>25</v>
      </c>
      <c r="J760" s="12">
        <v>15212.37</v>
      </c>
      <c r="K760" s="5">
        <f t="shared" si="23"/>
        <v>20</v>
      </c>
      <c r="P760" t="str">
        <f t="shared" si="24"/>
        <v>20K</v>
      </c>
    </row>
    <row r="761" spans="1:16" x14ac:dyDescent="0.35">
      <c r="A761">
        <v>2021</v>
      </c>
      <c r="B761" s="6" t="s">
        <v>25</v>
      </c>
      <c r="J761" s="13">
        <v>86918.43</v>
      </c>
      <c r="K761" s="5">
        <f t="shared" si="23"/>
        <v>90</v>
      </c>
      <c r="P761" t="str">
        <f t="shared" si="24"/>
        <v>90K</v>
      </c>
    </row>
    <row r="762" spans="1:16" x14ac:dyDescent="0.35">
      <c r="A762">
        <v>2002</v>
      </c>
      <c r="B762" s="7" t="s">
        <v>29</v>
      </c>
      <c r="J762" s="12">
        <v>20134.21</v>
      </c>
      <c r="K762" s="5">
        <f t="shared" si="23"/>
        <v>20</v>
      </c>
      <c r="P762" t="str">
        <f t="shared" si="24"/>
        <v>20K</v>
      </c>
    </row>
    <row r="763" spans="1:16" x14ac:dyDescent="0.35">
      <c r="A763">
        <v>2004</v>
      </c>
      <c r="B763" s="6" t="s">
        <v>23</v>
      </c>
      <c r="J763" s="13">
        <v>50966.83</v>
      </c>
      <c r="K763" s="5">
        <f t="shared" si="23"/>
        <v>50</v>
      </c>
      <c r="P763" t="str">
        <f t="shared" si="24"/>
        <v>50K</v>
      </c>
    </row>
    <row r="764" spans="1:16" x14ac:dyDescent="0.35">
      <c r="A764">
        <v>2005</v>
      </c>
      <c r="B764" s="7" t="s">
        <v>25</v>
      </c>
      <c r="J764" s="12">
        <v>25750.2</v>
      </c>
      <c r="K764" s="5">
        <f t="shared" si="23"/>
        <v>30</v>
      </c>
      <c r="P764" t="str">
        <f t="shared" si="24"/>
        <v>30K</v>
      </c>
    </row>
    <row r="765" spans="1:16" x14ac:dyDescent="0.35">
      <c r="A765">
        <v>2020</v>
      </c>
      <c r="B765" s="6" t="s">
        <v>35</v>
      </c>
      <c r="J765" s="13">
        <v>62280.02</v>
      </c>
      <c r="K765" s="5">
        <f t="shared" si="23"/>
        <v>60</v>
      </c>
      <c r="P765" t="str">
        <f t="shared" si="24"/>
        <v>60K</v>
      </c>
    </row>
    <row r="766" spans="1:16" x14ac:dyDescent="0.35">
      <c r="A766">
        <v>2021</v>
      </c>
      <c r="B766" s="7" t="s">
        <v>29</v>
      </c>
      <c r="J766" s="12">
        <v>58064.480000000003</v>
      </c>
      <c r="K766" s="5">
        <f t="shared" si="23"/>
        <v>60</v>
      </c>
      <c r="P766" t="str">
        <f t="shared" si="24"/>
        <v>60K</v>
      </c>
    </row>
    <row r="767" spans="1:16" x14ac:dyDescent="0.35">
      <c r="A767">
        <v>2007</v>
      </c>
      <c r="B767" s="6" t="s">
        <v>27</v>
      </c>
      <c r="J767" s="13">
        <v>41100.699999999997</v>
      </c>
      <c r="K767" s="5">
        <f t="shared" si="23"/>
        <v>40</v>
      </c>
      <c r="P767" t="str">
        <f t="shared" si="24"/>
        <v>40K</v>
      </c>
    </row>
    <row r="768" spans="1:16" x14ac:dyDescent="0.35">
      <c r="A768">
        <v>2006</v>
      </c>
      <c r="B768" s="7" t="s">
        <v>35</v>
      </c>
      <c r="J768" s="12">
        <v>87013.83</v>
      </c>
      <c r="K768" s="5">
        <f t="shared" si="23"/>
        <v>90</v>
      </c>
      <c r="P768" t="str">
        <f t="shared" si="24"/>
        <v>90K</v>
      </c>
    </row>
    <row r="769" spans="1:16" x14ac:dyDescent="0.35">
      <c r="A769">
        <v>2020</v>
      </c>
      <c r="B769" s="6" t="s">
        <v>10</v>
      </c>
      <c r="J769" s="13">
        <v>67682.27</v>
      </c>
      <c r="K769" s="5">
        <f t="shared" si="23"/>
        <v>70</v>
      </c>
      <c r="P769" t="str">
        <f t="shared" si="24"/>
        <v>70K</v>
      </c>
    </row>
    <row r="770" spans="1:16" x14ac:dyDescent="0.35">
      <c r="A770">
        <v>2009</v>
      </c>
      <c r="B770" s="7" t="s">
        <v>10</v>
      </c>
      <c r="J770" s="12">
        <v>73514.490000000005</v>
      </c>
      <c r="K770" s="5">
        <f t="shared" si="23"/>
        <v>70</v>
      </c>
      <c r="P770" t="str">
        <f t="shared" si="24"/>
        <v>70K</v>
      </c>
    </row>
    <row r="771" spans="1:16" x14ac:dyDescent="0.35">
      <c r="A771">
        <v>2005</v>
      </c>
      <c r="B771" s="6" t="s">
        <v>35</v>
      </c>
      <c r="J771" s="13">
        <v>19312.68</v>
      </c>
      <c r="K771" s="5">
        <f t="shared" ref="K771:K834" si="25">ROUND(J771/10000,0)*10</f>
        <v>20</v>
      </c>
      <c r="P771" t="str">
        <f t="shared" ref="P771:P834" si="26">TEXT(ROUND(J771/10000,0)*10,"0") &amp; "K"</f>
        <v>20K</v>
      </c>
    </row>
    <row r="772" spans="1:16" x14ac:dyDescent="0.35">
      <c r="A772">
        <v>2013</v>
      </c>
      <c r="B772" s="7" t="s">
        <v>25</v>
      </c>
      <c r="J772" s="12">
        <v>88900.74</v>
      </c>
      <c r="K772" s="5">
        <f t="shared" si="25"/>
        <v>90</v>
      </c>
      <c r="P772" t="str">
        <f t="shared" si="26"/>
        <v>90K</v>
      </c>
    </row>
    <row r="773" spans="1:16" x14ac:dyDescent="0.35">
      <c r="A773">
        <v>2003</v>
      </c>
      <c r="B773" s="6" t="s">
        <v>27</v>
      </c>
      <c r="J773" s="13">
        <v>20868.82</v>
      </c>
      <c r="K773" s="5">
        <f t="shared" si="25"/>
        <v>20</v>
      </c>
      <c r="P773" t="str">
        <f t="shared" si="26"/>
        <v>20K</v>
      </c>
    </row>
    <row r="774" spans="1:16" x14ac:dyDescent="0.35">
      <c r="A774">
        <v>2012</v>
      </c>
      <c r="B774" s="7" t="s">
        <v>27</v>
      </c>
      <c r="J774" s="12">
        <v>26164.57</v>
      </c>
      <c r="K774" s="5">
        <f t="shared" si="25"/>
        <v>30</v>
      </c>
      <c r="P774" t="str">
        <f t="shared" si="26"/>
        <v>30K</v>
      </c>
    </row>
    <row r="775" spans="1:16" x14ac:dyDescent="0.35">
      <c r="A775">
        <v>2019</v>
      </c>
      <c r="B775" s="6" t="s">
        <v>29</v>
      </c>
      <c r="J775" s="13">
        <v>17165.240000000002</v>
      </c>
      <c r="K775" s="5">
        <f t="shared" si="25"/>
        <v>20</v>
      </c>
      <c r="P775" t="str">
        <f t="shared" si="26"/>
        <v>20K</v>
      </c>
    </row>
    <row r="776" spans="1:16" x14ac:dyDescent="0.35">
      <c r="A776">
        <v>2016</v>
      </c>
      <c r="B776" s="7" t="s">
        <v>27</v>
      </c>
      <c r="J776" s="12">
        <v>46834.12</v>
      </c>
      <c r="K776" s="5">
        <f t="shared" si="25"/>
        <v>50</v>
      </c>
      <c r="P776" t="str">
        <f t="shared" si="26"/>
        <v>50K</v>
      </c>
    </row>
    <row r="777" spans="1:16" x14ac:dyDescent="0.35">
      <c r="A777">
        <v>2022</v>
      </c>
      <c r="B777" s="6" t="s">
        <v>10</v>
      </c>
      <c r="J777" s="13">
        <v>89332.38</v>
      </c>
      <c r="K777" s="5">
        <f t="shared" si="25"/>
        <v>90</v>
      </c>
      <c r="P777" t="str">
        <f t="shared" si="26"/>
        <v>90K</v>
      </c>
    </row>
    <row r="778" spans="1:16" x14ac:dyDescent="0.35">
      <c r="A778">
        <v>2006</v>
      </c>
      <c r="B778" s="7" t="s">
        <v>23</v>
      </c>
      <c r="J778" s="12">
        <v>28982.51</v>
      </c>
      <c r="K778" s="5">
        <f t="shared" si="25"/>
        <v>30</v>
      </c>
      <c r="P778" t="str">
        <f t="shared" si="26"/>
        <v>30K</v>
      </c>
    </row>
    <row r="779" spans="1:16" x14ac:dyDescent="0.35">
      <c r="A779">
        <v>2003</v>
      </c>
      <c r="B779" s="6" t="s">
        <v>25</v>
      </c>
      <c r="J779" s="13">
        <v>40506.57</v>
      </c>
      <c r="K779" s="5">
        <f t="shared" si="25"/>
        <v>40</v>
      </c>
      <c r="P779" t="str">
        <f t="shared" si="26"/>
        <v>40K</v>
      </c>
    </row>
    <row r="780" spans="1:16" x14ac:dyDescent="0.35">
      <c r="A780">
        <v>2013</v>
      </c>
      <c r="B780" s="7" t="s">
        <v>27</v>
      </c>
      <c r="J780" s="12">
        <v>85376.31</v>
      </c>
      <c r="K780" s="5">
        <f t="shared" si="25"/>
        <v>90</v>
      </c>
      <c r="P780" t="str">
        <f t="shared" si="26"/>
        <v>90K</v>
      </c>
    </row>
    <row r="781" spans="1:16" x14ac:dyDescent="0.35">
      <c r="A781">
        <v>2002</v>
      </c>
      <c r="B781" s="6" t="s">
        <v>29</v>
      </c>
      <c r="J781" s="13">
        <v>63692.45</v>
      </c>
      <c r="K781" s="5">
        <f t="shared" si="25"/>
        <v>60</v>
      </c>
      <c r="P781" t="str">
        <f t="shared" si="26"/>
        <v>60K</v>
      </c>
    </row>
    <row r="782" spans="1:16" x14ac:dyDescent="0.35">
      <c r="A782">
        <v>2023</v>
      </c>
      <c r="B782" s="7" t="s">
        <v>10</v>
      </c>
      <c r="J782" s="12">
        <v>76403.56</v>
      </c>
      <c r="K782" s="5">
        <f t="shared" si="25"/>
        <v>80</v>
      </c>
      <c r="P782" t="str">
        <f t="shared" si="26"/>
        <v>80K</v>
      </c>
    </row>
    <row r="783" spans="1:16" x14ac:dyDescent="0.35">
      <c r="A783">
        <v>2004</v>
      </c>
      <c r="B783" s="6" t="s">
        <v>23</v>
      </c>
      <c r="J783" s="13">
        <v>25330</v>
      </c>
      <c r="K783" s="5">
        <f t="shared" si="25"/>
        <v>30</v>
      </c>
      <c r="P783" t="str">
        <f t="shared" si="26"/>
        <v>30K</v>
      </c>
    </row>
    <row r="784" spans="1:16" x14ac:dyDescent="0.35">
      <c r="A784">
        <v>2015</v>
      </c>
      <c r="B784" s="7" t="s">
        <v>20</v>
      </c>
      <c r="J784" s="12">
        <v>73066.539999999994</v>
      </c>
      <c r="K784" s="5">
        <f t="shared" si="25"/>
        <v>70</v>
      </c>
      <c r="P784" t="str">
        <f t="shared" si="26"/>
        <v>70K</v>
      </c>
    </row>
    <row r="785" spans="1:16" x14ac:dyDescent="0.35">
      <c r="A785">
        <v>2022</v>
      </c>
      <c r="B785" s="6" t="s">
        <v>20</v>
      </c>
      <c r="J785" s="13">
        <v>26623</v>
      </c>
      <c r="K785" s="5">
        <f t="shared" si="25"/>
        <v>30</v>
      </c>
      <c r="P785" t="str">
        <f t="shared" si="26"/>
        <v>30K</v>
      </c>
    </row>
    <row r="786" spans="1:16" x14ac:dyDescent="0.35">
      <c r="A786">
        <v>2019</v>
      </c>
      <c r="B786" s="7" t="s">
        <v>23</v>
      </c>
      <c r="J786" s="12">
        <v>98794.83</v>
      </c>
      <c r="K786" s="5">
        <f t="shared" si="25"/>
        <v>100</v>
      </c>
      <c r="P786" t="str">
        <f t="shared" si="26"/>
        <v>100K</v>
      </c>
    </row>
    <row r="787" spans="1:16" x14ac:dyDescent="0.35">
      <c r="A787">
        <v>2003</v>
      </c>
      <c r="B787" s="6" t="s">
        <v>10</v>
      </c>
      <c r="J787" s="13">
        <v>58189.18</v>
      </c>
      <c r="K787" s="5">
        <f t="shared" si="25"/>
        <v>60</v>
      </c>
      <c r="P787" t="str">
        <f t="shared" si="26"/>
        <v>60K</v>
      </c>
    </row>
    <row r="788" spans="1:16" x14ac:dyDescent="0.35">
      <c r="A788">
        <v>2023</v>
      </c>
      <c r="B788" s="7" t="s">
        <v>29</v>
      </c>
      <c r="J788" s="12">
        <v>71085.73</v>
      </c>
      <c r="K788" s="5">
        <f t="shared" si="25"/>
        <v>70</v>
      </c>
      <c r="P788" t="str">
        <f t="shared" si="26"/>
        <v>70K</v>
      </c>
    </row>
    <row r="789" spans="1:16" x14ac:dyDescent="0.35">
      <c r="A789">
        <v>2023</v>
      </c>
      <c r="B789" s="6" t="s">
        <v>23</v>
      </c>
      <c r="J789" s="13">
        <v>16248.15</v>
      </c>
      <c r="K789" s="5">
        <f t="shared" si="25"/>
        <v>20</v>
      </c>
      <c r="P789" t="str">
        <f t="shared" si="26"/>
        <v>20K</v>
      </c>
    </row>
    <row r="790" spans="1:16" x14ac:dyDescent="0.35">
      <c r="A790">
        <v>2001</v>
      </c>
      <c r="B790" s="7" t="s">
        <v>25</v>
      </c>
      <c r="J790" s="12">
        <v>28812.32</v>
      </c>
      <c r="K790" s="5">
        <f t="shared" si="25"/>
        <v>30</v>
      </c>
      <c r="P790" t="str">
        <f t="shared" si="26"/>
        <v>30K</v>
      </c>
    </row>
    <row r="791" spans="1:16" x14ac:dyDescent="0.35">
      <c r="A791">
        <v>2017</v>
      </c>
      <c r="B791" s="6" t="s">
        <v>25</v>
      </c>
      <c r="J791" s="13">
        <v>18275.36</v>
      </c>
      <c r="K791" s="5">
        <f t="shared" si="25"/>
        <v>20</v>
      </c>
      <c r="P791" t="str">
        <f t="shared" si="26"/>
        <v>20K</v>
      </c>
    </row>
    <row r="792" spans="1:16" x14ac:dyDescent="0.35">
      <c r="A792">
        <v>2018</v>
      </c>
      <c r="B792" s="7" t="s">
        <v>20</v>
      </c>
      <c r="J792" s="12">
        <v>42066.22</v>
      </c>
      <c r="K792" s="5">
        <f t="shared" si="25"/>
        <v>40</v>
      </c>
      <c r="P792" t="str">
        <f t="shared" si="26"/>
        <v>40K</v>
      </c>
    </row>
    <row r="793" spans="1:16" x14ac:dyDescent="0.35">
      <c r="A793">
        <v>2018</v>
      </c>
      <c r="B793" s="6" t="s">
        <v>27</v>
      </c>
      <c r="J793" s="13">
        <v>31992.91</v>
      </c>
      <c r="K793" s="5">
        <f t="shared" si="25"/>
        <v>30</v>
      </c>
      <c r="P793" t="str">
        <f t="shared" si="26"/>
        <v>30K</v>
      </c>
    </row>
    <row r="794" spans="1:16" x14ac:dyDescent="0.35">
      <c r="A794">
        <v>2016</v>
      </c>
      <c r="B794" s="7" t="s">
        <v>29</v>
      </c>
      <c r="J794" s="12">
        <v>74627.61</v>
      </c>
      <c r="K794" s="5">
        <f t="shared" si="25"/>
        <v>70</v>
      </c>
      <c r="P794" t="str">
        <f t="shared" si="26"/>
        <v>70K</v>
      </c>
    </row>
    <row r="795" spans="1:16" x14ac:dyDescent="0.35">
      <c r="A795">
        <v>2013</v>
      </c>
      <c r="B795" s="6" t="s">
        <v>20</v>
      </c>
      <c r="J795" s="13">
        <v>15327.35</v>
      </c>
      <c r="K795" s="5">
        <f t="shared" si="25"/>
        <v>20</v>
      </c>
      <c r="P795" t="str">
        <f t="shared" si="26"/>
        <v>20K</v>
      </c>
    </row>
    <row r="796" spans="1:16" x14ac:dyDescent="0.35">
      <c r="A796">
        <v>2018</v>
      </c>
      <c r="B796" s="7" t="s">
        <v>27</v>
      </c>
      <c r="J796" s="12">
        <v>76445.64</v>
      </c>
      <c r="K796" s="5">
        <f t="shared" si="25"/>
        <v>80</v>
      </c>
      <c r="P796" t="str">
        <f t="shared" si="26"/>
        <v>80K</v>
      </c>
    </row>
    <row r="797" spans="1:16" x14ac:dyDescent="0.35">
      <c r="A797">
        <v>2021</v>
      </c>
      <c r="B797" s="6" t="s">
        <v>27</v>
      </c>
      <c r="J797" s="13">
        <v>9341.9599999999991</v>
      </c>
      <c r="K797" s="5">
        <f t="shared" si="25"/>
        <v>10</v>
      </c>
      <c r="P797" t="str">
        <f t="shared" si="26"/>
        <v>10K</v>
      </c>
    </row>
    <row r="798" spans="1:16" x14ac:dyDescent="0.35">
      <c r="A798">
        <v>2023</v>
      </c>
      <c r="B798" s="7" t="s">
        <v>25</v>
      </c>
      <c r="J798" s="12">
        <v>24191.69</v>
      </c>
      <c r="K798" s="5">
        <f t="shared" si="25"/>
        <v>20</v>
      </c>
      <c r="P798" t="str">
        <f t="shared" si="26"/>
        <v>20K</v>
      </c>
    </row>
    <row r="799" spans="1:16" x14ac:dyDescent="0.35">
      <c r="A799">
        <v>2012</v>
      </c>
      <c r="B799" s="6" t="s">
        <v>10</v>
      </c>
      <c r="J799" s="13">
        <v>80236.67</v>
      </c>
      <c r="K799" s="5">
        <f t="shared" si="25"/>
        <v>80</v>
      </c>
      <c r="P799" t="str">
        <f t="shared" si="26"/>
        <v>80K</v>
      </c>
    </row>
    <row r="800" spans="1:16" x14ac:dyDescent="0.35">
      <c r="A800">
        <v>2011</v>
      </c>
      <c r="B800" s="7" t="s">
        <v>35</v>
      </c>
      <c r="J800" s="12">
        <v>75563.78</v>
      </c>
      <c r="K800" s="5">
        <f t="shared" si="25"/>
        <v>80</v>
      </c>
      <c r="P800" t="str">
        <f t="shared" si="26"/>
        <v>80K</v>
      </c>
    </row>
    <row r="801" spans="1:16" x14ac:dyDescent="0.35">
      <c r="A801">
        <v>2005</v>
      </c>
      <c r="B801" s="6" t="s">
        <v>10</v>
      </c>
      <c r="J801" s="13">
        <v>50250.98</v>
      </c>
      <c r="K801" s="5">
        <f t="shared" si="25"/>
        <v>50</v>
      </c>
      <c r="P801" t="str">
        <f t="shared" si="26"/>
        <v>50K</v>
      </c>
    </row>
    <row r="802" spans="1:16" x14ac:dyDescent="0.35">
      <c r="A802">
        <v>2020</v>
      </c>
      <c r="B802" s="7" t="s">
        <v>35</v>
      </c>
      <c r="J802" s="12">
        <v>9748.36</v>
      </c>
      <c r="K802" s="5">
        <f t="shared" si="25"/>
        <v>10</v>
      </c>
      <c r="P802" t="str">
        <f t="shared" si="26"/>
        <v>10K</v>
      </c>
    </row>
    <row r="803" spans="1:16" x14ac:dyDescent="0.35">
      <c r="A803">
        <v>2003</v>
      </c>
      <c r="B803" s="6" t="s">
        <v>23</v>
      </c>
      <c r="J803" s="13">
        <v>62939.91</v>
      </c>
      <c r="K803" s="5">
        <f t="shared" si="25"/>
        <v>60</v>
      </c>
      <c r="P803" t="str">
        <f t="shared" si="26"/>
        <v>60K</v>
      </c>
    </row>
    <row r="804" spans="1:16" x14ac:dyDescent="0.35">
      <c r="A804">
        <v>2018</v>
      </c>
      <c r="B804" s="7" t="s">
        <v>25</v>
      </c>
      <c r="J804" s="12">
        <v>43638.79</v>
      </c>
      <c r="K804" s="5">
        <f t="shared" si="25"/>
        <v>40</v>
      </c>
      <c r="P804" t="str">
        <f t="shared" si="26"/>
        <v>40K</v>
      </c>
    </row>
    <row r="805" spans="1:16" x14ac:dyDescent="0.35">
      <c r="A805">
        <v>2015</v>
      </c>
      <c r="B805" s="6" t="s">
        <v>27</v>
      </c>
      <c r="J805" s="13">
        <v>35070.17</v>
      </c>
      <c r="K805" s="5">
        <f t="shared" si="25"/>
        <v>40</v>
      </c>
      <c r="P805" t="str">
        <f t="shared" si="26"/>
        <v>40K</v>
      </c>
    </row>
    <row r="806" spans="1:16" x14ac:dyDescent="0.35">
      <c r="A806">
        <v>2012</v>
      </c>
      <c r="B806" s="7" t="s">
        <v>29</v>
      </c>
      <c r="J806" s="12">
        <v>65839.009999999995</v>
      </c>
      <c r="K806" s="5">
        <f t="shared" si="25"/>
        <v>70</v>
      </c>
      <c r="P806" t="str">
        <f t="shared" si="26"/>
        <v>70K</v>
      </c>
    </row>
    <row r="807" spans="1:16" x14ac:dyDescent="0.35">
      <c r="A807">
        <v>2003</v>
      </c>
      <c r="B807" s="6" t="s">
        <v>35</v>
      </c>
      <c r="J807" s="13">
        <v>46478.38</v>
      </c>
      <c r="K807" s="5">
        <f t="shared" si="25"/>
        <v>50</v>
      </c>
      <c r="P807" t="str">
        <f t="shared" si="26"/>
        <v>50K</v>
      </c>
    </row>
    <row r="808" spans="1:16" x14ac:dyDescent="0.35">
      <c r="A808">
        <v>2022</v>
      </c>
      <c r="B808" s="7" t="s">
        <v>10</v>
      </c>
      <c r="J808" s="12">
        <v>13780</v>
      </c>
      <c r="K808" s="5">
        <f t="shared" si="25"/>
        <v>10</v>
      </c>
      <c r="P808" t="str">
        <f t="shared" si="26"/>
        <v>10K</v>
      </c>
    </row>
    <row r="809" spans="1:16" x14ac:dyDescent="0.35">
      <c r="A809">
        <v>2016</v>
      </c>
      <c r="B809" s="6" t="s">
        <v>27</v>
      </c>
      <c r="J809" s="13">
        <v>92015.29</v>
      </c>
      <c r="K809" s="5">
        <f t="shared" si="25"/>
        <v>90</v>
      </c>
      <c r="P809" t="str">
        <f t="shared" si="26"/>
        <v>90K</v>
      </c>
    </row>
    <row r="810" spans="1:16" x14ac:dyDescent="0.35">
      <c r="A810">
        <v>2022</v>
      </c>
      <c r="B810" s="7" t="s">
        <v>35</v>
      </c>
      <c r="J810" s="12">
        <v>78956.84</v>
      </c>
      <c r="K810" s="5">
        <f t="shared" si="25"/>
        <v>80</v>
      </c>
      <c r="P810" t="str">
        <f t="shared" si="26"/>
        <v>80K</v>
      </c>
    </row>
    <row r="811" spans="1:16" x14ac:dyDescent="0.35">
      <c r="A811">
        <v>2000</v>
      </c>
      <c r="B811" s="6" t="s">
        <v>35</v>
      </c>
      <c r="J811" s="13">
        <v>10355.93</v>
      </c>
      <c r="K811" s="5">
        <f t="shared" si="25"/>
        <v>10</v>
      </c>
      <c r="P811" t="str">
        <f t="shared" si="26"/>
        <v>10K</v>
      </c>
    </row>
    <row r="812" spans="1:16" x14ac:dyDescent="0.35">
      <c r="A812">
        <v>2017</v>
      </c>
      <c r="B812" s="7" t="s">
        <v>35</v>
      </c>
      <c r="J812" s="12">
        <v>54881.07</v>
      </c>
      <c r="K812" s="5">
        <f t="shared" si="25"/>
        <v>50</v>
      </c>
      <c r="P812" t="str">
        <f t="shared" si="26"/>
        <v>50K</v>
      </c>
    </row>
    <row r="813" spans="1:16" x14ac:dyDescent="0.35">
      <c r="A813">
        <v>2019</v>
      </c>
      <c r="B813" s="6" t="s">
        <v>29</v>
      </c>
      <c r="J813" s="13">
        <v>12920.87</v>
      </c>
      <c r="K813" s="5">
        <f t="shared" si="25"/>
        <v>10</v>
      </c>
      <c r="P813" t="str">
        <f t="shared" si="26"/>
        <v>10K</v>
      </c>
    </row>
    <row r="814" spans="1:16" x14ac:dyDescent="0.35">
      <c r="A814">
        <v>2016</v>
      </c>
      <c r="B814" s="7" t="s">
        <v>25</v>
      </c>
      <c r="J814" s="12">
        <v>84542.54</v>
      </c>
      <c r="K814" s="5">
        <f t="shared" si="25"/>
        <v>80</v>
      </c>
      <c r="P814" t="str">
        <f t="shared" si="26"/>
        <v>80K</v>
      </c>
    </row>
    <row r="815" spans="1:16" x14ac:dyDescent="0.35">
      <c r="A815">
        <v>2014</v>
      </c>
      <c r="B815" s="6" t="s">
        <v>29</v>
      </c>
      <c r="J815" s="13">
        <v>63236.33</v>
      </c>
      <c r="K815" s="5">
        <f t="shared" si="25"/>
        <v>60</v>
      </c>
      <c r="P815" t="str">
        <f t="shared" si="26"/>
        <v>60K</v>
      </c>
    </row>
    <row r="816" spans="1:16" x14ac:dyDescent="0.35">
      <c r="A816">
        <v>2010</v>
      </c>
      <c r="B816" s="7" t="s">
        <v>20</v>
      </c>
      <c r="J816" s="12">
        <v>21382.67</v>
      </c>
      <c r="K816" s="5">
        <f t="shared" si="25"/>
        <v>20</v>
      </c>
      <c r="P816" t="str">
        <f t="shared" si="26"/>
        <v>20K</v>
      </c>
    </row>
    <row r="817" spans="1:16" x14ac:dyDescent="0.35">
      <c r="A817">
        <v>2021</v>
      </c>
      <c r="B817" s="6" t="s">
        <v>27</v>
      </c>
      <c r="J817" s="13">
        <v>6970.43</v>
      </c>
      <c r="K817" s="5">
        <f t="shared" si="25"/>
        <v>10</v>
      </c>
      <c r="P817" t="str">
        <f t="shared" si="26"/>
        <v>10K</v>
      </c>
    </row>
    <row r="818" spans="1:16" x14ac:dyDescent="0.35">
      <c r="A818">
        <v>2012</v>
      </c>
      <c r="B818" s="7" t="s">
        <v>25</v>
      </c>
      <c r="J818" s="12">
        <v>8000.2</v>
      </c>
      <c r="K818" s="5">
        <f t="shared" si="25"/>
        <v>10</v>
      </c>
      <c r="P818" t="str">
        <f t="shared" si="26"/>
        <v>10K</v>
      </c>
    </row>
    <row r="819" spans="1:16" x14ac:dyDescent="0.35">
      <c r="A819">
        <v>2000</v>
      </c>
      <c r="B819" s="6" t="s">
        <v>25</v>
      </c>
      <c r="J819" s="13">
        <v>53199.72</v>
      </c>
      <c r="K819" s="5">
        <f t="shared" si="25"/>
        <v>50</v>
      </c>
      <c r="P819" t="str">
        <f t="shared" si="26"/>
        <v>50K</v>
      </c>
    </row>
    <row r="820" spans="1:16" x14ac:dyDescent="0.35">
      <c r="A820">
        <v>2016</v>
      </c>
      <c r="B820" s="7" t="s">
        <v>25</v>
      </c>
      <c r="J820" s="12">
        <v>74765.48</v>
      </c>
      <c r="K820" s="5">
        <f t="shared" si="25"/>
        <v>70</v>
      </c>
      <c r="P820" t="str">
        <f t="shared" si="26"/>
        <v>70K</v>
      </c>
    </row>
    <row r="821" spans="1:16" x14ac:dyDescent="0.35">
      <c r="A821">
        <v>2005</v>
      </c>
      <c r="B821" s="6" t="s">
        <v>10</v>
      </c>
      <c r="J821" s="13">
        <v>16479.84</v>
      </c>
      <c r="K821" s="5">
        <f t="shared" si="25"/>
        <v>20</v>
      </c>
      <c r="P821" t="str">
        <f t="shared" si="26"/>
        <v>20K</v>
      </c>
    </row>
    <row r="822" spans="1:16" x14ac:dyDescent="0.35">
      <c r="A822">
        <v>2003</v>
      </c>
      <c r="B822" s="7" t="s">
        <v>25</v>
      </c>
      <c r="J822" s="12">
        <v>26021.99</v>
      </c>
      <c r="K822" s="5">
        <f t="shared" si="25"/>
        <v>30</v>
      </c>
      <c r="P822" t="str">
        <f t="shared" si="26"/>
        <v>30K</v>
      </c>
    </row>
    <row r="823" spans="1:16" x14ac:dyDescent="0.35">
      <c r="A823">
        <v>2019</v>
      </c>
      <c r="B823" s="6" t="s">
        <v>29</v>
      </c>
      <c r="J823" s="13">
        <v>36089.69</v>
      </c>
      <c r="K823" s="5">
        <f t="shared" si="25"/>
        <v>40</v>
      </c>
      <c r="P823" t="str">
        <f t="shared" si="26"/>
        <v>40K</v>
      </c>
    </row>
    <row r="824" spans="1:16" x14ac:dyDescent="0.35">
      <c r="A824">
        <v>2015</v>
      </c>
      <c r="B824" s="7" t="s">
        <v>25</v>
      </c>
      <c r="J824" s="12">
        <v>25717.29</v>
      </c>
      <c r="K824" s="5">
        <f t="shared" si="25"/>
        <v>30</v>
      </c>
      <c r="P824" t="str">
        <f t="shared" si="26"/>
        <v>30K</v>
      </c>
    </row>
    <row r="825" spans="1:16" x14ac:dyDescent="0.35">
      <c r="A825">
        <v>2014</v>
      </c>
      <c r="B825" s="6" t="s">
        <v>23</v>
      </c>
      <c r="J825" s="13">
        <v>42176.97</v>
      </c>
      <c r="K825" s="5">
        <f t="shared" si="25"/>
        <v>40</v>
      </c>
      <c r="P825" t="str">
        <f t="shared" si="26"/>
        <v>40K</v>
      </c>
    </row>
    <row r="826" spans="1:16" x14ac:dyDescent="0.35">
      <c r="A826">
        <v>2014</v>
      </c>
      <c r="B826" s="7" t="s">
        <v>27</v>
      </c>
      <c r="J826" s="12">
        <v>58163.43</v>
      </c>
      <c r="K826" s="5">
        <f t="shared" si="25"/>
        <v>60</v>
      </c>
      <c r="P826" t="str">
        <f t="shared" si="26"/>
        <v>60K</v>
      </c>
    </row>
    <row r="827" spans="1:16" x14ac:dyDescent="0.35">
      <c r="A827">
        <v>2005</v>
      </c>
      <c r="B827" s="6" t="s">
        <v>25</v>
      </c>
      <c r="J827" s="13">
        <v>70068.990000000005</v>
      </c>
      <c r="K827" s="5">
        <f t="shared" si="25"/>
        <v>70</v>
      </c>
      <c r="P827" t="str">
        <f t="shared" si="26"/>
        <v>70K</v>
      </c>
    </row>
    <row r="828" spans="1:16" x14ac:dyDescent="0.35">
      <c r="A828">
        <v>2014</v>
      </c>
      <c r="B828" s="7" t="s">
        <v>27</v>
      </c>
      <c r="J828" s="12">
        <v>96558.64</v>
      </c>
      <c r="K828" s="5">
        <f t="shared" si="25"/>
        <v>100</v>
      </c>
      <c r="P828" t="str">
        <f t="shared" si="26"/>
        <v>100K</v>
      </c>
    </row>
    <row r="829" spans="1:16" x14ac:dyDescent="0.35">
      <c r="A829">
        <v>2013</v>
      </c>
      <c r="B829" s="6" t="s">
        <v>23</v>
      </c>
      <c r="J829" s="13">
        <v>93430.15</v>
      </c>
      <c r="K829" s="5">
        <f t="shared" si="25"/>
        <v>90</v>
      </c>
      <c r="P829" t="str">
        <f t="shared" si="26"/>
        <v>90K</v>
      </c>
    </row>
    <row r="830" spans="1:16" x14ac:dyDescent="0.35">
      <c r="A830">
        <v>2010</v>
      </c>
      <c r="B830" s="7" t="s">
        <v>23</v>
      </c>
      <c r="J830" s="12">
        <v>59162.06</v>
      </c>
      <c r="K830" s="5">
        <f t="shared" si="25"/>
        <v>60</v>
      </c>
      <c r="P830" t="str">
        <f t="shared" si="26"/>
        <v>60K</v>
      </c>
    </row>
    <row r="831" spans="1:16" x14ac:dyDescent="0.35">
      <c r="A831">
        <v>2006</v>
      </c>
      <c r="B831" s="6" t="s">
        <v>27</v>
      </c>
      <c r="J831" s="13">
        <v>74744.259999999995</v>
      </c>
      <c r="K831" s="5">
        <f t="shared" si="25"/>
        <v>70</v>
      </c>
      <c r="P831" t="str">
        <f t="shared" si="26"/>
        <v>70K</v>
      </c>
    </row>
    <row r="832" spans="1:16" x14ac:dyDescent="0.35">
      <c r="A832">
        <v>2008</v>
      </c>
      <c r="B832" s="7" t="s">
        <v>35</v>
      </c>
      <c r="J832" s="12">
        <v>95332.86</v>
      </c>
      <c r="K832" s="5">
        <f t="shared" si="25"/>
        <v>100</v>
      </c>
      <c r="P832" t="str">
        <f t="shared" si="26"/>
        <v>100K</v>
      </c>
    </row>
    <row r="833" spans="1:16" x14ac:dyDescent="0.35">
      <c r="A833">
        <v>2015</v>
      </c>
      <c r="B833" s="6" t="s">
        <v>20</v>
      </c>
      <c r="J833" s="13">
        <v>12929.83</v>
      </c>
      <c r="K833" s="5">
        <f t="shared" si="25"/>
        <v>10</v>
      </c>
      <c r="P833" t="str">
        <f t="shared" si="26"/>
        <v>10K</v>
      </c>
    </row>
    <row r="834" spans="1:16" x14ac:dyDescent="0.35">
      <c r="A834">
        <v>2004</v>
      </c>
      <c r="B834" s="7" t="s">
        <v>10</v>
      </c>
      <c r="J834" s="12">
        <v>5535.3</v>
      </c>
      <c r="K834" s="5">
        <f t="shared" si="25"/>
        <v>10</v>
      </c>
      <c r="P834" t="str">
        <f t="shared" si="26"/>
        <v>10K</v>
      </c>
    </row>
    <row r="835" spans="1:16" x14ac:dyDescent="0.35">
      <c r="A835">
        <v>2019</v>
      </c>
      <c r="B835" s="6" t="s">
        <v>35</v>
      </c>
      <c r="J835" s="13">
        <v>7830.98</v>
      </c>
      <c r="K835" s="5">
        <f t="shared" ref="K835:K898" si="27">ROUND(J835/10000,0)*10</f>
        <v>10</v>
      </c>
      <c r="P835" t="str">
        <f t="shared" ref="P835:P898" si="28">TEXT(ROUND(J835/10000,0)*10,"0") &amp; "K"</f>
        <v>10K</v>
      </c>
    </row>
    <row r="836" spans="1:16" x14ac:dyDescent="0.35">
      <c r="A836">
        <v>2009</v>
      </c>
      <c r="B836" s="7" t="s">
        <v>35</v>
      </c>
      <c r="J836" s="12">
        <v>58518.19</v>
      </c>
      <c r="K836" s="5">
        <f t="shared" si="27"/>
        <v>60</v>
      </c>
      <c r="P836" t="str">
        <f t="shared" si="28"/>
        <v>60K</v>
      </c>
    </row>
    <row r="837" spans="1:16" x14ac:dyDescent="0.35">
      <c r="A837">
        <v>2017</v>
      </c>
      <c r="B837" s="6" t="s">
        <v>29</v>
      </c>
      <c r="J837" s="13">
        <v>77469.179999999993</v>
      </c>
      <c r="K837" s="5">
        <f t="shared" si="27"/>
        <v>80</v>
      </c>
      <c r="P837" t="str">
        <f t="shared" si="28"/>
        <v>80K</v>
      </c>
    </row>
    <row r="838" spans="1:16" x14ac:dyDescent="0.35">
      <c r="A838">
        <v>2002</v>
      </c>
      <c r="B838" s="7" t="s">
        <v>10</v>
      </c>
      <c r="J838" s="12">
        <v>39872.120000000003</v>
      </c>
      <c r="K838" s="5">
        <f t="shared" si="27"/>
        <v>40</v>
      </c>
      <c r="P838" t="str">
        <f t="shared" si="28"/>
        <v>40K</v>
      </c>
    </row>
    <row r="839" spans="1:16" x14ac:dyDescent="0.35">
      <c r="A839">
        <v>2012</v>
      </c>
      <c r="B839" s="6" t="s">
        <v>10</v>
      </c>
      <c r="J839" s="13">
        <v>56797.72</v>
      </c>
      <c r="K839" s="5">
        <f t="shared" si="27"/>
        <v>60</v>
      </c>
      <c r="P839" t="str">
        <f t="shared" si="28"/>
        <v>60K</v>
      </c>
    </row>
    <row r="840" spans="1:16" x14ac:dyDescent="0.35">
      <c r="A840">
        <v>2010</v>
      </c>
      <c r="B840" s="7" t="s">
        <v>35</v>
      </c>
      <c r="J840" s="12">
        <v>54054.8</v>
      </c>
      <c r="K840" s="5">
        <f t="shared" si="27"/>
        <v>50</v>
      </c>
      <c r="P840" t="str">
        <f t="shared" si="28"/>
        <v>50K</v>
      </c>
    </row>
    <row r="841" spans="1:16" x14ac:dyDescent="0.35">
      <c r="A841">
        <v>2016</v>
      </c>
      <c r="B841" s="6" t="s">
        <v>25</v>
      </c>
      <c r="J841" s="13">
        <v>14003.23</v>
      </c>
      <c r="K841" s="5">
        <f t="shared" si="27"/>
        <v>10</v>
      </c>
      <c r="P841" t="str">
        <f t="shared" si="28"/>
        <v>10K</v>
      </c>
    </row>
    <row r="842" spans="1:16" x14ac:dyDescent="0.35">
      <c r="A842">
        <v>2021</v>
      </c>
      <c r="B842" s="7" t="s">
        <v>29</v>
      </c>
      <c r="J842" s="12">
        <v>35550.89</v>
      </c>
      <c r="K842" s="5">
        <f t="shared" si="27"/>
        <v>40</v>
      </c>
      <c r="P842" t="str">
        <f t="shared" si="28"/>
        <v>40K</v>
      </c>
    </row>
    <row r="843" spans="1:16" x14ac:dyDescent="0.35">
      <c r="A843">
        <v>2012</v>
      </c>
      <c r="B843" s="6" t="s">
        <v>29</v>
      </c>
      <c r="J843" s="13">
        <v>6846.34</v>
      </c>
      <c r="K843" s="5">
        <f t="shared" si="27"/>
        <v>10</v>
      </c>
      <c r="P843" t="str">
        <f t="shared" si="28"/>
        <v>10K</v>
      </c>
    </row>
    <row r="844" spans="1:16" x14ac:dyDescent="0.35">
      <c r="A844">
        <v>2005</v>
      </c>
      <c r="B844" s="7" t="s">
        <v>23</v>
      </c>
      <c r="J844" s="12">
        <v>15517.04</v>
      </c>
      <c r="K844" s="5">
        <f t="shared" si="27"/>
        <v>20</v>
      </c>
      <c r="P844" t="str">
        <f t="shared" si="28"/>
        <v>20K</v>
      </c>
    </row>
    <row r="845" spans="1:16" x14ac:dyDescent="0.35">
      <c r="A845">
        <v>2016</v>
      </c>
      <c r="B845" s="6" t="s">
        <v>10</v>
      </c>
      <c r="J845" s="13">
        <v>82126.53</v>
      </c>
      <c r="K845" s="5">
        <f t="shared" si="27"/>
        <v>80</v>
      </c>
      <c r="P845" t="str">
        <f t="shared" si="28"/>
        <v>80K</v>
      </c>
    </row>
    <row r="846" spans="1:16" x14ac:dyDescent="0.35">
      <c r="A846">
        <v>2012</v>
      </c>
      <c r="B846" s="7" t="s">
        <v>35</v>
      </c>
      <c r="J846" s="12">
        <v>83794.28</v>
      </c>
      <c r="K846" s="5">
        <f t="shared" si="27"/>
        <v>80</v>
      </c>
      <c r="P846" t="str">
        <f t="shared" si="28"/>
        <v>80K</v>
      </c>
    </row>
    <row r="847" spans="1:16" x14ac:dyDescent="0.35">
      <c r="A847">
        <v>2018</v>
      </c>
      <c r="B847" s="6" t="s">
        <v>23</v>
      </c>
      <c r="J847" s="13">
        <v>81184.899999999994</v>
      </c>
      <c r="K847" s="5">
        <f t="shared" si="27"/>
        <v>80</v>
      </c>
      <c r="P847" t="str">
        <f t="shared" si="28"/>
        <v>80K</v>
      </c>
    </row>
    <row r="848" spans="1:16" x14ac:dyDescent="0.35">
      <c r="A848">
        <v>2020</v>
      </c>
      <c r="B848" s="7" t="s">
        <v>27</v>
      </c>
      <c r="J848" s="12">
        <v>74047.77</v>
      </c>
      <c r="K848" s="5">
        <f t="shared" si="27"/>
        <v>70</v>
      </c>
      <c r="P848" t="str">
        <f t="shared" si="28"/>
        <v>70K</v>
      </c>
    </row>
    <row r="849" spans="1:16" x14ac:dyDescent="0.35">
      <c r="A849">
        <v>2018</v>
      </c>
      <c r="B849" s="6" t="s">
        <v>20</v>
      </c>
      <c r="J849" s="13">
        <v>80364.72</v>
      </c>
      <c r="K849" s="5">
        <f t="shared" si="27"/>
        <v>80</v>
      </c>
      <c r="P849" t="str">
        <f t="shared" si="28"/>
        <v>80K</v>
      </c>
    </row>
    <row r="850" spans="1:16" x14ac:dyDescent="0.35">
      <c r="A850">
        <v>2009</v>
      </c>
      <c r="B850" s="7" t="s">
        <v>29</v>
      </c>
      <c r="J850" s="12">
        <v>68743.320000000007</v>
      </c>
      <c r="K850" s="5">
        <f t="shared" si="27"/>
        <v>70</v>
      </c>
      <c r="P850" t="str">
        <f t="shared" si="28"/>
        <v>70K</v>
      </c>
    </row>
    <row r="851" spans="1:16" x14ac:dyDescent="0.35">
      <c r="A851">
        <v>2002</v>
      </c>
      <c r="B851" s="6" t="s">
        <v>27</v>
      </c>
      <c r="J851" s="13">
        <v>68634.17</v>
      </c>
      <c r="K851" s="5">
        <f t="shared" si="27"/>
        <v>70</v>
      </c>
      <c r="P851" t="str">
        <f t="shared" si="28"/>
        <v>70K</v>
      </c>
    </row>
    <row r="852" spans="1:16" x14ac:dyDescent="0.35">
      <c r="A852">
        <v>2013</v>
      </c>
      <c r="B852" s="7" t="s">
        <v>27</v>
      </c>
      <c r="J852" s="12">
        <v>68399.37</v>
      </c>
      <c r="K852" s="5">
        <f t="shared" si="27"/>
        <v>70</v>
      </c>
      <c r="P852" t="str">
        <f t="shared" si="28"/>
        <v>70K</v>
      </c>
    </row>
    <row r="853" spans="1:16" x14ac:dyDescent="0.35">
      <c r="A853">
        <v>2018</v>
      </c>
      <c r="B853" s="6" t="s">
        <v>25</v>
      </c>
      <c r="J853" s="13">
        <v>53834.07</v>
      </c>
      <c r="K853" s="5">
        <f t="shared" si="27"/>
        <v>50</v>
      </c>
      <c r="P853" t="str">
        <f t="shared" si="28"/>
        <v>50K</v>
      </c>
    </row>
    <row r="854" spans="1:16" x14ac:dyDescent="0.35">
      <c r="A854">
        <v>2004</v>
      </c>
      <c r="B854" s="7" t="s">
        <v>20</v>
      </c>
      <c r="J854" s="12">
        <v>39517.99</v>
      </c>
      <c r="K854" s="5">
        <f t="shared" si="27"/>
        <v>40</v>
      </c>
      <c r="P854" t="str">
        <f t="shared" si="28"/>
        <v>40K</v>
      </c>
    </row>
    <row r="855" spans="1:16" x14ac:dyDescent="0.35">
      <c r="A855">
        <v>2004</v>
      </c>
      <c r="B855" s="6" t="s">
        <v>27</v>
      </c>
      <c r="J855" s="13">
        <v>74368.55</v>
      </c>
      <c r="K855" s="5">
        <f t="shared" si="27"/>
        <v>70</v>
      </c>
      <c r="P855" t="str">
        <f t="shared" si="28"/>
        <v>70K</v>
      </c>
    </row>
    <row r="856" spans="1:16" x14ac:dyDescent="0.35">
      <c r="A856">
        <v>2019</v>
      </c>
      <c r="B856" s="7" t="s">
        <v>27</v>
      </c>
      <c r="J856" s="12">
        <v>33371.370000000003</v>
      </c>
      <c r="K856" s="5">
        <f t="shared" si="27"/>
        <v>30</v>
      </c>
      <c r="P856" t="str">
        <f t="shared" si="28"/>
        <v>30K</v>
      </c>
    </row>
    <row r="857" spans="1:16" x14ac:dyDescent="0.35">
      <c r="A857">
        <v>2016</v>
      </c>
      <c r="B857" s="6" t="s">
        <v>20</v>
      </c>
      <c r="J857" s="13">
        <v>56575.7</v>
      </c>
      <c r="K857" s="5">
        <f t="shared" si="27"/>
        <v>60</v>
      </c>
      <c r="P857" t="str">
        <f t="shared" si="28"/>
        <v>60K</v>
      </c>
    </row>
    <row r="858" spans="1:16" x14ac:dyDescent="0.35">
      <c r="A858">
        <v>2020</v>
      </c>
      <c r="B858" s="7" t="s">
        <v>20</v>
      </c>
      <c r="J858" s="12">
        <v>46168.78</v>
      </c>
      <c r="K858" s="5">
        <f t="shared" si="27"/>
        <v>50</v>
      </c>
      <c r="P858" t="str">
        <f t="shared" si="28"/>
        <v>50K</v>
      </c>
    </row>
    <row r="859" spans="1:16" x14ac:dyDescent="0.35">
      <c r="A859">
        <v>2009</v>
      </c>
      <c r="B859" s="6" t="s">
        <v>27</v>
      </c>
      <c r="J859" s="13">
        <v>31279.119999999999</v>
      </c>
      <c r="K859" s="5">
        <f t="shared" si="27"/>
        <v>30</v>
      </c>
      <c r="P859" t="str">
        <f t="shared" si="28"/>
        <v>30K</v>
      </c>
    </row>
    <row r="860" spans="1:16" x14ac:dyDescent="0.35">
      <c r="A860">
        <v>2004</v>
      </c>
      <c r="B860" s="7" t="s">
        <v>20</v>
      </c>
      <c r="J860" s="12">
        <v>97595.54</v>
      </c>
      <c r="K860" s="5">
        <f t="shared" si="27"/>
        <v>100</v>
      </c>
      <c r="P860" t="str">
        <f t="shared" si="28"/>
        <v>100K</v>
      </c>
    </row>
    <row r="861" spans="1:16" x14ac:dyDescent="0.35">
      <c r="A861">
        <v>2003</v>
      </c>
      <c r="B861" s="6" t="s">
        <v>27</v>
      </c>
      <c r="J861" s="13">
        <v>29581.41</v>
      </c>
      <c r="K861" s="5">
        <f t="shared" si="27"/>
        <v>30</v>
      </c>
      <c r="P861" t="str">
        <f t="shared" si="28"/>
        <v>30K</v>
      </c>
    </row>
    <row r="862" spans="1:16" x14ac:dyDescent="0.35">
      <c r="A862">
        <v>2005</v>
      </c>
      <c r="B862" s="7" t="s">
        <v>27</v>
      </c>
      <c r="J862" s="12">
        <v>34382.839999999997</v>
      </c>
      <c r="K862" s="5">
        <f t="shared" si="27"/>
        <v>30</v>
      </c>
      <c r="P862" t="str">
        <f t="shared" si="28"/>
        <v>30K</v>
      </c>
    </row>
    <row r="863" spans="1:16" x14ac:dyDescent="0.35">
      <c r="A863">
        <v>2003</v>
      </c>
      <c r="B863" s="6" t="s">
        <v>25</v>
      </c>
      <c r="J863" s="13">
        <v>20350.810000000001</v>
      </c>
      <c r="K863" s="5">
        <f t="shared" si="27"/>
        <v>20</v>
      </c>
      <c r="P863" t="str">
        <f t="shared" si="28"/>
        <v>20K</v>
      </c>
    </row>
    <row r="864" spans="1:16" x14ac:dyDescent="0.35">
      <c r="A864">
        <v>2006</v>
      </c>
      <c r="B864" s="7" t="s">
        <v>35</v>
      </c>
      <c r="J864" s="12">
        <v>83183.16</v>
      </c>
      <c r="K864" s="5">
        <f t="shared" si="27"/>
        <v>80</v>
      </c>
      <c r="P864" t="str">
        <f t="shared" si="28"/>
        <v>80K</v>
      </c>
    </row>
    <row r="865" spans="1:16" x14ac:dyDescent="0.35">
      <c r="A865">
        <v>2006</v>
      </c>
      <c r="B865" s="6" t="s">
        <v>27</v>
      </c>
      <c r="J865" s="13">
        <v>60725.99</v>
      </c>
      <c r="K865" s="5">
        <f t="shared" si="27"/>
        <v>60</v>
      </c>
      <c r="P865" t="str">
        <f t="shared" si="28"/>
        <v>60K</v>
      </c>
    </row>
    <row r="866" spans="1:16" x14ac:dyDescent="0.35">
      <c r="A866">
        <v>2017</v>
      </c>
      <c r="B866" s="7" t="s">
        <v>23</v>
      </c>
      <c r="J866" s="12">
        <v>63238.73</v>
      </c>
      <c r="K866" s="5">
        <f t="shared" si="27"/>
        <v>60</v>
      </c>
      <c r="P866" t="str">
        <f t="shared" si="28"/>
        <v>60K</v>
      </c>
    </row>
    <row r="867" spans="1:16" x14ac:dyDescent="0.35">
      <c r="A867">
        <v>2002</v>
      </c>
      <c r="B867" s="6" t="s">
        <v>29</v>
      </c>
      <c r="J867" s="13">
        <v>82953.33</v>
      </c>
      <c r="K867" s="5">
        <f t="shared" si="27"/>
        <v>80</v>
      </c>
      <c r="P867" t="str">
        <f t="shared" si="28"/>
        <v>80K</v>
      </c>
    </row>
    <row r="868" spans="1:16" x14ac:dyDescent="0.35">
      <c r="A868">
        <v>2000</v>
      </c>
      <c r="B868" s="7" t="s">
        <v>10</v>
      </c>
      <c r="J868" s="12">
        <v>37577.370000000003</v>
      </c>
      <c r="K868" s="5">
        <f t="shared" si="27"/>
        <v>40</v>
      </c>
      <c r="P868" t="str">
        <f t="shared" si="28"/>
        <v>40K</v>
      </c>
    </row>
    <row r="869" spans="1:16" x14ac:dyDescent="0.35">
      <c r="A869">
        <v>2023</v>
      </c>
      <c r="B869" s="6" t="s">
        <v>35</v>
      </c>
      <c r="J869" s="13">
        <v>23395.18</v>
      </c>
      <c r="K869" s="5">
        <f t="shared" si="27"/>
        <v>20</v>
      </c>
      <c r="P869" t="str">
        <f t="shared" si="28"/>
        <v>20K</v>
      </c>
    </row>
    <row r="870" spans="1:16" x14ac:dyDescent="0.35">
      <c r="A870">
        <v>2003</v>
      </c>
      <c r="B870" s="7" t="s">
        <v>35</v>
      </c>
      <c r="J870" s="12">
        <v>23848.51</v>
      </c>
      <c r="K870" s="5">
        <f t="shared" si="27"/>
        <v>20</v>
      </c>
      <c r="P870" t="str">
        <f t="shared" si="28"/>
        <v>20K</v>
      </c>
    </row>
    <row r="871" spans="1:16" x14ac:dyDescent="0.35">
      <c r="A871">
        <v>2005</v>
      </c>
      <c r="B871" s="6" t="s">
        <v>35</v>
      </c>
      <c r="J871" s="13">
        <v>74598.880000000005</v>
      </c>
      <c r="K871" s="5">
        <f t="shared" si="27"/>
        <v>70</v>
      </c>
      <c r="P871" t="str">
        <f t="shared" si="28"/>
        <v>70K</v>
      </c>
    </row>
    <row r="872" spans="1:16" x14ac:dyDescent="0.35">
      <c r="A872">
        <v>2008</v>
      </c>
      <c r="B872" s="7" t="s">
        <v>25</v>
      </c>
      <c r="J872" s="12">
        <v>63340.94</v>
      </c>
      <c r="K872" s="5">
        <f t="shared" si="27"/>
        <v>60</v>
      </c>
      <c r="P872" t="str">
        <f t="shared" si="28"/>
        <v>60K</v>
      </c>
    </row>
    <row r="873" spans="1:16" x14ac:dyDescent="0.35">
      <c r="A873">
        <v>2021</v>
      </c>
      <c r="B873" s="6" t="s">
        <v>27</v>
      </c>
      <c r="J873" s="13">
        <v>24602.19</v>
      </c>
      <c r="K873" s="5">
        <f t="shared" si="27"/>
        <v>20</v>
      </c>
      <c r="P873" t="str">
        <f t="shared" si="28"/>
        <v>20K</v>
      </c>
    </row>
    <row r="874" spans="1:16" x14ac:dyDescent="0.35">
      <c r="A874">
        <v>2013</v>
      </c>
      <c r="B874" s="7" t="s">
        <v>25</v>
      </c>
      <c r="J874" s="12">
        <v>18781.21</v>
      </c>
      <c r="K874" s="5">
        <f t="shared" si="27"/>
        <v>20</v>
      </c>
      <c r="P874" t="str">
        <f t="shared" si="28"/>
        <v>20K</v>
      </c>
    </row>
    <row r="875" spans="1:16" x14ac:dyDescent="0.35">
      <c r="A875">
        <v>2011</v>
      </c>
      <c r="B875" s="6" t="s">
        <v>27</v>
      </c>
      <c r="J875" s="13">
        <v>16465.29</v>
      </c>
      <c r="K875" s="5">
        <f t="shared" si="27"/>
        <v>20</v>
      </c>
      <c r="P875" t="str">
        <f t="shared" si="28"/>
        <v>20K</v>
      </c>
    </row>
    <row r="876" spans="1:16" x14ac:dyDescent="0.35">
      <c r="A876">
        <v>2019</v>
      </c>
      <c r="B876" s="7" t="s">
        <v>25</v>
      </c>
      <c r="J876" s="12">
        <v>64640.87</v>
      </c>
      <c r="K876" s="5">
        <f t="shared" si="27"/>
        <v>60</v>
      </c>
      <c r="P876" t="str">
        <f t="shared" si="28"/>
        <v>60K</v>
      </c>
    </row>
    <row r="877" spans="1:16" x14ac:dyDescent="0.35">
      <c r="A877">
        <v>2023</v>
      </c>
      <c r="B877" s="6" t="s">
        <v>25</v>
      </c>
      <c r="J877" s="13">
        <v>5011.2700000000004</v>
      </c>
      <c r="K877" s="5">
        <f t="shared" si="27"/>
        <v>10</v>
      </c>
      <c r="P877" t="str">
        <f t="shared" si="28"/>
        <v>10K</v>
      </c>
    </row>
    <row r="878" spans="1:16" x14ac:dyDescent="0.35">
      <c r="A878">
        <v>2003</v>
      </c>
      <c r="B878" s="7" t="s">
        <v>29</v>
      </c>
      <c r="J878" s="12">
        <v>6740.34</v>
      </c>
      <c r="K878" s="5">
        <f t="shared" si="27"/>
        <v>10</v>
      </c>
      <c r="P878" t="str">
        <f t="shared" si="28"/>
        <v>10K</v>
      </c>
    </row>
    <row r="879" spans="1:16" x14ac:dyDescent="0.35">
      <c r="A879">
        <v>2020</v>
      </c>
      <c r="B879" s="6" t="s">
        <v>23</v>
      </c>
      <c r="J879" s="13">
        <v>42007.55</v>
      </c>
      <c r="K879" s="5">
        <f t="shared" si="27"/>
        <v>40</v>
      </c>
      <c r="P879" t="str">
        <f t="shared" si="28"/>
        <v>40K</v>
      </c>
    </row>
    <row r="880" spans="1:16" x14ac:dyDescent="0.35">
      <c r="A880">
        <v>2023</v>
      </c>
      <c r="B880" s="7" t="s">
        <v>25</v>
      </c>
      <c r="J880" s="12">
        <v>70678.240000000005</v>
      </c>
      <c r="K880" s="5">
        <f t="shared" si="27"/>
        <v>70</v>
      </c>
      <c r="P880" t="str">
        <f t="shared" si="28"/>
        <v>70K</v>
      </c>
    </row>
    <row r="881" spans="1:16" x14ac:dyDescent="0.35">
      <c r="A881">
        <v>2011</v>
      </c>
      <c r="B881" s="6" t="s">
        <v>29</v>
      </c>
      <c r="J881" s="13">
        <v>71028.740000000005</v>
      </c>
      <c r="K881" s="5">
        <f t="shared" si="27"/>
        <v>70</v>
      </c>
      <c r="P881" t="str">
        <f t="shared" si="28"/>
        <v>70K</v>
      </c>
    </row>
    <row r="882" spans="1:16" x14ac:dyDescent="0.35">
      <c r="A882">
        <v>2009</v>
      </c>
      <c r="B882" s="7" t="s">
        <v>20</v>
      </c>
      <c r="J882" s="12">
        <v>45861.24</v>
      </c>
      <c r="K882" s="5">
        <f t="shared" si="27"/>
        <v>50</v>
      </c>
      <c r="P882" t="str">
        <f t="shared" si="28"/>
        <v>50K</v>
      </c>
    </row>
    <row r="883" spans="1:16" x14ac:dyDescent="0.35">
      <c r="A883">
        <v>2021</v>
      </c>
      <c r="B883" s="6" t="s">
        <v>23</v>
      </c>
      <c r="J883" s="13">
        <v>70651.990000000005</v>
      </c>
      <c r="K883" s="5">
        <f t="shared" si="27"/>
        <v>70</v>
      </c>
      <c r="P883" t="str">
        <f t="shared" si="28"/>
        <v>70K</v>
      </c>
    </row>
    <row r="884" spans="1:16" x14ac:dyDescent="0.35">
      <c r="A884">
        <v>2006</v>
      </c>
      <c r="B884" s="7" t="s">
        <v>25</v>
      </c>
      <c r="J884" s="12">
        <v>54504.14</v>
      </c>
      <c r="K884" s="5">
        <f t="shared" si="27"/>
        <v>50</v>
      </c>
      <c r="P884" t="str">
        <f t="shared" si="28"/>
        <v>50K</v>
      </c>
    </row>
    <row r="885" spans="1:16" x14ac:dyDescent="0.35">
      <c r="A885">
        <v>2002</v>
      </c>
      <c r="B885" s="6" t="s">
        <v>10</v>
      </c>
      <c r="J885" s="13">
        <v>97808.48</v>
      </c>
      <c r="K885" s="5">
        <f t="shared" si="27"/>
        <v>100</v>
      </c>
      <c r="P885" t="str">
        <f t="shared" si="28"/>
        <v>100K</v>
      </c>
    </row>
    <row r="886" spans="1:16" x14ac:dyDescent="0.35">
      <c r="A886">
        <v>2022</v>
      </c>
      <c r="B886" s="7" t="s">
        <v>35</v>
      </c>
      <c r="J886" s="12">
        <v>20433.72</v>
      </c>
      <c r="K886" s="5">
        <f t="shared" si="27"/>
        <v>20</v>
      </c>
      <c r="P886" t="str">
        <f t="shared" si="28"/>
        <v>20K</v>
      </c>
    </row>
    <row r="887" spans="1:16" x14ac:dyDescent="0.35">
      <c r="A887">
        <v>2013</v>
      </c>
      <c r="B887" s="6" t="s">
        <v>20</v>
      </c>
      <c r="J887" s="13">
        <v>62063.39</v>
      </c>
      <c r="K887" s="5">
        <f t="shared" si="27"/>
        <v>60</v>
      </c>
      <c r="P887" t="str">
        <f t="shared" si="28"/>
        <v>60K</v>
      </c>
    </row>
    <row r="888" spans="1:16" x14ac:dyDescent="0.35">
      <c r="A888">
        <v>2023</v>
      </c>
      <c r="B888" s="7" t="s">
        <v>20</v>
      </c>
      <c r="J888" s="12">
        <v>51667.68</v>
      </c>
      <c r="K888" s="5">
        <f t="shared" si="27"/>
        <v>50</v>
      </c>
      <c r="P888" t="str">
        <f t="shared" si="28"/>
        <v>50K</v>
      </c>
    </row>
    <row r="889" spans="1:16" x14ac:dyDescent="0.35">
      <c r="A889">
        <v>2009</v>
      </c>
      <c r="B889" s="6" t="s">
        <v>29</v>
      </c>
      <c r="J889" s="13">
        <v>23474.3</v>
      </c>
      <c r="K889" s="5">
        <f t="shared" si="27"/>
        <v>20</v>
      </c>
      <c r="P889" t="str">
        <f t="shared" si="28"/>
        <v>20K</v>
      </c>
    </row>
    <row r="890" spans="1:16" x14ac:dyDescent="0.35">
      <c r="A890">
        <v>2015</v>
      </c>
      <c r="B890" s="7" t="s">
        <v>20</v>
      </c>
      <c r="J890" s="12">
        <v>76249.09</v>
      </c>
      <c r="K890" s="5">
        <f t="shared" si="27"/>
        <v>80</v>
      </c>
      <c r="P890" t="str">
        <f t="shared" si="28"/>
        <v>80K</v>
      </c>
    </row>
    <row r="891" spans="1:16" x14ac:dyDescent="0.35">
      <c r="A891">
        <v>2015</v>
      </c>
      <c r="B891" s="6" t="s">
        <v>23</v>
      </c>
      <c r="J891" s="13">
        <v>31173.26</v>
      </c>
      <c r="K891" s="5">
        <f t="shared" si="27"/>
        <v>30</v>
      </c>
      <c r="P891" t="str">
        <f t="shared" si="28"/>
        <v>30K</v>
      </c>
    </row>
    <row r="892" spans="1:16" x14ac:dyDescent="0.35">
      <c r="A892">
        <v>2021</v>
      </c>
      <c r="B892" s="7" t="s">
        <v>25</v>
      </c>
      <c r="J892" s="12">
        <v>41262.43</v>
      </c>
      <c r="K892" s="5">
        <f t="shared" si="27"/>
        <v>40</v>
      </c>
      <c r="P892" t="str">
        <f t="shared" si="28"/>
        <v>40K</v>
      </c>
    </row>
    <row r="893" spans="1:16" x14ac:dyDescent="0.35">
      <c r="A893">
        <v>2009</v>
      </c>
      <c r="B893" s="6" t="s">
        <v>25</v>
      </c>
      <c r="J893" s="13">
        <v>40608.9</v>
      </c>
      <c r="K893" s="5">
        <f t="shared" si="27"/>
        <v>40</v>
      </c>
      <c r="P893" t="str">
        <f t="shared" si="28"/>
        <v>40K</v>
      </c>
    </row>
    <row r="894" spans="1:16" x14ac:dyDescent="0.35">
      <c r="A894">
        <v>2012</v>
      </c>
      <c r="B894" s="7" t="s">
        <v>10</v>
      </c>
      <c r="J894" s="12">
        <v>28199.42</v>
      </c>
      <c r="K894" s="5">
        <f t="shared" si="27"/>
        <v>30</v>
      </c>
      <c r="P894" t="str">
        <f t="shared" si="28"/>
        <v>30K</v>
      </c>
    </row>
    <row r="895" spans="1:16" x14ac:dyDescent="0.35">
      <c r="A895">
        <v>2005</v>
      </c>
      <c r="B895" s="6" t="s">
        <v>35</v>
      </c>
      <c r="J895" s="13">
        <v>45917.01</v>
      </c>
      <c r="K895" s="5">
        <f t="shared" si="27"/>
        <v>50</v>
      </c>
      <c r="P895" t="str">
        <f t="shared" si="28"/>
        <v>50K</v>
      </c>
    </row>
    <row r="896" spans="1:16" x14ac:dyDescent="0.35">
      <c r="A896">
        <v>2011</v>
      </c>
      <c r="B896" s="7" t="s">
        <v>29</v>
      </c>
      <c r="J896" s="12">
        <v>49967.86</v>
      </c>
      <c r="K896" s="5">
        <f t="shared" si="27"/>
        <v>50</v>
      </c>
      <c r="P896" t="str">
        <f t="shared" si="28"/>
        <v>50K</v>
      </c>
    </row>
    <row r="897" spans="1:16" x14ac:dyDescent="0.35">
      <c r="A897">
        <v>2008</v>
      </c>
      <c r="B897" s="6" t="s">
        <v>35</v>
      </c>
      <c r="J897" s="13">
        <v>75701.06</v>
      </c>
      <c r="K897" s="5">
        <f t="shared" si="27"/>
        <v>80</v>
      </c>
      <c r="P897" t="str">
        <f t="shared" si="28"/>
        <v>80K</v>
      </c>
    </row>
    <row r="898" spans="1:16" x14ac:dyDescent="0.35">
      <c r="A898">
        <v>2012</v>
      </c>
      <c r="B898" s="7" t="s">
        <v>20</v>
      </c>
      <c r="J898" s="12">
        <v>77681.509999999995</v>
      </c>
      <c r="K898" s="5">
        <f t="shared" si="27"/>
        <v>80</v>
      </c>
      <c r="P898" t="str">
        <f t="shared" si="28"/>
        <v>80K</v>
      </c>
    </row>
    <row r="899" spans="1:16" x14ac:dyDescent="0.35">
      <c r="A899">
        <v>2003</v>
      </c>
      <c r="B899" s="6" t="s">
        <v>10</v>
      </c>
      <c r="J899" s="13">
        <v>20062.82</v>
      </c>
      <c r="K899" s="5">
        <f t="shared" ref="K899:K962" si="29">ROUND(J899/10000,0)*10</f>
        <v>20</v>
      </c>
      <c r="P899" t="str">
        <f t="shared" ref="P899:P962" si="30">TEXT(ROUND(J899/10000,0)*10,"0") &amp; "K"</f>
        <v>20K</v>
      </c>
    </row>
    <row r="900" spans="1:16" x14ac:dyDescent="0.35">
      <c r="A900">
        <v>2023</v>
      </c>
      <c r="B900" s="7" t="s">
        <v>35</v>
      </c>
      <c r="J900" s="12">
        <v>61313.37</v>
      </c>
      <c r="K900" s="5">
        <f t="shared" si="29"/>
        <v>60</v>
      </c>
      <c r="P900" t="str">
        <f t="shared" si="30"/>
        <v>60K</v>
      </c>
    </row>
    <row r="901" spans="1:16" x14ac:dyDescent="0.35">
      <c r="A901">
        <v>2010</v>
      </c>
      <c r="B901" s="6" t="s">
        <v>23</v>
      </c>
      <c r="J901" s="13">
        <v>90138.79</v>
      </c>
      <c r="K901" s="5">
        <f t="shared" si="29"/>
        <v>90</v>
      </c>
      <c r="P901" t="str">
        <f t="shared" si="30"/>
        <v>90K</v>
      </c>
    </row>
    <row r="902" spans="1:16" x14ac:dyDescent="0.35">
      <c r="A902">
        <v>2019</v>
      </c>
      <c r="B902" s="7" t="s">
        <v>25</v>
      </c>
      <c r="J902" s="12">
        <v>15334.73</v>
      </c>
      <c r="K902" s="5">
        <f t="shared" si="29"/>
        <v>20</v>
      </c>
      <c r="P902" t="str">
        <f t="shared" si="30"/>
        <v>20K</v>
      </c>
    </row>
    <row r="903" spans="1:16" x14ac:dyDescent="0.35">
      <c r="A903">
        <v>2017</v>
      </c>
      <c r="B903" s="6" t="s">
        <v>20</v>
      </c>
      <c r="J903" s="13">
        <v>49926.83</v>
      </c>
      <c r="K903" s="5">
        <f t="shared" si="29"/>
        <v>50</v>
      </c>
      <c r="P903" t="str">
        <f t="shared" si="30"/>
        <v>50K</v>
      </c>
    </row>
    <row r="904" spans="1:16" x14ac:dyDescent="0.35">
      <c r="A904">
        <v>2010</v>
      </c>
      <c r="B904" s="7" t="s">
        <v>10</v>
      </c>
      <c r="J904" s="12">
        <v>76283.55</v>
      </c>
      <c r="K904" s="5">
        <f t="shared" si="29"/>
        <v>80</v>
      </c>
      <c r="P904" t="str">
        <f t="shared" si="30"/>
        <v>80K</v>
      </c>
    </row>
    <row r="905" spans="1:16" x14ac:dyDescent="0.35">
      <c r="A905">
        <v>2020</v>
      </c>
      <c r="B905" s="6" t="s">
        <v>35</v>
      </c>
      <c r="J905" s="13">
        <v>63091.68</v>
      </c>
      <c r="K905" s="5">
        <f t="shared" si="29"/>
        <v>60</v>
      </c>
      <c r="P905" t="str">
        <f t="shared" si="30"/>
        <v>60K</v>
      </c>
    </row>
    <row r="906" spans="1:16" x14ac:dyDescent="0.35">
      <c r="A906">
        <v>2003</v>
      </c>
      <c r="B906" s="7" t="s">
        <v>29</v>
      </c>
      <c r="J906" s="12">
        <v>14555.64</v>
      </c>
      <c r="K906" s="5">
        <f t="shared" si="29"/>
        <v>10</v>
      </c>
      <c r="P906" t="str">
        <f t="shared" si="30"/>
        <v>10K</v>
      </c>
    </row>
    <row r="907" spans="1:16" x14ac:dyDescent="0.35">
      <c r="A907">
        <v>2017</v>
      </c>
      <c r="B907" s="6" t="s">
        <v>23</v>
      </c>
      <c r="J907" s="13">
        <v>42677.58</v>
      </c>
      <c r="K907" s="5">
        <f t="shared" si="29"/>
        <v>40</v>
      </c>
      <c r="P907" t="str">
        <f t="shared" si="30"/>
        <v>40K</v>
      </c>
    </row>
    <row r="908" spans="1:16" x14ac:dyDescent="0.35">
      <c r="A908">
        <v>2000</v>
      </c>
      <c r="B908" s="7" t="s">
        <v>23</v>
      </c>
      <c r="J908" s="12">
        <v>53187.75</v>
      </c>
      <c r="K908" s="5">
        <f t="shared" si="29"/>
        <v>50</v>
      </c>
      <c r="P908" t="str">
        <f t="shared" si="30"/>
        <v>50K</v>
      </c>
    </row>
    <row r="909" spans="1:16" x14ac:dyDescent="0.35">
      <c r="A909">
        <v>2006</v>
      </c>
      <c r="B909" s="6" t="s">
        <v>35</v>
      </c>
      <c r="J909" s="13">
        <v>99605.33</v>
      </c>
      <c r="K909" s="5">
        <f t="shared" si="29"/>
        <v>100</v>
      </c>
      <c r="P909" t="str">
        <f t="shared" si="30"/>
        <v>100K</v>
      </c>
    </row>
    <row r="910" spans="1:16" x14ac:dyDescent="0.35">
      <c r="A910">
        <v>2005</v>
      </c>
      <c r="B910" s="7" t="s">
        <v>25</v>
      </c>
      <c r="J910" s="12">
        <v>21967.75</v>
      </c>
      <c r="K910" s="5">
        <f t="shared" si="29"/>
        <v>20</v>
      </c>
      <c r="P910" t="str">
        <f t="shared" si="30"/>
        <v>20K</v>
      </c>
    </row>
    <row r="911" spans="1:16" x14ac:dyDescent="0.35">
      <c r="A911">
        <v>2014</v>
      </c>
      <c r="B911" s="6" t="s">
        <v>35</v>
      </c>
      <c r="J911" s="13">
        <v>98330.26</v>
      </c>
      <c r="K911" s="5">
        <f t="shared" si="29"/>
        <v>100</v>
      </c>
      <c r="P911" t="str">
        <f t="shared" si="30"/>
        <v>100K</v>
      </c>
    </row>
    <row r="912" spans="1:16" x14ac:dyDescent="0.35">
      <c r="A912">
        <v>2017</v>
      </c>
      <c r="B912" s="7" t="s">
        <v>20</v>
      </c>
      <c r="J912" s="12">
        <v>40734.230000000003</v>
      </c>
      <c r="K912" s="5">
        <f t="shared" si="29"/>
        <v>40</v>
      </c>
      <c r="P912" t="str">
        <f t="shared" si="30"/>
        <v>40K</v>
      </c>
    </row>
    <row r="913" spans="1:16" x14ac:dyDescent="0.35">
      <c r="A913">
        <v>2023</v>
      </c>
      <c r="B913" s="6" t="s">
        <v>35</v>
      </c>
      <c r="J913" s="13">
        <v>24030.45</v>
      </c>
      <c r="K913" s="5">
        <f t="shared" si="29"/>
        <v>20</v>
      </c>
      <c r="P913" t="str">
        <f t="shared" si="30"/>
        <v>20K</v>
      </c>
    </row>
    <row r="914" spans="1:16" x14ac:dyDescent="0.35">
      <c r="A914">
        <v>2010</v>
      </c>
      <c r="B914" s="7" t="s">
        <v>23</v>
      </c>
      <c r="J914" s="12">
        <v>44340.36</v>
      </c>
      <c r="K914" s="5">
        <f t="shared" si="29"/>
        <v>40</v>
      </c>
      <c r="P914" t="str">
        <f t="shared" si="30"/>
        <v>40K</v>
      </c>
    </row>
    <row r="915" spans="1:16" x14ac:dyDescent="0.35">
      <c r="A915">
        <v>2019</v>
      </c>
      <c r="B915" s="6" t="s">
        <v>10</v>
      </c>
      <c r="J915" s="13">
        <v>63329.54</v>
      </c>
      <c r="K915" s="5">
        <f t="shared" si="29"/>
        <v>60</v>
      </c>
      <c r="P915" t="str">
        <f t="shared" si="30"/>
        <v>60K</v>
      </c>
    </row>
    <row r="916" spans="1:16" x14ac:dyDescent="0.35">
      <c r="A916">
        <v>2023</v>
      </c>
      <c r="B916" s="7" t="s">
        <v>35</v>
      </c>
      <c r="J916" s="12">
        <v>25282.25</v>
      </c>
      <c r="K916" s="5">
        <f t="shared" si="29"/>
        <v>30</v>
      </c>
      <c r="P916" t="str">
        <f t="shared" si="30"/>
        <v>30K</v>
      </c>
    </row>
    <row r="917" spans="1:16" x14ac:dyDescent="0.35">
      <c r="A917">
        <v>2014</v>
      </c>
      <c r="B917" s="6" t="s">
        <v>25</v>
      </c>
      <c r="J917" s="13">
        <v>32686.71</v>
      </c>
      <c r="K917" s="5">
        <f t="shared" si="29"/>
        <v>30</v>
      </c>
      <c r="P917" t="str">
        <f t="shared" si="30"/>
        <v>30K</v>
      </c>
    </row>
    <row r="918" spans="1:16" x14ac:dyDescent="0.35">
      <c r="A918">
        <v>2015</v>
      </c>
      <c r="B918" s="7" t="s">
        <v>10</v>
      </c>
      <c r="J918" s="12">
        <v>86181.92</v>
      </c>
      <c r="K918" s="5">
        <f t="shared" si="29"/>
        <v>90</v>
      </c>
      <c r="P918" t="str">
        <f t="shared" si="30"/>
        <v>90K</v>
      </c>
    </row>
    <row r="919" spans="1:16" x14ac:dyDescent="0.35">
      <c r="A919">
        <v>2006</v>
      </c>
      <c r="B919" s="6" t="s">
        <v>29</v>
      </c>
      <c r="J919" s="13">
        <v>99905.9</v>
      </c>
      <c r="K919" s="5">
        <f t="shared" si="29"/>
        <v>100</v>
      </c>
      <c r="P919" t="str">
        <f t="shared" si="30"/>
        <v>100K</v>
      </c>
    </row>
    <row r="920" spans="1:16" x14ac:dyDescent="0.35">
      <c r="A920">
        <v>2020</v>
      </c>
      <c r="B920" s="7" t="s">
        <v>27</v>
      </c>
      <c r="J920" s="12">
        <v>35226.410000000003</v>
      </c>
      <c r="K920" s="5">
        <f t="shared" si="29"/>
        <v>40</v>
      </c>
      <c r="P920" t="str">
        <f t="shared" si="30"/>
        <v>40K</v>
      </c>
    </row>
    <row r="921" spans="1:16" x14ac:dyDescent="0.35">
      <c r="A921">
        <v>2009</v>
      </c>
      <c r="B921" s="6" t="s">
        <v>35</v>
      </c>
      <c r="J921" s="13">
        <v>19141.400000000001</v>
      </c>
      <c r="K921" s="5">
        <f t="shared" si="29"/>
        <v>20</v>
      </c>
      <c r="P921" t="str">
        <f t="shared" si="30"/>
        <v>20K</v>
      </c>
    </row>
    <row r="922" spans="1:16" x14ac:dyDescent="0.35">
      <c r="A922">
        <v>2011</v>
      </c>
      <c r="B922" s="7" t="s">
        <v>25</v>
      </c>
      <c r="J922" s="12">
        <v>80351.23</v>
      </c>
      <c r="K922" s="5">
        <f t="shared" si="29"/>
        <v>80</v>
      </c>
      <c r="P922" t="str">
        <f t="shared" si="30"/>
        <v>80K</v>
      </c>
    </row>
    <row r="923" spans="1:16" x14ac:dyDescent="0.35">
      <c r="A923">
        <v>2023</v>
      </c>
      <c r="B923" s="6" t="s">
        <v>10</v>
      </c>
      <c r="J923" s="13">
        <v>62043.29</v>
      </c>
      <c r="K923" s="5">
        <f t="shared" si="29"/>
        <v>60</v>
      </c>
      <c r="P923" t="str">
        <f t="shared" si="30"/>
        <v>60K</v>
      </c>
    </row>
    <row r="924" spans="1:16" x14ac:dyDescent="0.35">
      <c r="A924">
        <v>2013</v>
      </c>
      <c r="B924" s="7" t="s">
        <v>25</v>
      </c>
      <c r="J924" s="12">
        <v>14538.11</v>
      </c>
      <c r="K924" s="5">
        <f t="shared" si="29"/>
        <v>10</v>
      </c>
      <c r="P924" t="str">
        <f t="shared" si="30"/>
        <v>10K</v>
      </c>
    </row>
    <row r="925" spans="1:16" x14ac:dyDescent="0.35">
      <c r="A925">
        <v>2004</v>
      </c>
      <c r="B925" s="6" t="s">
        <v>29</v>
      </c>
      <c r="J925" s="13">
        <v>94943.29</v>
      </c>
      <c r="K925" s="5">
        <f t="shared" si="29"/>
        <v>90</v>
      </c>
      <c r="P925" t="str">
        <f t="shared" si="30"/>
        <v>90K</v>
      </c>
    </row>
    <row r="926" spans="1:16" x14ac:dyDescent="0.35">
      <c r="A926">
        <v>2020</v>
      </c>
      <c r="B926" s="7" t="s">
        <v>23</v>
      </c>
      <c r="J926" s="12">
        <v>12414.71</v>
      </c>
      <c r="K926" s="5">
        <f t="shared" si="29"/>
        <v>10</v>
      </c>
      <c r="P926" t="str">
        <f t="shared" si="30"/>
        <v>10K</v>
      </c>
    </row>
    <row r="927" spans="1:16" x14ac:dyDescent="0.35">
      <c r="A927">
        <v>2017</v>
      </c>
      <c r="B927" s="6" t="s">
        <v>25</v>
      </c>
      <c r="J927" s="13">
        <v>64408.86</v>
      </c>
      <c r="K927" s="5">
        <f t="shared" si="29"/>
        <v>60</v>
      </c>
      <c r="P927" t="str">
        <f t="shared" si="30"/>
        <v>60K</v>
      </c>
    </row>
    <row r="928" spans="1:16" x14ac:dyDescent="0.35">
      <c r="A928">
        <v>2004</v>
      </c>
      <c r="B928" s="7" t="s">
        <v>10</v>
      </c>
      <c r="J928" s="12">
        <v>45274.04</v>
      </c>
      <c r="K928" s="5">
        <f t="shared" si="29"/>
        <v>50</v>
      </c>
      <c r="P928" t="str">
        <f t="shared" si="30"/>
        <v>50K</v>
      </c>
    </row>
    <row r="929" spans="1:16" x14ac:dyDescent="0.35">
      <c r="A929">
        <v>2002</v>
      </c>
      <c r="B929" s="6" t="s">
        <v>25</v>
      </c>
      <c r="J929" s="13">
        <v>57879.27</v>
      </c>
      <c r="K929" s="5">
        <f t="shared" si="29"/>
        <v>60</v>
      </c>
      <c r="P929" t="str">
        <f t="shared" si="30"/>
        <v>60K</v>
      </c>
    </row>
    <row r="930" spans="1:16" x14ac:dyDescent="0.35">
      <c r="A930">
        <v>2022</v>
      </c>
      <c r="B930" s="7" t="s">
        <v>25</v>
      </c>
      <c r="J930" s="12">
        <v>25255.35</v>
      </c>
      <c r="K930" s="5">
        <f t="shared" si="29"/>
        <v>30</v>
      </c>
      <c r="P930" t="str">
        <f t="shared" si="30"/>
        <v>30K</v>
      </c>
    </row>
    <row r="931" spans="1:16" x14ac:dyDescent="0.35">
      <c r="A931">
        <v>2004</v>
      </c>
      <c r="B931" s="6" t="s">
        <v>25</v>
      </c>
      <c r="J931" s="13">
        <v>70370.490000000005</v>
      </c>
      <c r="K931" s="5">
        <f t="shared" si="29"/>
        <v>70</v>
      </c>
      <c r="P931" t="str">
        <f t="shared" si="30"/>
        <v>70K</v>
      </c>
    </row>
    <row r="932" spans="1:16" x14ac:dyDescent="0.35">
      <c r="A932">
        <v>2023</v>
      </c>
      <c r="B932" s="7" t="s">
        <v>20</v>
      </c>
      <c r="J932" s="12">
        <v>96173.37</v>
      </c>
      <c r="K932" s="5">
        <f t="shared" si="29"/>
        <v>100</v>
      </c>
      <c r="P932" t="str">
        <f t="shared" si="30"/>
        <v>100K</v>
      </c>
    </row>
    <row r="933" spans="1:16" x14ac:dyDescent="0.35">
      <c r="A933">
        <v>2016</v>
      </c>
      <c r="B933" s="6" t="s">
        <v>20</v>
      </c>
      <c r="J933" s="13">
        <v>48550.46</v>
      </c>
      <c r="K933" s="5">
        <f t="shared" si="29"/>
        <v>50</v>
      </c>
      <c r="P933" t="str">
        <f t="shared" si="30"/>
        <v>50K</v>
      </c>
    </row>
    <row r="934" spans="1:16" x14ac:dyDescent="0.35">
      <c r="A934">
        <v>2018</v>
      </c>
      <c r="B934" s="7" t="s">
        <v>23</v>
      </c>
      <c r="J934" s="12">
        <v>54681.04</v>
      </c>
      <c r="K934" s="5">
        <f t="shared" si="29"/>
        <v>50</v>
      </c>
      <c r="P934" t="str">
        <f t="shared" si="30"/>
        <v>50K</v>
      </c>
    </row>
    <row r="935" spans="1:16" x14ac:dyDescent="0.35">
      <c r="A935">
        <v>2018</v>
      </c>
      <c r="B935" s="6" t="s">
        <v>35</v>
      </c>
      <c r="J935" s="13">
        <v>27782.11</v>
      </c>
      <c r="K935" s="5">
        <f t="shared" si="29"/>
        <v>30</v>
      </c>
      <c r="P935" t="str">
        <f t="shared" si="30"/>
        <v>30K</v>
      </c>
    </row>
    <row r="936" spans="1:16" x14ac:dyDescent="0.35">
      <c r="A936">
        <v>2020</v>
      </c>
      <c r="B936" s="7" t="s">
        <v>25</v>
      </c>
      <c r="J936" s="12">
        <v>89727.46</v>
      </c>
      <c r="K936" s="5">
        <f t="shared" si="29"/>
        <v>90</v>
      </c>
      <c r="P936" t="str">
        <f t="shared" si="30"/>
        <v>90K</v>
      </c>
    </row>
    <row r="937" spans="1:16" x14ac:dyDescent="0.35">
      <c r="A937">
        <v>2011</v>
      </c>
      <c r="B937" s="6" t="s">
        <v>29</v>
      </c>
      <c r="J937" s="13">
        <v>97261.57</v>
      </c>
      <c r="K937" s="5">
        <f t="shared" si="29"/>
        <v>100</v>
      </c>
      <c r="P937" t="str">
        <f t="shared" si="30"/>
        <v>100K</v>
      </c>
    </row>
    <row r="938" spans="1:16" x14ac:dyDescent="0.35">
      <c r="A938">
        <v>2008</v>
      </c>
      <c r="B938" s="7" t="s">
        <v>35</v>
      </c>
      <c r="J938" s="12">
        <v>79698.2</v>
      </c>
      <c r="K938" s="5">
        <f t="shared" si="29"/>
        <v>80</v>
      </c>
      <c r="P938" t="str">
        <f t="shared" si="30"/>
        <v>80K</v>
      </c>
    </row>
    <row r="939" spans="1:16" x14ac:dyDescent="0.35">
      <c r="A939">
        <v>2000</v>
      </c>
      <c r="B939" s="6" t="s">
        <v>29</v>
      </c>
      <c r="J939" s="13">
        <v>56563.48</v>
      </c>
      <c r="K939" s="5">
        <f t="shared" si="29"/>
        <v>60</v>
      </c>
      <c r="P939" t="str">
        <f t="shared" si="30"/>
        <v>60K</v>
      </c>
    </row>
    <row r="940" spans="1:16" x14ac:dyDescent="0.35">
      <c r="A940">
        <v>2017</v>
      </c>
      <c r="B940" s="7" t="s">
        <v>35</v>
      </c>
      <c r="J940" s="12">
        <v>95895.7</v>
      </c>
      <c r="K940" s="5">
        <f t="shared" si="29"/>
        <v>100</v>
      </c>
      <c r="P940" t="str">
        <f t="shared" si="30"/>
        <v>100K</v>
      </c>
    </row>
    <row r="941" spans="1:16" x14ac:dyDescent="0.35">
      <c r="A941">
        <v>2020</v>
      </c>
      <c r="B941" s="6" t="s">
        <v>23</v>
      </c>
      <c r="J941" s="13">
        <v>19615.759999999998</v>
      </c>
      <c r="K941" s="5">
        <f t="shared" si="29"/>
        <v>20</v>
      </c>
      <c r="P941" t="str">
        <f t="shared" si="30"/>
        <v>20K</v>
      </c>
    </row>
    <row r="942" spans="1:16" x14ac:dyDescent="0.35">
      <c r="A942">
        <v>2003</v>
      </c>
      <c r="B942" s="7" t="s">
        <v>25</v>
      </c>
      <c r="J942" s="12">
        <v>50456.63</v>
      </c>
      <c r="K942" s="5">
        <f t="shared" si="29"/>
        <v>50</v>
      </c>
      <c r="P942" t="str">
        <f t="shared" si="30"/>
        <v>50K</v>
      </c>
    </row>
    <row r="943" spans="1:16" x14ac:dyDescent="0.35">
      <c r="A943">
        <v>2009</v>
      </c>
      <c r="B943" s="6" t="s">
        <v>25</v>
      </c>
      <c r="J943" s="13">
        <v>56072.54</v>
      </c>
      <c r="K943" s="5">
        <f t="shared" si="29"/>
        <v>60</v>
      </c>
      <c r="P943" t="str">
        <f t="shared" si="30"/>
        <v>60K</v>
      </c>
    </row>
    <row r="944" spans="1:16" x14ac:dyDescent="0.35">
      <c r="A944">
        <v>2006</v>
      </c>
      <c r="B944" s="7" t="s">
        <v>27</v>
      </c>
      <c r="J944" s="12">
        <v>51732.06</v>
      </c>
      <c r="K944" s="5">
        <f t="shared" si="29"/>
        <v>50</v>
      </c>
      <c r="P944" t="str">
        <f t="shared" si="30"/>
        <v>50K</v>
      </c>
    </row>
    <row r="945" spans="1:16" x14ac:dyDescent="0.35">
      <c r="A945">
        <v>2021</v>
      </c>
      <c r="B945" s="6" t="s">
        <v>29</v>
      </c>
      <c r="J945" s="13">
        <v>81229.740000000005</v>
      </c>
      <c r="K945" s="5">
        <f t="shared" si="29"/>
        <v>80</v>
      </c>
      <c r="P945" t="str">
        <f t="shared" si="30"/>
        <v>80K</v>
      </c>
    </row>
    <row r="946" spans="1:16" x14ac:dyDescent="0.35">
      <c r="A946">
        <v>2022</v>
      </c>
      <c r="B946" s="7" t="s">
        <v>35</v>
      </c>
      <c r="J946" s="12">
        <v>68688.27</v>
      </c>
      <c r="K946" s="5">
        <f t="shared" si="29"/>
        <v>70</v>
      </c>
      <c r="P946" t="str">
        <f t="shared" si="30"/>
        <v>70K</v>
      </c>
    </row>
    <row r="947" spans="1:16" x14ac:dyDescent="0.35">
      <c r="A947">
        <v>2000</v>
      </c>
      <c r="B947" s="6" t="s">
        <v>35</v>
      </c>
      <c r="J947" s="13">
        <v>17032.55</v>
      </c>
      <c r="K947" s="5">
        <f t="shared" si="29"/>
        <v>20</v>
      </c>
      <c r="P947" t="str">
        <f t="shared" si="30"/>
        <v>20K</v>
      </c>
    </row>
    <row r="948" spans="1:16" x14ac:dyDescent="0.35">
      <c r="A948">
        <v>2016</v>
      </c>
      <c r="B948" s="7" t="s">
        <v>20</v>
      </c>
      <c r="J948" s="12">
        <v>37912.870000000003</v>
      </c>
      <c r="K948" s="5">
        <f t="shared" si="29"/>
        <v>40</v>
      </c>
      <c r="P948" t="str">
        <f t="shared" si="30"/>
        <v>40K</v>
      </c>
    </row>
    <row r="949" spans="1:16" x14ac:dyDescent="0.35">
      <c r="A949">
        <v>2023</v>
      </c>
      <c r="B949" s="6" t="s">
        <v>27</v>
      </c>
      <c r="J949" s="13">
        <v>37212.300000000003</v>
      </c>
      <c r="K949" s="5">
        <f t="shared" si="29"/>
        <v>40</v>
      </c>
      <c r="P949" t="str">
        <f t="shared" si="30"/>
        <v>40K</v>
      </c>
    </row>
    <row r="950" spans="1:16" x14ac:dyDescent="0.35">
      <c r="A950">
        <v>2001</v>
      </c>
      <c r="B950" s="7" t="s">
        <v>10</v>
      </c>
      <c r="J950" s="12">
        <v>58735.06</v>
      </c>
      <c r="K950" s="5">
        <f t="shared" si="29"/>
        <v>60</v>
      </c>
      <c r="P950" t="str">
        <f t="shared" si="30"/>
        <v>60K</v>
      </c>
    </row>
    <row r="951" spans="1:16" x14ac:dyDescent="0.35">
      <c r="A951">
        <v>2010</v>
      </c>
      <c r="B951" s="6" t="s">
        <v>10</v>
      </c>
      <c r="J951" s="13">
        <v>32688.55</v>
      </c>
      <c r="K951" s="5">
        <f t="shared" si="29"/>
        <v>30</v>
      </c>
      <c r="P951" t="str">
        <f t="shared" si="30"/>
        <v>30K</v>
      </c>
    </row>
    <row r="952" spans="1:16" x14ac:dyDescent="0.35">
      <c r="A952">
        <v>2008</v>
      </c>
      <c r="B952" s="7" t="s">
        <v>20</v>
      </c>
      <c r="J952" s="12">
        <v>16140.82</v>
      </c>
      <c r="K952" s="5">
        <f t="shared" si="29"/>
        <v>20</v>
      </c>
      <c r="P952" t="str">
        <f t="shared" si="30"/>
        <v>20K</v>
      </c>
    </row>
    <row r="953" spans="1:16" x14ac:dyDescent="0.35">
      <c r="A953">
        <v>2006</v>
      </c>
      <c r="B953" s="6" t="s">
        <v>20</v>
      </c>
      <c r="J953" s="13">
        <v>67099.850000000006</v>
      </c>
      <c r="K953" s="5">
        <f t="shared" si="29"/>
        <v>70</v>
      </c>
      <c r="P953" t="str">
        <f t="shared" si="30"/>
        <v>70K</v>
      </c>
    </row>
    <row r="954" spans="1:16" x14ac:dyDescent="0.35">
      <c r="A954">
        <v>2021</v>
      </c>
      <c r="B954" s="7" t="s">
        <v>20</v>
      </c>
      <c r="J954" s="12">
        <v>85848.51</v>
      </c>
      <c r="K954" s="5">
        <f t="shared" si="29"/>
        <v>90</v>
      </c>
      <c r="P954" t="str">
        <f t="shared" si="30"/>
        <v>90K</v>
      </c>
    </row>
    <row r="955" spans="1:16" x14ac:dyDescent="0.35">
      <c r="A955">
        <v>2016</v>
      </c>
      <c r="B955" s="6" t="s">
        <v>29</v>
      </c>
      <c r="J955" s="13">
        <v>93502.77</v>
      </c>
      <c r="K955" s="5">
        <f t="shared" si="29"/>
        <v>90</v>
      </c>
      <c r="P955" t="str">
        <f t="shared" si="30"/>
        <v>90K</v>
      </c>
    </row>
    <row r="956" spans="1:16" x14ac:dyDescent="0.35">
      <c r="A956">
        <v>2016</v>
      </c>
      <c r="B956" s="7" t="s">
        <v>29</v>
      </c>
      <c r="J956" s="12">
        <v>97394.95</v>
      </c>
      <c r="K956" s="5">
        <f t="shared" si="29"/>
        <v>100</v>
      </c>
      <c r="P956" t="str">
        <f t="shared" si="30"/>
        <v>100K</v>
      </c>
    </row>
    <row r="957" spans="1:16" x14ac:dyDescent="0.35">
      <c r="A957">
        <v>2001</v>
      </c>
      <c r="B957" s="6" t="s">
        <v>23</v>
      </c>
      <c r="J957" s="13">
        <v>79206.100000000006</v>
      </c>
      <c r="K957" s="5">
        <f t="shared" si="29"/>
        <v>80</v>
      </c>
      <c r="P957" t="str">
        <f t="shared" si="30"/>
        <v>80K</v>
      </c>
    </row>
    <row r="958" spans="1:16" x14ac:dyDescent="0.35">
      <c r="A958">
        <v>2005</v>
      </c>
      <c r="B958" s="7" t="s">
        <v>23</v>
      </c>
      <c r="J958" s="12">
        <v>18271.73</v>
      </c>
      <c r="K958" s="5">
        <f t="shared" si="29"/>
        <v>20</v>
      </c>
      <c r="P958" t="str">
        <f t="shared" si="30"/>
        <v>20K</v>
      </c>
    </row>
    <row r="959" spans="1:16" x14ac:dyDescent="0.35">
      <c r="A959">
        <v>2013</v>
      </c>
      <c r="B959" s="6" t="s">
        <v>20</v>
      </c>
      <c r="J959" s="13">
        <v>86045.62</v>
      </c>
      <c r="K959" s="5">
        <f t="shared" si="29"/>
        <v>90</v>
      </c>
      <c r="P959" t="str">
        <f t="shared" si="30"/>
        <v>90K</v>
      </c>
    </row>
    <row r="960" spans="1:16" x14ac:dyDescent="0.35">
      <c r="A960">
        <v>2005</v>
      </c>
      <c r="B960" s="7" t="s">
        <v>27</v>
      </c>
      <c r="J960" s="12">
        <v>42996.21</v>
      </c>
      <c r="K960" s="5">
        <f t="shared" si="29"/>
        <v>40</v>
      </c>
      <c r="P960" t="str">
        <f t="shared" si="30"/>
        <v>40K</v>
      </c>
    </row>
    <row r="961" spans="1:16" x14ac:dyDescent="0.35">
      <c r="A961">
        <v>2001</v>
      </c>
      <c r="B961" s="6" t="s">
        <v>35</v>
      </c>
      <c r="J961" s="13">
        <v>74341.570000000007</v>
      </c>
      <c r="K961" s="5">
        <f t="shared" si="29"/>
        <v>70</v>
      </c>
      <c r="P961" t="str">
        <f t="shared" si="30"/>
        <v>70K</v>
      </c>
    </row>
    <row r="962" spans="1:16" x14ac:dyDescent="0.35">
      <c r="A962">
        <v>2000</v>
      </c>
      <c r="B962" s="7" t="s">
        <v>29</v>
      </c>
      <c r="J962" s="12">
        <v>55470.46</v>
      </c>
      <c r="K962" s="5">
        <f t="shared" si="29"/>
        <v>60</v>
      </c>
      <c r="P962" t="str">
        <f t="shared" si="30"/>
        <v>60K</v>
      </c>
    </row>
    <row r="963" spans="1:16" x14ac:dyDescent="0.35">
      <c r="A963">
        <v>2009</v>
      </c>
      <c r="B963" s="6" t="s">
        <v>27</v>
      </c>
      <c r="J963" s="13">
        <v>83717.58</v>
      </c>
      <c r="K963" s="5">
        <f t="shared" ref="K963:K1026" si="31">ROUND(J963/10000,0)*10</f>
        <v>80</v>
      </c>
      <c r="P963" t="str">
        <f t="shared" ref="P963:P1026" si="32">TEXT(ROUND(J963/10000,0)*10,"0") &amp; "K"</f>
        <v>80K</v>
      </c>
    </row>
    <row r="964" spans="1:16" x14ac:dyDescent="0.35">
      <c r="A964">
        <v>2020</v>
      </c>
      <c r="B964" s="7" t="s">
        <v>25</v>
      </c>
      <c r="J964" s="12">
        <v>45423.040000000001</v>
      </c>
      <c r="K964" s="5">
        <f t="shared" si="31"/>
        <v>50</v>
      </c>
      <c r="P964" t="str">
        <f t="shared" si="32"/>
        <v>50K</v>
      </c>
    </row>
    <row r="965" spans="1:16" x14ac:dyDescent="0.35">
      <c r="A965">
        <v>2004</v>
      </c>
      <c r="B965" s="6" t="s">
        <v>29</v>
      </c>
      <c r="J965" s="13">
        <v>10870.41</v>
      </c>
      <c r="K965" s="5">
        <f t="shared" si="31"/>
        <v>10</v>
      </c>
      <c r="P965" t="str">
        <f t="shared" si="32"/>
        <v>10K</v>
      </c>
    </row>
    <row r="966" spans="1:16" x14ac:dyDescent="0.35">
      <c r="A966">
        <v>2001</v>
      </c>
      <c r="B966" s="7" t="s">
        <v>29</v>
      </c>
      <c r="J966" s="12">
        <v>57898.25</v>
      </c>
      <c r="K966" s="5">
        <f t="shared" si="31"/>
        <v>60</v>
      </c>
      <c r="P966" t="str">
        <f t="shared" si="32"/>
        <v>60K</v>
      </c>
    </row>
    <row r="967" spans="1:16" x14ac:dyDescent="0.35">
      <c r="A967">
        <v>2021</v>
      </c>
      <c r="B967" s="6" t="s">
        <v>23</v>
      </c>
      <c r="J967" s="13">
        <v>21272.6</v>
      </c>
      <c r="K967" s="5">
        <f t="shared" si="31"/>
        <v>20</v>
      </c>
      <c r="P967" t="str">
        <f t="shared" si="32"/>
        <v>20K</v>
      </c>
    </row>
    <row r="968" spans="1:16" x14ac:dyDescent="0.35">
      <c r="A968">
        <v>2015</v>
      </c>
      <c r="B968" s="7" t="s">
        <v>35</v>
      </c>
      <c r="J968" s="12">
        <v>96724.18</v>
      </c>
      <c r="K968" s="5">
        <f t="shared" si="31"/>
        <v>100</v>
      </c>
      <c r="P968" t="str">
        <f t="shared" si="32"/>
        <v>100K</v>
      </c>
    </row>
    <row r="969" spans="1:16" x14ac:dyDescent="0.35">
      <c r="A969">
        <v>2001</v>
      </c>
      <c r="B969" s="6" t="s">
        <v>35</v>
      </c>
      <c r="J969" s="13">
        <v>55061.49</v>
      </c>
      <c r="K969" s="5">
        <f t="shared" si="31"/>
        <v>60</v>
      </c>
      <c r="P969" t="str">
        <f t="shared" si="32"/>
        <v>60K</v>
      </c>
    </row>
    <row r="970" spans="1:16" x14ac:dyDescent="0.35">
      <c r="A970">
        <v>2009</v>
      </c>
      <c r="B970" s="7" t="s">
        <v>10</v>
      </c>
      <c r="J970" s="12">
        <v>57588.09</v>
      </c>
      <c r="K970" s="5">
        <f t="shared" si="31"/>
        <v>60</v>
      </c>
      <c r="P970" t="str">
        <f t="shared" si="32"/>
        <v>60K</v>
      </c>
    </row>
    <row r="971" spans="1:16" x14ac:dyDescent="0.35">
      <c r="A971">
        <v>2001</v>
      </c>
      <c r="B971" s="6" t="s">
        <v>10</v>
      </c>
      <c r="J971" s="13">
        <v>91190.24</v>
      </c>
      <c r="K971" s="5">
        <f t="shared" si="31"/>
        <v>90</v>
      </c>
      <c r="P971" t="str">
        <f t="shared" si="32"/>
        <v>90K</v>
      </c>
    </row>
    <row r="972" spans="1:16" x14ac:dyDescent="0.35">
      <c r="A972">
        <v>2015</v>
      </c>
      <c r="B972" s="7" t="s">
        <v>10</v>
      </c>
      <c r="J972" s="12">
        <v>64335.6</v>
      </c>
      <c r="K972" s="5">
        <f t="shared" si="31"/>
        <v>60</v>
      </c>
      <c r="P972" t="str">
        <f t="shared" si="32"/>
        <v>60K</v>
      </c>
    </row>
    <row r="973" spans="1:16" x14ac:dyDescent="0.35">
      <c r="A973">
        <v>2015</v>
      </c>
      <c r="B973" s="6" t="s">
        <v>10</v>
      </c>
      <c r="J973" s="13">
        <v>33759.29</v>
      </c>
      <c r="K973" s="5">
        <f t="shared" si="31"/>
        <v>30</v>
      </c>
      <c r="P973" t="str">
        <f t="shared" si="32"/>
        <v>30K</v>
      </c>
    </row>
    <row r="974" spans="1:16" x14ac:dyDescent="0.35">
      <c r="A974">
        <v>2018</v>
      </c>
      <c r="B974" s="7" t="s">
        <v>25</v>
      </c>
      <c r="J974" s="12">
        <v>33128.99</v>
      </c>
      <c r="K974" s="5">
        <f t="shared" si="31"/>
        <v>30</v>
      </c>
      <c r="P974" t="str">
        <f t="shared" si="32"/>
        <v>30K</v>
      </c>
    </row>
    <row r="975" spans="1:16" x14ac:dyDescent="0.35">
      <c r="A975">
        <v>2006</v>
      </c>
      <c r="B975" s="6" t="s">
        <v>25</v>
      </c>
      <c r="J975" s="13">
        <v>52649.97</v>
      </c>
      <c r="K975" s="5">
        <f t="shared" si="31"/>
        <v>50</v>
      </c>
      <c r="P975" t="str">
        <f t="shared" si="32"/>
        <v>50K</v>
      </c>
    </row>
    <row r="976" spans="1:16" x14ac:dyDescent="0.35">
      <c r="A976">
        <v>2021</v>
      </c>
      <c r="B976" s="7" t="s">
        <v>29</v>
      </c>
      <c r="J976" s="12">
        <v>87327.78</v>
      </c>
      <c r="K976" s="5">
        <f t="shared" si="31"/>
        <v>90</v>
      </c>
      <c r="P976" t="str">
        <f t="shared" si="32"/>
        <v>90K</v>
      </c>
    </row>
    <row r="977" spans="1:16" x14ac:dyDescent="0.35">
      <c r="A977">
        <v>2011</v>
      </c>
      <c r="B977" s="6" t="s">
        <v>20</v>
      </c>
      <c r="J977" s="13">
        <v>80499.289999999994</v>
      </c>
      <c r="K977" s="5">
        <f t="shared" si="31"/>
        <v>80</v>
      </c>
      <c r="P977" t="str">
        <f t="shared" si="32"/>
        <v>80K</v>
      </c>
    </row>
    <row r="978" spans="1:16" x14ac:dyDescent="0.35">
      <c r="A978">
        <v>2023</v>
      </c>
      <c r="B978" s="7" t="s">
        <v>23</v>
      </c>
      <c r="J978" s="12">
        <v>96460.36</v>
      </c>
      <c r="K978" s="5">
        <f t="shared" si="31"/>
        <v>100</v>
      </c>
      <c r="P978" t="str">
        <f t="shared" si="32"/>
        <v>100K</v>
      </c>
    </row>
    <row r="979" spans="1:16" x14ac:dyDescent="0.35">
      <c r="A979">
        <v>2014</v>
      </c>
      <c r="B979" s="6" t="s">
        <v>23</v>
      </c>
      <c r="J979" s="13">
        <v>11829.18</v>
      </c>
      <c r="K979" s="5">
        <f t="shared" si="31"/>
        <v>10</v>
      </c>
      <c r="P979" t="str">
        <f t="shared" si="32"/>
        <v>10K</v>
      </c>
    </row>
    <row r="980" spans="1:16" x14ac:dyDescent="0.35">
      <c r="A980">
        <v>2007</v>
      </c>
      <c r="B980" s="7" t="s">
        <v>10</v>
      </c>
      <c r="J980" s="12">
        <v>30490.98</v>
      </c>
      <c r="K980" s="5">
        <f t="shared" si="31"/>
        <v>30</v>
      </c>
      <c r="P980" t="str">
        <f t="shared" si="32"/>
        <v>30K</v>
      </c>
    </row>
    <row r="981" spans="1:16" x14ac:dyDescent="0.35">
      <c r="A981">
        <v>2005</v>
      </c>
      <c r="B981" s="6" t="s">
        <v>29</v>
      </c>
      <c r="J981" s="13">
        <v>12619.73</v>
      </c>
      <c r="K981" s="5">
        <f t="shared" si="31"/>
        <v>10</v>
      </c>
      <c r="P981" t="str">
        <f t="shared" si="32"/>
        <v>10K</v>
      </c>
    </row>
    <row r="982" spans="1:16" x14ac:dyDescent="0.35">
      <c r="A982">
        <v>2009</v>
      </c>
      <c r="B982" s="7" t="s">
        <v>27</v>
      </c>
      <c r="J982" s="12">
        <v>76352.52</v>
      </c>
      <c r="K982" s="5">
        <f t="shared" si="31"/>
        <v>80</v>
      </c>
      <c r="P982" t="str">
        <f t="shared" si="32"/>
        <v>80K</v>
      </c>
    </row>
    <row r="983" spans="1:16" x14ac:dyDescent="0.35">
      <c r="A983">
        <v>2002</v>
      </c>
      <c r="B983" s="6" t="s">
        <v>20</v>
      </c>
      <c r="J983" s="13">
        <v>18379.2</v>
      </c>
      <c r="K983" s="5">
        <f t="shared" si="31"/>
        <v>20</v>
      </c>
      <c r="P983" t="str">
        <f t="shared" si="32"/>
        <v>20K</v>
      </c>
    </row>
    <row r="984" spans="1:16" x14ac:dyDescent="0.35">
      <c r="A984">
        <v>2018</v>
      </c>
      <c r="B984" s="7" t="s">
        <v>29</v>
      </c>
      <c r="J984" s="12">
        <v>14489.2</v>
      </c>
      <c r="K984" s="5">
        <f t="shared" si="31"/>
        <v>10</v>
      </c>
      <c r="P984" t="str">
        <f t="shared" si="32"/>
        <v>10K</v>
      </c>
    </row>
    <row r="985" spans="1:16" x14ac:dyDescent="0.35">
      <c r="A985">
        <v>2016</v>
      </c>
      <c r="B985" s="6" t="s">
        <v>20</v>
      </c>
      <c r="J985" s="13">
        <v>58358.86</v>
      </c>
      <c r="K985" s="5">
        <f t="shared" si="31"/>
        <v>60</v>
      </c>
      <c r="P985" t="str">
        <f t="shared" si="32"/>
        <v>60K</v>
      </c>
    </row>
    <row r="986" spans="1:16" x14ac:dyDescent="0.35">
      <c r="A986">
        <v>2006</v>
      </c>
      <c r="B986" s="7" t="s">
        <v>20</v>
      </c>
      <c r="J986" s="12">
        <v>44091.05</v>
      </c>
      <c r="K986" s="5">
        <f t="shared" si="31"/>
        <v>40</v>
      </c>
      <c r="P986" t="str">
        <f t="shared" si="32"/>
        <v>40K</v>
      </c>
    </row>
    <row r="987" spans="1:16" x14ac:dyDescent="0.35">
      <c r="A987">
        <v>2020</v>
      </c>
      <c r="B987" s="6" t="s">
        <v>20</v>
      </c>
      <c r="J987" s="13">
        <v>72934.63</v>
      </c>
      <c r="K987" s="5">
        <f t="shared" si="31"/>
        <v>70</v>
      </c>
      <c r="P987" t="str">
        <f t="shared" si="32"/>
        <v>70K</v>
      </c>
    </row>
    <row r="988" spans="1:16" x14ac:dyDescent="0.35">
      <c r="A988">
        <v>2019</v>
      </c>
      <c r="B988" s="7" t="s">
        <v>29</v>
      </c>
      <c r="J988" s="12">
        <v>51266.46</v>
      </c>
      <c r="K988" s="5">
        <f t="shared" si="31"/>
        <v>50</v>
      </c>
      <c r="P988" t="str">
        <f t="shared" si="32"/>
        <v>50K</v>
      </c>
    </row>
    <row r="989" spans="1:16" x14ac:dyDescent="0.35">
      <c r="A989">
        <v>2003</v>
      </c>
      <c r="B989" s="6" t="s">
        <v>10</v>
      </c>
      <c r="J989" s="13">
        <v>45406.79</v>
      </c>
      <c r="K989" s="5">
        <f t="shared" si="31"/>
        <v>50</v>
      </c>
      <c r="P989" t="str">
        <f t="shared" si="32"/>
        <v>50K</v>
      </c>
    </row>
    <row r="990" spans="1:16" x14ac:dyDescent="0.35">
      <c r="A990">
        <v>2013</v>
      </c>
      <c r="B990" s="7" t="s">
        <v>23</v>
      </c>
      <c r="J990" s="12">
        <v>45422.54</v>
      </c>
      <c r="K990" s="5">
        <f t="shared" si="31"/>
        <v>50</v>
      </c>
      <c r="P990" t="str">
        <f t="shared" si="32"/>
        <v>50K</v>
      </c>
    </row>
    <row r="991" spans="1:16" x14ac:dyDescent="0.35">
      <c r="A991">
        <v>2019</v>
      </c>
      <c r="B991" s="6" t="s">
        <v>23</v>
      </c>
      <c r="J991" s="13">
        <v>87828.26</v>
      </c>
      <c r="K991" s="5">
        <f t="shared" si="31"/>
        <v>90</v>
      </c>
      <c r="P991" t="str">
        <f t="shared" si="32"/>
        <v>90K</v>
      </c>
    </row>
    <row r="992" spans="1:16" x14ac:dyDescent="0.35">
      <c r="A992">
        <v>2021</v>
      </c>
      <c r="B992" s="7" t="s">
        <v>10</v>
      </c>
      <c r="J992" s="12">
        <v>42546.44</v>
      </c>
      <c r="K992" s="5">
        <f t="shared" si="31"/>
        <v>40</v>
      </c>
      <c r="P992" t="str">
        <f t="shared" si="32"/>
        <v>40K</v>
      </c>
    </row>
    <row r="993" spans="1:16" x14ac:dyDescent="0.35">
      <c r="A993">
        <v>2014</v>
      </c>
      <c r="B993" s="6" t="s">
        <v>20</v>
      </c>
      <c r="J993" s="13">
        <v>36672.730000000003</v>
      </c>
      <c r="K993" s="5">
        <f t="shared" si="31"/>
        <v>40</v>
      </c>
      <c r="P993" t="str">
        <f t="shared" si="32"/>
        <v>40K</v>
      </c>
    </row>
    <row r="994" spans="1:16" x14ac:dyDescent="0.35">
      <c r="A994">
        <v>2023</v>
      </c>
      <c r="B994" s="7" t="s">
        <v>27</v>
      </c>
      <c r="J994" s="12">
        <v>37160.83</v>
      </c>
      <c r="K994" s="5">
        <f t="shared" si="31"/>
        <v>40</v>
      </c>
      <c r="P994" t="str">
        <f t="shared" si="32"/>
        <v>40K</v>
      </c>
    </row>
    <row r="995" spans="1:16" x14ac:dyDescent="0.35">
      <c r="A995">
        <v>2007</v>
      </c>
      <c r="B995" s="6" t="s">
        <v>35</v>
      </c>
      <c r="J995" s="13">
        <v>23677.08</v>
      </c>
      <c r="K995" s="5">
        <f t="shared" si="31"/>
        <v>20</v>
      </c>
      <c r="P995" t="str">
        <f t="shared" si="32"/>
        <v>20K</v>
      </c>
    </row>
    <row r="996" spans="1:16" x14ac:dyDescent="0.35">
      <c r="A996">
        <v>2020</v>
      </c>
      <c r="B996" s="7" t="s">
        <v>29</v>
      </c>
      <c r="J996" s="12">
        <v>86765.440000000002</v>
      </c>
      <c r="K996" s="5">
        <f t="shared" si="31"/>
        <v>90</v>
      </c>
      <c r="P996" t="str">
        <f t="shared" si="32"/>
        <v>90K</v>
      </c>
    </row>
    <row r="997" spans="1:16" x14ac:dyDescent="0.35">
      <c r="A997">
        <v>2014</v>
      </c>
      <c r="B997" s="6" t="s">
        <v>35</v>
      </c>
      <c r="J997" s="13">
        <v>18929.93</v>
      </c>
      <c r="K997" s="5">
        <f t="shared" si="31"/>
        <v>20</v>
      </c>
      <c r="P997" t="str">
        <f t="shared" si="32"/>
        <v>20K</v>
      </c>
    </row>
    <row r="998" spans="1:16" x14ac:dyDescent="0.35">
      <c r="A998">
        <v>2021</v>
      </c>
      <c r="B998" s="7" t="s">
        <v>10</v>
      </c>
      <c r="J998" s="12">
        <v>91318.02</v>
      </c>
      <c r="K998" s="5">
        <f t="shared" si="31"/>
        <v>90</v>
      </c>
      <c r="P998" t="str">
        <f t="shared" si="32"/>
        <v>90K</v>
      </c>
    </row>
    <row r="999" spans="1:16" x14ac:dyDescent="0.35">
      <c r="A999">
        <v>2019</v>
      </c>
      <c r="B999" s="6" t="s">
        <v>27</v>
      </c>
      <c r="J999" s="13">
        <v>31929.43</v>
      </c>
      <c r="K999" s="5">
        <f t="shared" si="31"/>
        <v>30</v>
      </c>
      <c r="P999" t="str">
        <f t="shared" si="32"/>
        <v>30K</v>
      </c>
    </row>
    <row r="1000" spans="1:16" x14ac:dyDescent="0.35">
      <c r="A1000">
        <v>2013</v>
      </c>
      <c r="B1000" s="7" t="s">
        <v>29</v>
      </c>
      <c r="J1000" s="12">
        <v>90445.55</v>
      </c>
      <c r="K1000" s="5">
        <f t="shared" si="31"/>
        <v>90</v>
      </c>
      <c r="P1000" t="str">
        <f t="shared" si="32"/>
        <v>90K</v>
      </c>
    </row>
    <row r="1001" spans="1:16" x14ac:dyDescent="0.35">
      <c r="A1001">
        <v>2008</v>
      </c>
      <c r="B1001" s="6" t="s">
        <v>10</v>
      </c>
      <c r="J1001" s="13">
        <v>80127.960000000006</v>
      </c>
      <c r="K1001" s="5">
        <f t="shared" si="31"/>
        <v>80</v>
      </c>
      <c r="P1001" t="str">
        <f t="shared" si="32"/>
        <v>80K</v>
      </c>
    </row>
    <row r="1002" spans="1:16" x14ac:dyDescent="0.35">
      <c r="A1002">
        <v>2007</v>
      </c>
      <c r="B1002" s="7" t="s">
        <v>20</v>
      </c>
      <c r="J1002" s="12">
        <v>60288.81</v>
      </c>
      <c r="K1002" s="5">
        <f t="shared" si="31"/>
        <v>60</v>
      </c>
      <c r="P1002" t="str">
        <f t="shared" si="32"/>
        <v>60K</v>
      </c>
    </row>
    <row r="1003" spans="1:16" x14ac:dyDescent="0.35">
      <c r="A1003">
        <v>2016</v>
      </c>
      <c r="B1003" s="6" t="s">
        <v>23</v>
      </c>
      <c r="J1003" s="13">
        <v>68599.649999999994</v>
      </c>
      <c r="K1003" s="5">
        <f t="shared" si="31"/>
        <v>70</v>
      </c>
      <c r="P1003" t="str">
        <f t="shared" si="32"/>
        <v>70K</v>
      </c>
    </row>
    <row r="1004" spans="1:16" x14ac:dyDescent="0.35">
      <c r="A1004">
        <v>2001</v>
      </c>
      <c r="B1004" s="7" t="s">
        <v>35</v>
      </c>
      <c r="J1004" s="12">
        <v>35955.19</v>
      </c>
      <c r="K1004" s="5">
        <f t="shared" si="31"/>
        <v>40</v>
      </c>
      <c r="P1004" t="str">
        <f t="shared" si="32"/>
        <v>40K</v>
      </c>
    </row>
    <row r="1005" spans="1:16" x14ac:dyDescent="0.35">
      <c r="A1005">
        <v>2023</v>
      </c>
      <c r="B1005" s="6" t="s">
        <v>25</v>
      </c>
      <c r="J1005" s="13">
        <v>59551.72</v>
      </c>
      <c r="K1005" s="5">
        <f t="shared" si="31"/>
        <v>60</v>
      </c>
      <c r="P1005" t="str">
        <f t="shared" si="32"/>
        <v>60K</v>
      </c>
    </row>
    <row r="1006" spans="1:16" x14ac:dyDescent="0.35">
      <c r="A1006">
        <v>2002</v>
      </c>
      <c r="B1006" s="7" t="s">
        <v>25</v>
      </c>
      <c r="J1006" s="12">
        <v>32778.28</v>
      </c>
      <c r="K1006" s="5">
        <f t="shared" si="31"/>
        <v>30</v>
      </c>
      <c r="P1006" t="str">
        <f t="shared" si="32"/>
        <v>30K</v>
      </c>
    </row>
    <row r="1007" spans="1:16" x14ac:dyDescent="0.35">
      <c r="A1007">
        <v>2007</v>
      </c>
      <c r="B1007" s="6" t="s">
        <v>27</v>
      </c>
      <c r="J1007" s="13">
        <v>43215.92</v>
      </c>
      <c r="K1007" s="5">
        <f t="shared" si="31"/>
        <v>40</v>
      </c>
      <c r="P1007" t="str">
        <f t="shared" si="32"/>
        <v>40K</v>
      </c>
    </row>
    <row r="1008" spans="1:16" x14ac:dyDescent="0.35">
      <c r="A1008">
        <v>2011</v>
      </c>
      <c r="B1008" s="7" t="s">
        <v>20</v>
      </c>
      <c r="J1008" s="12">
        <v>77642.94</v>
      </c>
      <c r="K1008" s="5">
        <f t="shared" si="31"/>
        <v>80</v>
      </c>
      <c r="P1008" t="str">
        <f t="shared" si="32"/>
        <v>80K</v>
      </c>
    </row>
    <row r="1009" spans="1:16" x14ac:dyDescent="0.35">
      <c r="A1009">
        <v>2000</v>
      </c>
      <c r="B1009" s="6" t="s">
        <v>35</v>
      </c>
      <c r="J1009" s="13">
        <v>28173.59</v>
      </c>
      <c r="K1009" s="5">
        <f t="shared" si="31"/>
        <v>30</v>
      </c>
      <c r="P1009" t="str">
        <f t="shared" si="32"/>
        <v>30K</v>
      </c>
    </row>
    <row r="1010" spans="1:16" x14ac:dyDescent="0.35">
      <c r="A1010">
        <v>2009</v>
      </c>
      <c r="B1010" s="7" t="s">
        <v>20</v>
      </c>
      <c r="J1010" s="12">
        <v>84690.37</v>
      </c>
      <c r="K1010" s="5">
        <f t="shared" si="31"/>
        <v>80</v>
      </c>
      <c r="P1010" t="str">
        <f t="shared" si="32"/>
        <v>80K</v>
      </c>
    </row>
    <row r="1011" spans="1:16" x14ac:dyDescent="0.35">
      <c r="A1011">
        <v>2019</v>
      </c>
      <c r="B1011" s="6" t="s">
        <v>35</v>
      </c>
      <c r="J1011" s="13">
        <v>40708.870000000003</v>
      </c>
      <c r="K1011" s="5">
        <f t="shared" si="31"/>
        <v>40</v>
      </c>
      <c r="P1011" t="str">
        <f t="shared" si="32"/>
        <v>40K</v>
      </c>
    </row>
    <row r="1012" spans="1:16" x14ac:dyDescent="0.35">
      <c r="A1012">
        <v>2002</v>
      </c>
      <c r="B1012" s="7" t="s">
        <v>27</v>
      </c>
      <c r="J1012" s="12">
        <v>55556.15</v>
      </c>
      <c r="K1012" s="5">
        <f t="shared" si="31"/>
        <v>60</v>
      </c>
      <c r="P1012" t="str">
        <f t="shared" si="32"/>
        <v>60K</v>
      </c>
    </row>
    <row r="1013" spans="1:16" x14ac:dyDescent="0.35">
      <c r="A1013">
        <v>2005</v>
      </c>
      <c r="B1013" s="6" t="s">
        <v>27</v>
      </c>
      <c r="J1013" s="13">
        <v>94486.25</v>
      </c>
      <c r="K1013" s="5">
        <f t="shared" si="31"/>
        <v>90</v>
      </c>
      <c r="P1013" t="str">
        <f t="shared" si="32"/>
        <v>90K</v>
      </c>
    </row>
    <row r="1014" spans="1:16" x14ac:dyDescent="0.35">
      <c r="A1014">
        <v>2006</v>
      </c>
      <c r="B1014" s="7" t="s">
        <v>25</v>
      </c>
      <c r="J1014" s="12">
        <v>69719.28</v>
      </c>
      <c r="K1014" s="5">
        <f t="shared" si="31"/>
        <v>70</v>
      </c>
      <c r="P1014" t="str">
        <f t="shared" si="32"/>
        <v>70K</v>
      </c>
    </row>
    <row r="1015" spans="1:16" x14ac:dyDescent="0.35">
      <c r="A1015">
        <v>2019</v>
      </c>
      <c r="B1015" s="6" t="s">
        <v>20</v>
      </c>
      <c r="J1015" s="13">
        <v>66332.39</v>
      </c>
      <c r="K1015" s="5">
        <f t="shared" si="31"/>
        <v>70</v>
      </c>
      <c r="P1015" t="str">
        <f t="shared" si="32"/>
        <v>70K</v>
      </c>
    </row>
    <row r="1016" spans="1:16" x14ac:dyDescent="0.35">
      <c r="A1016">
        <v>2022</v>
      </c>
      <c r="B1016" s="7" t="s">
        <v>29</v>
      </c>
      <c r="J1016" s="12">
        <v>72602.73</v>
      </c>
      <c r="K1016" s="5">
        <f t="shared" si="31"/>
        <v>70</v>
      </c>
      <c r="P1016" t="str">
        <f t="shared" si="32"/>
        <v>70K</v>
      </c>
    </row>
    <row r="1017" spans="1:16" x14ac:dyDescent="0.35">
      <c r="A1017">
        <v>2017</v>
      </c>
      <c r="B1017" s="6" t="s">
        <v>25</v>
      </c>
      <c r="J1017" s="13">
        <v>92220.58</v>
      </c>
      <c r="K1017" s="5">
        <f t="shared" si="31"/>
        <v>90</v>
      </c>
      <c r="P1017" t="str">
        <f t="shared" si="32"/>
        <v>90K</v>
      </c>
    </row>
    <row r="1018" spans="1:16" x14ac:dyDescent="0.35">
      <c r="A1018">
        <v>2010</v>
      </c>
      <c r="B1018" s="7" t="s">
        <v>20</v>
      </c>
      <c r="J1018" s="12">
        <v>28608.799999999999</v>
      </c>
      <c r="K1018" s="5">
        <f t="shared" si="31"/>
        <v>30</v>
      </c>
      <c r="P1018" t="str">
        <f t="shared" si="32"/>
        <v>30K</v>
      </c>
    </row>
    <row r="1019" spans="1:16" x14ac:dyDescent="0.35">
      <c r="A1019">
        <v>2018</v>
      </c>
      <c r="B1019" s="6" t="s">
        <v>25</v>
      </c>
      <c r="J1019" s="13">
        <v>63257.91</v>
      </c>
      <c r="K1019" s="5">
        <f t="shared" si="31"/>
        <v>60</v>
      </c>
      <c r="P1019" t="str">
        <f t="shared" si="32"/>
        <v>60K</v>
      </c>
    </row>
    <row r="1020" spans="1:16" x14ac:dyDescent="0.35">
      <c r="A1020">
        <v>2004</v>
      </c>
      <c r="B1020" s="7" t="s">
        <v>29</v>
      </c>
      <c r="J1020" s="12">
        <v>43037.42</v>
      </c>
      <c r="K1020" s="5">
        <f t="shared" si="31"/>
        <v>40</v>
      </c>
      <c r="P1020" t="str">
        <f t="shared" si="32"/>
        <v>40K</v>
      </c>
    </row>
    <row r="1021" spans="1:16" x14ac:dyDescent="0.35">
      <c r="A1021">
        <v>2018</v>
      </c>
      <c r="B1021" s="6" t="s">
        <v>23</v>
      </c>
      <c r="J1021" s="13">
        <v>6126.25</v>
      </c>
      <c r="K1021" s="5">
        <f t="shared" si="31"/>
        <v>10</v>
      </c>
      <c r="P1021" t="str">
        <f t="shared" si="32"/>
        <v>10K</v>
      </c>
    </row>
    <row r="1022" spans="1:16" x14ac:dyDescent="0.35">
      <c r="A1022">
        <v>2010</v>
      </c>
      <c r="B1022" s="7" t="s">
        <v>23</v>
      </c>
      <c r="J1022" s="12">
        <v>16903.59</v>
      </c>
      <c r="K1022" s="5">
        <f t="shared" si="31"/>
        <v>20</v>
      </c>
      <c r="P1022" t="str">
        <f t="shared" si="32"/>
        <v>20K</v>
      </c>
    </row>
    <row r="1023" spans="1:16" x14ac:dyDescent="0.35">
      <c r="A1023">
        <v>2023</v>
      </c>
      <c r="B1023" s="6" t="s">
        <v>23</v>
      </c>
      <c r="J1023" s="13">
        <v>35874.230000000003</v>
      </c>
      <c r="K1023" s="5">
        <f t="shared" si="31"/>
        <v>40</v>
      </c>
      <c r="P1023" t="str">
        <f t="shared" si="32"/>
        <v>40K</v>
      </c>
    </row>
    <row r="1024" spans="1:16" x14ac:dyDescent="0.35">
      <c r="A1024">
        <v>2011</v>
      </c>
      <c r="B1024" s="7" t="s">
        <v>23</v>
      </c>
      <c r="J1024" s="12">
        <v>58675</v>
      </c>
      <c r="K1024" s="5">
        <f t="shared" si="31"/>
        <v>60</v>
      </c>
      <c r="P1024" t="str">
        <f t="shared" si="32"/>
        <v>60K</v>
      </c>
    </row>
    <row r="1025" spans="1:16" x14ac:dyDescent="0.35">
      <c r="A1025">
        <v>2009</v>
      </c>
      <c r="B1025" s="6" t="s">
        <v>10</v>
      </c>
      <c r="J1025" s="13">
        <v>88740.1</v>
      </c>
      <c r="K1025" s="5">
        <f t="shared" si="31"/>
        <v>90</v>
      </c>
      <c r="P1025" t="str">
        <f t="shared" si="32"/>
        <v>90K</v>
      </c>
    </row>
    <row r="1026" spans="1:16" x14ac:dyDescent="0.35">
      <c r="A1026">
        <v>2007</v>
      </c>
      <c r="B1026" s="7" t="s">
        <v>35</v>
      </c>
      <c r="J1026" s="12">
        <v>80155.839999999997</v>
      </c>
      <c r="K1026" s="5">
        <f t="shared" si="31"/>
        <v>80</v>
      </c>
      <c r="P1026" t="str">
        <f t="shared" si="32"/>
        <v>80K</v>
      </c>
    </row>
    <row r="1027" spans="1:16" x14ac:dyDescent="0.35">
      <c r="A1027">
        <v>2023</v>
      </c>
      <c r="B1027" s="6" t="s">
        <v>10</v>
      </c>
      <c r="J1027" s="13">
        <v>57566.7</v>
      </c>
      <c r="K1027" s="5">
        <f t="shared" ref="K1027:K1090" si="33">ROUND(J1027/10000,0)*10</f>
        <v>60</v>
      </c>
      <c r="P1027" t="str">
        <f t="shared" ref="P1027:P1090" si="34">TEXT(ROUND(J1027/10000,0)*10,"0") &amp; "K"</f>
        <v>60K</v>
      </c>
    </row>
    <row r="1028" spans="1:16" x14ac:dyDescent="0.35">
      <c r="A1028">
        <v>2008</v>
      </c>
      <c r="B1028" s="7" t="s">
        <v>10</v>
      </c>
      <c r="J1028" s="12">
        <v>12017.69</v>
      </c>
      <c r="K1028" s="5">
        <f t="shared" si="33"/>
        <v>10</v>
      </c>
      <c r="P1028" t="str">
        <f t="shared" si="34"/>
        <v>10K</v>
      </c>
    </row>
    <row r="1029" spans="1:16" x14ac:dyDescent="0.35">
      <c r="A1029">
        <v>2003</v>
      </c>
      <c r="B1029" s="6" t="s">
        <v>10</v>
      </c>
      <c r="J1029" s="13">
        <v>32161.1</v>
      </c>
      <c r="K1029" s="5">
        <f t="shared" si="33"/>
        <v>30</v>
      </c>
      <c r="P1029" t="str">
        <f t="shared" si="34"/>
        <v>30K</v>
      </c>
    </row>
    <row r="1030" spans="1:16" x14ac:dyDescent="0.35">
      <c r="A1030">
        <v>2004</v>
      </c>
      <c r="B1030" s="7" t="s">
        <v>23</v>
      </c>
      <c r="J1030" s="12">
        <v>39837.32</v>
      </c>
      <c r="K1030" s="5">
        <f t="shared" si="33"/>
        <v>40</v>
      </c>
      <c r="P1030" t="str">
        <f t="shared" si="34"/>
        <v>40K</v>
      </c>
    </row>
    <row r="1031" spans="1:16" x14ac:dyDescent="0.35">
      <c r="A1031">
        <v>2020</v>
      </c>
      <c r="B1031" s="6" t="s">
        <v>29</v>
      </c>
      <c r="J1031" s="13">
        <v>64063.13</v>
      </c>
      <c r="K1031" s="5">
        <f t="shared" si="33"/>
        <v>60</v>
      </c>
      <c r="P1031" t="str">
        <f t="shared" si="34"/>
        <v>60K</v>
      </c>
    </row>
    <row r="1032" spans="1:16" x14ac:dyDescent="0.35">
      <c r="A1032">
        <v>2007</v>
      </c>
      <c r="B1032" s="7" t="s">
        <v>27</v>
      </c>
      <c r="J1032" s="12">
        <v>11167.74</v>
      </c>
      <c r="K1032" s="5">
        <f t="shared" si="33"/>
        <v>10</v>
      </c>
      <c r="P1032" t="str">
        <f t="shared" si="34"/>
        <v>10K</v>
      </c>
    </row>
    <row r="1033" spans="1:16" x14ac:dyDescent="0.35">
      <c r="A1033">
        <v>2022</v>
      </c>
      <c r="B1033" s="6" t="s">
        <v>27</v>
      </c>
      <c r="J1033" s="13">
        <v>55368.39</v>
      </c>
      <c r="K1033" s="5">
        <f t="shared" si="33"/>
        <v>60</v>
      </c>
      <c r="P1033" t="str">
        <f t="shared" si="34"/>
        <v>60K</v>
      </c>
    </row>
    <row r="1034" spans="1:16" x14ac:dyDescent="0.35">
      <c r="A1034">
        <v>2008</v>
      </c>
      <c r="B1034" s="7" t="s">
        <v>35</v>
      </c>
      <c r="J1034" s="12">
        <v>90639.13</v>
      </c>
      <c r="K1034" s="5">
        <f t="shared" si="33"/>
        <v>90</v>
      </c>
      <c r="P1034" t="str">
        <f t="shared" si="34"/>
        <v>90K</v>
      </c>
    </row>
    <row r="1035" spans="1:16" x14ac:dyDescent="0.35">
      <c r="A1035">
        <v>2014</v>
      </c>
      <c r="B1035" s="6" t="s">
        <v>23</v>
      </c>
      <c r="J1035" s="13">
        <v>72016.11</v>
      </c>
      <c r="K1035" s="5">
        <f t="shared" si="33"/>
        <v>70</v>
      </c>
      <c r="P1035" t="str">
        <f t="shared" si="34"/>
        <v>70K</v>
      </c>
    </row>
    <row r="1036" spans="1:16" x14ac:dyDescent="0.35">
      <c r="A1036">
        <v>2014</v>
      </c>
      <c r="B1036" s="7" t="s">
        <v>23</v>
      </c>
      <c r="J1036" s="12">
        <v>80722.3</v>
      </c>
      <c r="K1036" s="5">
        <f t="shared" si="33"/>
        <v>80</v>
      </c>
      <c r="P1036" t="str">
        <f t="shared" si="34"/>
        <v>80K</v>
      </c>
    </row>
    <row r="1037" spans="1:16" x14ac:dyDescent="0.35">
      <c r="A1037">
        <v>2015</v>
      </c>
      <c r="B1037" s="6" t="s">
        <v>23</v>
      </c>
      <c r="J1037" s="13">
        <v>69759.19</v>
      </c>
      <c r="K1037" s="5">
        <f t="shared" si="33"/>
        <v>70</v>
      </c>
      <c r="P1037" t="str">
        <f t="shared" si="34"/>
        <v>70K</v>
      </c>
    </row>
    <row r="1038" spans="1:16" x14ac:dyDescent="0.35">
      <c r="A1038">
        <v>2013</v>
      </c>
      <c r="B1038" s="7" t="s">
        <v>25</v>
      </c>
      <c r="J1038" s="12">
        <v>24625.97</v>
      </c>
      <c r="K1038" s="5">
        <f t="shared" si="33"/>
        <v>20</v>
      </c>
      <c r="P1038" t="str">
        <f t="shared" si="34"/>
        <v>20K</v>
      </c>
    </row>
    <row r="1039" spans="1:16" x14ac:dyDescent="0.35">
      <c r="A1039">
        <v>2007</v>
      </c>
      <c r="B1039" s="6" t="s">
        <v>20</v>
      </c>
      <c r="J1039" s="13">
        <v>15495.96</v>
      </c>
      <c r="K1039" s="5">
        <f t="shared" si="33"/>
        <v>20</v>
      </c>
      <c r="P1039" t="str">
        <f t="shared" si="34"/>
        <v>20K</v>
      </c>
    </row>
    <row r="1040" spans="1:16" x14ac:dyDescent="0.35">
      <c r="A1040">
        <v>2017</v>
      </c>
      <c r="B1040" s="7" t="s">
        <v>25</v>
      </c>
      <c r="J1040" s="12">
        <v>83801.61</v>
      </c>
      <c r="K1040" s="5">
        <f t="shared" si="33"/>
        <v>80</v>
      </c>
      <c r="P1040" t="str">
        <f t="shared" si="34"/>
        <v>80K</v>
      </c>
    </row>
    <row r="1041" spans="1:16" x14ac:dyDescent="0.35">
      <c r="A1041">
        <v>2009</v>
      </c>
      <c r="B1041" s="6" t="s">
        <v>20</v>
      </c>
      <c r="J1041" s="13">
        <v>71072.92</v>
      </c>
      <c r="K1041" s="5">
        <f t="shared" si="33"/>
        <v>70</v>
      </c>
      <c r="P1041" t="str">
        <f t="shared" si="34"/>
        <v>70K</v>
      </c>
    </row>
    <row r="1042" spans="1:16" x14ac:dyDescent="0.35">
      <c r="A1042">
        <v>2019</v>
      </c>
      <c r="B1042" s="7" t="s">
        <v>23</v>
      </c>
      <c r="J1042" s="12">
        <v>59630.85</v>
      </c>
      <c r="K1042" s="5">
        <f t="shared" si="33"/>
        <v>60</v>
      </c>
      <c r="P1042" t="str">
        <f t="shared" si="34"/>
        <v>60K</v>
      </c>
    </row>
    <row r="1043" spans="1:16" x14ac:dyDescent="0.35">
      <c r="A1043">
        <v>2005</v>
      </c>
      <c r="B1043" s="6" t="s">
        <v>23</v>
      </c>
      <c r="J1043" s="13">
        <v>22981.87</v>
      </c>
      <c r="K1043" s="5">
        <f t="shared" si="33"/>
        <v>20</v>
      </c>
      <c r="P1043" t="str">
        <f t="shared" si="34"/>
        <v>20K</v>
      </c>
    </row>
    <row r="1044" spans="1:16" x14ac:dyDescent="0.35">
      <c r="A1044">
        <v>2011</v>
      </c>
      <c r="B1044" s="7" t="s">
        <v>25</v>
      </c>
      <c r="J1044" s="12">
        <v>62317.77</v>
      </c>
      <c r="K1044" s="5">
        <f t="shared" si="33"/>
        <v>60</v>
      </c>
      <c r="P1044" t="str">
        <f t="shared" si="34"/>
        <v>60K</v>
      </c>
    </row>
    <row r="1045" spans="1:16" x14ac:dyDescent="0.35">
      <c r="A1045">
        <v>2001</v>
      </c>
      <c r="B1045" s="6" t="s">
        <v>25</v>
      </c>
      <c r="J1045" s="13">
        <v>7975.57</v>
      </c>
      <c r="K1045" s="5">
        <f t="shared" si="33"/>
        <v>10</v>
      </c>
      <c r="P1045" t="str">
        <f t="shared" si="34"/>
        <v>10K</v>
      </c>
    </row>
    <row r="1046" spans="1:16" x14ac:dyDescent="0.35">
      <c r="A1046">
        <v>2006</v>
      </c>
      <c r="B1046" s="7" t="s">
        <v>20</v>
      </c>
      <c r="J1046" s="12">
        <v>16289.72</v>
      </c>
      <c r="K1046" s="5">
        <f t="shared" si="33"/>
        <v>20</v>
      </c>
      <c r="P1046" t="str">
        <f t="shared" si="34"/>
        <v>20K</v>
      </c>
    </row>
    <row r="1047" spans="1:16" x14ac:dyDescent="0.35">
      <c r="A1047">
        <v>2015</v>
      </c>
      <c r="B1047" s="6" t="s">
        <v>27</v>
      </c>
      <c r="J1047" s="13">
        <v>34629.56</v>
      </c>
      <c r="K1047" s="5">
        <f t="shared" si="33"/>
        <v>30</v>
      </c>
      <c r="P1047" t="str">
        <f t="shared" si="34"/>
        <v>30K</v>
      </c>
    </row>
    <row r="1048" spans="1:16" x14ac:dyDescent="0.35">
      <c r="A1048">
        <v>2002</v>
      </c>
      <c r="B1048" s="7" t="s">
        <v>20</v>
      </c>
      <c r="J1048" s="12">
        <v>47155.14</v>
      </c>
      <c r="K1048" s="5">
        <f t="shared" si="33"/>
        <v>50</v>
      </c>
      <c r="P1048" t="str">
        <f t="shared" si="34"/>
        <v>50K</v>
      </c>
    </row>
    <row r="1049" spans="1:16" x14ac:dyDescent="0.35">
      <c r="A1049">
        <v>2012</v>
      </c>
      <c r="B1049" s="6" t="s">
        <v>25</v>
      </c>
      <c r="J1049" s="13">
        <v>16453.63</v>
      </c>
      <c r="K1049" s="5">
        <f t="shared" si="33"/>
        <v>20</v>
      </c>
      <c r="P1049" t="str">
        <f t="shared" si="34"/>
        <v>20K</v>
      </c>
    </row>
    <row r="1050" spans="1:16" x14ac:dyDescent="0.35">
      <c r="A1050">
        <v>2002</v>
      </c>
      <c r="B1050" s="7" t="s">
        <v>29</v>
      </c>
      <c r="J1050" s="12">
        <v>16394.32</v>
      </c>
      <c r="K1050" s="5">
        <f t="shared" si="33"/>
        <v>20</v>
      </c>
      <c r="P1050" t="str">
        <f t="shared" si="34"/>
        <v>20K</v>
      </c>
    </row>
    <row r="1051" spans="1:16" x14ac:dyDescent="0.35">
      <c r="A1051">
        <v>2017</v>
      </c>
      <c r="B1051" s="6" t="s">
        <v>25</v>
      </c>
      <c r="J1051" s="13">
        <v>73959.899999999994</v>
      </c>
      <c r="K1051" s="5">
        <f t="shared" si="33"/>
        <v>70</v>
      </c>
      <c r="P1051" t="str">
        <f t="shared" si="34"/>
        <v>70K</v>
      </c>
    </row>
    <row r="1052" spans="1:16" x14ac:dyDescent="0.35">
      <c r="A1052">
        <v>2010</v>
      </c>
      <c r="B1052" s="7" t="s">
        <v>29</v>
      </c>
      <c r="J1052" s="12">
        <v>59123.34</v>
      </c>
      <c r="K1052" s="5">
        <f t="shared" si="33"/>
        <v>60</v>
      </c>
      <c r="P1052" t="str">
        <f t="shared" si="34"/>
        <v>60K</v>
      </c>
    </row>
    <row r="1053" spans="1:16" x14ac:dyDescent="0.35">
      <c r="A1053">
        <v>2007</v>
      </c>
      <c r="B1053" s="6" t="s">
        <v>35</v>
      </c>
      <c r="J1053" s="13">
        <v>55705.49</v>
      </c>
      <c r="K1053" s="5">
        <f t="shared" si="33"/>
        <v>60</v>
      </c>
      <c r="P1053" t="str">
        <f t="shared" si="34"/>
        <v>60K</v>
      </c>
    </row>
    <row r="1054" spans="1:16" x14ac:dyDescent="0.35">
      <c r="A1054">
        <v>2005</v>
      </c>
      <c r="B1054" s="7" t="s">
        <v>25</v>
      </c>
      <c r="J1054" s="12">
        <v>47981.279999999999</v>
      </c>
      <c r="K1054" s="5">
        <f t="shared" si="33"/>
        <v>50</v>
      </c>
      <c r="P1054" t="str">
        <f t="shared" si="34"/>
        <v>50K</v>
      </c>
    </row>
    <row r="1055" spans="1:16" x14ac:dyDescent="0.35">
      <c r="A1055">
        <v>2000</v>
      </c>
      <c r="B1055" s="6" t="s">
        <v>35</v>
      </c>
      <c r="J1055" s="13">
        <v>97771.6</v>
      </c>
      <c r="K1055" s="5">
        <f t="shared" si="33"/>
        <v>100</v>
      </c>
      <c r="P1055" t="str">
        <f t="shared" si="34"/>
        <v>100K</v>
      </c>
    </row>
    <row r="1056" spans="1:16" x14ac:dyDescent="0.35">
      <c r="A1056">
        <v>2000</v>
      </c>
      <c r="B1056" s="7" t="s">
        <v>27</v>
      </c>
      <c r="J1056" s="12">
        <v>9731.0300000000007</v>
      </c>
      <c r="K1056" s="5">
        <f t="shared" si="33"/>
        <v>10</v>
      </c>
      <c r="P1056" t="str">
        <f t="shared" si="34"/>
        <v>10K</v>
      </c>
    </row>
    <row r="1057" spans="1:16" x14ac:dyDescent="0.35">
      <c r="A1057">
        <v>2022</v>
      </c>
      <c r="B1057" s="6" t="s">
        <v>20</v>
      </c>
      <c r="J1057" s="13">
        <v>22159.58</v>
      </c>
      <c r="K1057" s="5">
        <f t="shared" si="33"/>
        <v>20</v>
      </c>
      <c r="P1057" t="str">
        <f t="shared" si="34"/>
        <v>20K</v>
      </c>
    </row>
    <row r="1058" spans="1:16" x14ac:dyDescent="0.35">
      <c r="A1058">
        <v>2007</v>
      </c>
      <c r="B1058" s="7" t="s">
        <v>29</v>
      </c>
      <c r="J1058" s="12">
        <v>66513.240000000005</v>
      </c>
      <c r="K1058" s="5">
        <f t="shared" si="33"/>
        <v>70</v>
      </c>
      <c r="P1058" t="str">
        <f t="shared" si="34"/>
        <v>70K</v>
      </c>
    </row>
    <row r="1059" spans="1:16" x14ac:dyDescent="0.35">
      <c r="A1059">
        <v>2004</v>
      </c>
      <c r="B1059" s="6" t="s">
        <v>20</v>
      </c>
      <c r="J1059" s="13">
        <v>17954.740000000002</v>
      </c>
      <c r="K1059" s="5">
        <f t="shared" si="33"/>
        <v>20</v>
      </c>
      <c r="P1059" t="str">
        <f t="shared" si="34"/>
        <v>20K</v>
      </c>
    </row>
    <row r="1060" spans="1:16" x14ac:dyDescent="0.35">
      <c r="A1060">
        <v>2015</v>
      </c>
      <c r="B1060" s="7" t="s">
        <v>35</v>
      </c>
      <c r="J1060" s="12">
        <v>60991.19</v>
      </c>
      <c r="K1060" s="5">
        <f t="shared" si="33"/>
        <v>60</v>
      </c>
      <c r="P1060" t="str">
        <f t="shared" si="34"/>
        <v>60K</v>
      </c>
    </row>
    <row r="1061" spans="1:16" x14ac:dyDescent="0.35">
      <c r="A1061">
        <v>2010</v>
      </c>
      <c r="B1061" s="6" t="s">
        <v>29</v>
      </c>
      <c r="J1061" s="13">
        <v>58937.32</v>
      </c>
      <c r="K1061" s="5">
        <f t="shared" si="33"/>
        <v>60</v>
      </c>
      <c r="P1061" t="str">
        <f t="shared" si="34"/>
        <v>60K</v>
      </c>
    </row>
    <row r="1062" spans="1:16" x14ac:dyDescent="0.35">
      <c r="A1062">
        <v>2004</v>
      </c>
      <c r="B1062" s="7" t="s">
        <v>20</v>
      </c>
      <c r="J1062" s="12">
        <v>97245.49</v>
      </c>
      <c r="K1062" s="5">
        <f t="shared" si="33"/>
        <v>100</v>
      </c>
      <c r="P1062" t="str">
        <f t="shared" si="34"/>
        <v>100K</v>
      </c>
    </row>
    <row r="1063" spans="1:16" x14ac:dyDescent="0.35">
      <c r="A1063">
        <v>2003</v>
      </c>
      <c r="B1063" s="6" t="s">
        <v>25</v>
      </c>
      <c r="J1063" s="13">
        <v>88921.72</v>
      </c>
      <c r="K1063" s="5">
        <f t="shared" si="33"/>
        <v>90</v>
      </c>
      <c r="P1063" t="str">
        <f t="shared" si="34"/>
        <v>90K</v>
      </c>
    </row>
    <row r="1064" spans="1:16" x14ac:dyDescent="0.35">
      <c r="A1064">
        <v>2005</v>
      </c>
      <c r="B1064" s="7" t="s">
        <v>23</v>
      </c>
      <c r="J1064" s="12">
        <v>94827.57</v>
      </c>
      <c r="K1064" s="5">
        <f t="shared" si="33"/>
        <v>90</v>
      </c>
      <c r="P1064" t="str">
        <f t="shared" si="34"/>
        <v>90K</v>
      </c>
    </row>
    <row r="1065" spans="1:16" x14ac:dyDescent="0.35">
      <c r="A1065">
        <v>2013</v>
      </c>
      <c r="B1065" s="6" t="s">
        <v>35</v>
      </c>
      <c r="J1065" s="13">
        <v>15792.23</v>
      </c>
      <c r="K1065" s="5">
        <f t="shared" si="33"/>
        <v>20</v>
      </c>
      <c r="P1065" t="str">
        <f t="shared" si="34"/>
        <v>20K</v>
      </c>
    </row>
    <row r="1066" spans="1:16" x14ac:dyDescent="0.35">
      <c r="A1066">
        <v>2021</v>
      </c>
      <c r="B1066" s="7" t="s">
        <v>20</v>
      </c>
      <c r="J1066" s="12">
        <v>87474.1</v>
      </c>
      <c r="K1066" s="5">
        <f t="shared" si="33"/>
        <v>90</v>
      </c>
      <c r="P1066" t="str">
        <f t="shared" si="34"/>
        <v>90K</v>
      </c>
    </row>
    <row r="1067" spans="1:16" x14ac:dyDescent="0.35">
      <c r="A1067">
        <v>2018</v>
      </c>
      <c r="B1067" s="6" t="s">
        <v>35</v>
      </c>
      <c r="J1067" s="13">
        <v>17263.61</v>
      </c>
      <c r="K1067" s="5">
        <f t="shared" si="33"/>
        <v>20</v>
      </c>
      <c r="P1067" t="str">
        <f t="shared" si="34"/>
        <v>20K</v>
      </c>
    </row>
    <row r="1068" spans="1:16" x14ac:dyDescent="0.35">
      <c r="A1068">
        <v>2008</v>
      </c>
      <c r="B1068" s="7" t="s">
        <v>10</v>
      </c>
      <c r="J1068" s="12">
        <v>65128.56</v>
      </c>
      <c r="K1068" s="5">
        <f t="shared" si="33"/>
        <v>70</v>
      </c>
      <c r="P1068" t="str">
        <f t="shared" si="34"/>
        <v>70K</v>
      </c>
    </row>
    <row r="1069" spans="1:16" x14ac:dyDescent="0.35">
      <c r="A1069">
        <v>2011</v>
      </c>
      <c r="B1069" s="6" t="s">
        <v>35</v>
      </c>
      <c r="J1069" s="13">
        <v>73407.429999999993</v>
      </c>
      <c r="K1069" s="5">
        <f t="shared" si="33"/>
        <v>70</v>
      </c>
      <c r="P1069" t="str">
        <f t="shared" si="34"/>
        <v>70K</v>
      </c>
    </row>
    <row r="1070" spans="1:16" x14ac:dyDescent="0.35">
      <c r="A1070">
        <v>2010</v>
      </c>
      <c r="B1070" s="7" t="s">
        <v>29</v>
      </c>
      <c r="J1070" s="12">
        <v>20281.080000000002</v>
      </c>
      <c r="K1070" s="5">
        <f t="shared" si="33"/>
        <v>20</v>
      </c>
      <c r="P1070" t="str">
        <f t="shared" si="34"/>
        <v>20K</v>
      </c>
    </row>
    <row r="1071" spans="1:16" x14ac:dyDescent="0.35">
      <c r="A1071">
        <v>2013</v>
      </c>
      <c r="B1071" s="6" t="s">
        <v>10</v>
      </c>
      <c r="J1071" s="13">
        <v>65102.64</v>
      </c>
      <c r="K1071" s="5">
        <f t="shared" si="33"/>
        <v>70</v>
      </c>
      <c r="P1071" t="str">
        <f t="shared" si="34"/>
        <v>70K</v>
      </c>
    </row>
    <row r="1072" spans="1:16" x14ac:dyDescent="0.35">
      <c r="A1072">
        <v>2022</v>
      </c>
      <c r="B1072" s="7" t="s">
        <v>29</v>
      </c>
      <c r="J1072" s="12">
        <v>9983.75</v>
      </c>
      <c r="K1072" s="5">
        <f t="shared" si="33"/>
        <v>10</v>
      </c>
      <c r="P1072" t="str">
        <f t="shared" si="34"/>
        <v>10K</v>
      </c>
    </row>
    <row r="1073" spans="1:16" x14ac:dyDescent="0.35">
      <c r="A1073">
        <v>2015</v>
      </c>
      <c r="B1073" s="6" t="s">
        <v>23</v>
      </c>
      <c r="J1073" s="13">
        <v>32860.28</v>
      </c>
      <c r="K1073" s="5">
        <f t="shared" si="33"/>
        <v>30</v>
      </c>
      <c r="P1073" t="str">
        <f t="shared" si="34"/>
        <v>30K</v>
      </c>
    </row>
    <row r="1074" spans="1:16" x14ac:dyDescent="0.35">
      <c r="A1074">
        <v>2000</v>
      </c>
      <c r="B1074" s="7" t="s">
        <v>10</v>
      </c>
      <c r="J1074" s="12">
        <v>92510.06</v>
      </c>
      <c r="K1074" s="5">
        <f t="shared" si="33"/>
        <v>90</v>
      </c>
      <c r="P1074" t="str">
        <f t="shared" si="34"/>
        <v>90K</v>
      </c>
    </row>
    <row r="1075" spans="1:16" x14ac:dyDescent="0.35">
      <c r="A1075">
        <v>2012</v>
      </c>
      <c r="B1075" s="6" t="s">
        <v>25</v>
      </c>
      <c r="J1075" s="13">
        <v>21314.46</v>
      </c>
      <c r="K1075" s="5">
        <f t="shared" si="33"/>
        <v>20</v>
      </c>
      <c r="P1075" t="str">
        <f t="shared" si="34"/>
        <v>20K</v>
      </c>
    </row>
    <row r="1076" spans="1:16" x14ac:dyDescent="0.35">
      <c r="A1076">
        <v>2022</v>
      </c>
      <c r="B1076" s="7" t="s">
        <v>35</v>
      </c>
      <c r="J1076" s="12">
        <v>11200.65</v>
      </c>
      <c r="K1076" s="5">
        <f t="shared" si="33"/>
        <v>10</v>
      </c>
      <c r="P1076" t="str">
        <f t="shared" si="34"/>
        <v>10K</v>
      </c>
    </row>
    <row r="1077" spans="1:16" x14ac:dyDescent="0.35">
      <c r="A1077">
        <v>2020</v>
      </c>
      <c r="B1077" s="6" t="s">
        <v>20</v>
      </c>
      <c r="J1077" s="13">
        <v>47149.43</v>
      </c>
      <c r="K1077" s="5">
        <f t="shared" si="33"/>
        <v>50</v>
      </c>
      <c r="P1077" t="str">
        <f t="shared" si="34"/>
        <v>50K</v>
      </c>
    </row>
    <row r="1078" spans="1:16" x14ac:dyDescent="0.35">
      <c r="A1078">
        <v>2020</v>
      </c>
      <c r="B1078" s="7" t="s">
        <v>27</v>
      </c>
      <c r="J1078" s="12">
        <v>85808.73</v>
      </c>
      <c r="K1078" s="5">
        <f t="shared" si="33"/>
        <v>90</v>
      </c>
      <c r="P1078" t="str">
        <f t="shared" si="34"/>
        <v>90K</v>
      </c>
    </row>
    <row r="1079" spans="1:16" x14ac:dyDescent="0.35">
      <c r="A1079">
        <v>2012</v>
      </c>
      <c r="B1079" s="6" t="s">
        <v>35</v>
      </c>
      <c r="J1079" s="13">
        <v>12283.88</v>
      </c>
      <c r="K1079" s="5">
        <f t="shared" si="33"/>
        <v>10</v>
      </c>
      <c r="P1079" t="str">
        <f t="shared" si="34"/>
        <v>10K</v>
      </c>
    </row>
    <row r="1080" spans="1:16" x14ac:dyDescent="0.35">
      <c r="A1080">
        <v>2001</v>
      </c>
      <c r="B1080" s="7" t="s">
        <v>35</v>
      </c>
      <c r="J1080" s="12">
        <v>38775.86</v>
      </c>
      <c r="K1080" s="5">
        <f t="shared" si="33"/>
        <v>40</v>
      </c>
      <c r="P1080" t="str">
        <f t="shared" si="34"/>
        <v>40K</v>
      </c>
    </row>
    <row r="1081" spans="1:16" x14ac:dyDescent="0.35">
      <c r="A1081">
        <v>2003</v>
      </c>
      <c r="B1081" s="6" t="s">
        <v>23</v>
      </c>
      <c r="J1081" s="13">
        <v>90478.61</v>
      </c>
      <c r="K1081" s="5">
        <f t="shared" si="33"/>
        <v>90</v>
      </c>
      <c r="P1081" t="str">
        <f t="shared" si="34"/>
        <v>90K</v>
      </c>
    </row>
    <row r="1082" spans="1:16" x14ac:dyDescent="0.35">
      <c r="A1082">
        <v>2005</v>
      </c>
      <c r="B1082" s="7" t="s">
        <v>25</v>
      </c>
      <c r="J1082" s="12">
        <v>16224.78</v>
      </c>
      <c r="K1082" s="5">
        <f t="shared" si="33"/>
        <v>20</v>
      </c>
      <c r="P1082" t="str">
        <f t="shared" si="34"/>
        <v>20K</v>
      </c>
    </row>
    <row r="1083" spans="1:16" x14ac:dyDescent="0.35">
      <c r="A1083">
        <v>2022</v>
      </c>
      <c r="B1083" s="6" t="s">
        <v>27</v>
      </c>
      <c r="J1083" s="13">
        <v>34513.51</v>
      </c>
      <c r="K1083" s="5">
        <f t="shared" si="33"/>
        <v>30</v>
      </c>
      <c r="P1083" t="str">
        <f t="shared" si="34"/>
        <v>30K</v>
      </c>
    </row>
    <row r="1084" spans="1:16" x14ac:dyDescent="0.35">
      <c r="A1084">
        <v>2004</v>
      </c>
      <c r="B1084" s="7" t="s">
        <v>10</v>
      </c>
      <c r="J1084" s="12">
        <v>78949.960000000006</v>
      </c>
      <c r="K1084" s="5">
        <f t="shared" si="33"/>
        <v>80</v>
      </c>
      <c r="P1084" t="str">
        <f t="shared" si="34"/>
        <v>80K</v>
      </c>
    </row>
    <row r="1085" spans="1:16" x14ac:dyDescent="0.35">
      <c r="A1085">
        <v>2002</v>
      </c>
      <c r="B1085" s="6" t="s">
        <v>10</v>
      </c>
      <c r="J1085" s="13">
        <v>56605.04</v>
      </c>
      <c r="K1085" s="5">
        <f t="shared" si="33"/>
        <v>60</v>
      </c>
      <c r="P1085" t="str">
        <f t="shared" si="34"/>
        <v>60K</v>
      </c>
    </row>
    <row r="1086" spans="1:16" x14ac:dyDescent="0.35">
      <c r="A1086">
        <v>2000</v>
      </c>
      <c r="B1086" s="7" t="s">
        <v>10</v>
      </c>
      <c r="J1086" s="12">
        <v>84071.65</v>
      </c>
      <c r="K1086" s="5">
        <f t="shared" si="33"/>
        <v>80</v>
      </c>
      <c r="P1086" t="str">
        <f t="shared" si="34"/>
        <v>80K</v>
      </c>
    </row>
    <row r="1087" spans="1:16" x14ac:dyDescent="0.35">
      <c r="A1087">
        <v>2003</v>
      </c>
      <c r="B1087" s="6" t="s">
        <v>29</v>
      </c>
      <c r="J1087" s="13">
        <v>15601.56</v>
      </c>
      <c r="K1087" s="5">
        <f t="shared" si="33"/>
        <v>20</v>
      </c>
      <c r="P1087" t="str">
        <f t="shared" si="34"/>
        <v>20K</v>
      </c>
    </row>
    <row r="1088" spans="1:16" x14ac:dyDescent="0.35">
      <c r="A1088">
        <v>2019</v>
      </c>
      <c r="B1088" s="7" t="s">
        <v>29</v>
      </c>
      <c r="J1088" s="12">
        <v>92452.65</v>
      </c>
      <c r="K1088" s="5">
        <f t="shared" si="33"/>
        <v>90</v>
      </c>
      <c r="P1088" t="str">
        <f t="shared" si="34"/>
        <v>90K</v>
      </c>
    </row>
    <row r="1089" spans="1:16" x14ac:dyDescent="0.35">
      <c r="A1089">
        <v>2001</v>
      </c>
      <c r="B1089" s="6" t="s">
        <v>20</v>
      </c>
      <c r="J1089" s="13">
        <v>93816.62</v>
      </c>
      <c r="K1089" s="5">
        <f t="shared" si="33"/>
        <v>90</v>
      </c>
      <c r="P1089" t="str">
        <f t="shared" si="34"/>
        <v>90K</v>
      </c>
    </row>
    <row r="1090" spans="1:16" x14ac:dyDescent="0.35">
      <c r="A1090">
        <v>2004</v>
      </c>
      <c r="B1090" s="7" t="s">
        <v>27</v>
      </c>
      <c r="J1090" s="12">
        <v>19754.740000000002</v>
      </c>
      <c r="K1090" s="5">
        <f t="shared" si="33"/>
        <v>20</v>
      </c>
      <c r="P1090" t="str">
        <f t="shared" si="34"/>
        <v>20K</v>
      </c>
    </row>
    <row r="1091" spans="1:16" x14ac:dyDescent="0.35">
      <c r="A1091">
        <v>2002</v>
      </c>
      <c r="B1091" s="6" t="s">
        <v>10</v>
      </c>
      <c r="J1091" s="13">
        <v>8218.17</v>
      </c>
      <c r="K1091" s="5">
        <f t="shared" ref="K1091:K1154" si="35">ROUND(J1091/10000,0)*10</f>
        <v>10</v>
      </c>
      <c r="P1091" t="str">
        <f t="shared" ref="P1091:P1154" si="36">TEXT(ROUND(J1091/10000,0)*10,"0") &amp; "K"</f>
        <v>10K</v>
      </c>
    </row>
    <row r="1092" spans="1:16" x14ac:dyDescent="0.35">
      <c r="A1092">
        <v>2008</v>
      </c>
      <c r="B1092" s="7" t="s">
        <v>29</v>
      </c>
      <c r="J1092" s="12">
        <v>99034.93</v>
      </c>
      <c r="K1092" s="5">
        <f t="shared" si="35"/>
        <v>100</v>
      </c>
      <c r="P1092" t="str">
        <f t="shared" si="36"/>
        <v>100K</v>
      </c>
    </row>
    <row r="1093" spans="1:16" x14ac:dyDescent="0.35">
      <c r="A1093">
        <v>2019</v>
      </c>
      <c r="B1093" s="6" t="s">
        <v>20</v>
      </c>
      <c r="J1093" s="13">
        <v>50813.9</v>
      </c>
      <c r="K1093" s="5">
        <f t="shared" si="35"/>
        <v>50</v>
      </c>
      <c r="P1093" t="str">
        <f t="shared" si="36"/>
        <v>50K</v>
      </c>
    </row>
    <row r="1094" spans="1:16" x14ac:dyDescent="0.35">
      <c r="A1094">
        <v>2005</v>
      </c>
      <c r="B1094" s="7" t="s">
        <v>25</v>
      </c>
      <c r="J1094" s="12">
        <v>59347.16</v>
      </c>
      <c r="K1094" s="5">
        <f t="shared" si="35"/>
        <v>60</v>
      </c>
      <c r="P1094" t="str">
        <f t="shared" si="36"/>
        <v>60K</v>
      </c>
    </row>
    <row r="1095" spans="1:16" x14ac:dyDescent="0.35">
      <c r="A1095">
        <v>2017</v>
      </c>
      <c r="B1095" s="6" t="s">
        <v>20</v>
      </c>
      <c r="J1095" s="13">
        <v>63510.95</v>
      </c>
      <c r="K1095" s="5">
        <f t="shared" si="35"/>
        <v>60</v>
      </c>
      <c r="P1095" t="str">
        <f t="shared" si="36"/>
        <v>60K</v>
      </c>
    </row>
    <row r="1096" spans="1:16" x14ac:dyDescent="0.35">
      <c r="A1096">
        <v>2005</v>
      </c>
      <c r="B1096" s="7" t="s">
        <v>29</v>
      </c>
      <c r="J1096" s="12">
        <v>80018.5</v>
      </c>
      <c r="K1096" s="5">
        <f t="shared" si="35"/>
        <v>80</v>
      </c>
      <c r="P1096" t="str">
        <f t="shared" si="36"/>
        <v>80K</v>
      </c>
    </row>
    <row r="1097" spans="1:16" x14ac:dyDescent="0.35">
      <c r="A1097">
        <v>2018</v>
      </c>
      <c r="B1097" s="6" t="s">
        <v>23</v>
      </c>
      <c r="J1097" s="13">
        <v>82138.86</v>
      </c>
      <c r="K1097" s="5">
        <f t="shared" si="35"/>
        <v>80</v>
      </c>
      <c r="P1097" t="str">
        <f t="shared" si="36"/>
        <v>80K</v>
      </c>
    </row>
    <row r="1098" spans="1:16" x14ac:dyDescent="0.35">
      <c r="A1098">
        <v>2011</v>
      </c>
      <c r="B1098" s="7" t="s">
        <v>23</v>
      </c>
      <c r="J1098" s="12">
        <v>23422.9</v>
      </c>
      <c r="K1098" s="5">
        <f t="shared" si="35"/>
        <v>20</v>
      </c>
      <c r="P1098" t="str">
        <f t="shared" si="36"/>
        <v>20K</v>
      </c>
    </row>
    <row r="1099" spans="1:16" x14ac:dyDescent="0.35">
      <c r="A1099">
        <v>2010</v>
      </c>
      <c r="B1099" s="6" t="s">
        <v>10</v>
      </c>
      <c r="J1099" s="13">
        <v>27480.49</v>
      </c>
      <c r="K1099" s="5">
        <f t="shared" si="35"/>
        <v>30</v>
      </c>
      <c r="P1099" t="str">
        <f t="shared" si="36"/>
        <v>30K</v>
      </c>
    </row>
    <row r="1100" spans="1:16" x14ac:dyDescent="0.35">
      <c r="A1100">
        <v>2001</v>
      </c>
      <c r="B1100" s="7" t="s">
        <v>23</v>
      </c>
      <c r="J1100" s="12">
        <v>88299.14</v>
      </c>
      <c r="K1100" s="5">
        <f t="shared" si="35"/>
        <v>90</v>
      </c>
      <c r="P1100" t="str">
        <f t="shared" si="36"/>
        <v>90K</v>
      </c>
    </row>
    <row r="1101" spans="1:16" x14ac:dyDescent="0.35">
      <c r="A1101">
        <v>2014</v>
      </c>
      <c r="B1101" s="6" t="s">
        <v>10</v>
      </c>
      <c r="J1101" s="13">
        <v>82854.17</v>
      </c>
      <c r="K1101" s="5">
        <f t="shared" si="35"/>
        <v>80</v>
      </c>
      <c r="P1101" t="str">
        <f t="shared" si="36"/>
        <v>80K</v>
      </c>
    </row>
    <row r="1102" spans="1:16" x14ac:dyDescent="0.35">
      <c r="A1102">
        <v>2011</v>
      </c>
      <c r="B1102" s="7" t="s">
        <v>10</v>
      </c>
      <c r="J1102" s="12">
        <v>63673.84</v>
      </c>
      <c r="K1102" s="5">
        <f t="shared" si="35"/>
        <v>60</v>
      </c>
      <c r="P1102" t="str">
        <f t="shared" si="36"/>
        <v>60K</v>
      </c>
    </row>
    <row r="1103" spans="1:16" x14ac:dyDescent="0.35">
      <c r="A1103">
        <v>2011</v>
      </c>
      <c r="B1103" s="6" t="s">
        <v>29</v>
      </c>
      <c r="J1103" s="13">
        <v>99496.42</v>
      </c>
      <c r="K1103" s="5">
        <f t="shared" si="35"/>
        <v>100</v>
      </c>
      <c r="P1103" t="str">
        <f t="shared" si="36"/>
        <v>100K</v>
      </c>
    </row>
    <row r="1104" spans="1:16" x14ac:dyDescent="0.35">
      <c r="A1104">
        <v>2008</v>
      </c>
      <c r="B1104" s="7" t="s">
        <v>23</v>
      </c>
      <c r="J1104" s="12">
        <v>74842.47</v>
      </c>
      <c r="K1104" s="5">
        <f t="shared" si="35"/>
        <v>70</v>
      </c>
      <c r="P1104" t="str">
        <f t="shared" si="36"/>
        <v>70K</v>
      </c>
    </row>
    <row r="1105" spans="1:16" x14ac:dyDescent="0.35">
      <c r="A1105">
        <v>2020</v>
      </c>
      <c r="B1105" s="6" t="s">
        <v>10</v>
      </c>
      <c r="J1105" s="13">
        <v>25504.49</v>
      </c>
      <c r="K1105" s="5">
        <f t="shared" si="35"/>
        <v>30</v>
      </c>
      <c r="P1105" t="str">
        <f t="shared" si="36"/>
        <v>30K</v>
      </c>
    </row>
    <row r="1106" spans="1:16" x14ac:dyDescent="0.35">
      <c r="A1106">
        <v>2023</v>
      </c>
      <c r="B1106" s="7" t="s">
        <v>27</v>
      </c>
      <c r="J1106" s="12">
        <v>85431.19</v>
      </c>
      <c r="K1106" s="5">
        <f t="shared" si="35"/>
        <v>90</v>
      </c>
      <c r="P1106" t="str">
        <f t="shared" si="36"/>
        <v>90K</v>
      </c>
    </row>
    <row r="1107" spans="1:16" x14ac:dyDescent="0.35">
      <c r="A1107">
        <v>2001</v>
      </c>
      <c r="B1107" s="6" t="s">
        <v>25</v>
      </c>
      <c r="J1107" s="13">
        <v>44399.6</v>
      </c>
      <c r="K1107" s="5">
        <f t="shared" si="35"/>
        <v>40</v>
      </c>
      <c r="P1107" t="str">
        <f t="shared" si="36"/>
        <v>40K</v>
      </c>
    </row>
    <row r="1108" spans="1:16" x14ac:dyDescent="0.35">
      <c r="A1108">
        <v>2021</v>
      </c>
      <c r="B1108" s="7" t="s">
        <v>20</v>
      </c>
      <c r="J1108" s="12">
        <v>8434.5</v>
      </c>
      <c r="K1108" s="5">
        <f t="shared" si="35"/>
        <v>10</v>
      </c>
      <c r="P1108" t="str">
        <f t="shared" si="36"/>
        <v>10K</v>
      </c>
    </row>
    <row r="1109" spans="1:16" x14ac:dyDescent="0.35">
      <c r="A1109">
        <v>2002</v>
      </c>
      <c r="B1109" s="6" t="s">
        <v>20</v>
      </c>
      <c r="J1109" s="13">
        <v>35535.019999999997</v>
      </c>
      <c r="K1109" s="5">
        <f t="shared" si="35"/>
        <v>40</v>
      </c>
      <c r="P1109" t="str">
        <f t="shared" si="36"/>
        <v>40K</v>
      </c>
    </row>
    <row r="1110" spans="1:16" x14ac:dyDescent="0.35">
      <c r="A1110">
        <v>2011</v>
      </c>
      <c r="B1110" s="7" t="s">
        <v>29</v>
      </c>
      <c r="J1110" s="12">
        <v>77537.37</v>
      </c>
      <c r="K1110" s="5">
        <f t="shared" si="35"/>
        <v>80</v>
      </c>
      <c r="P1110" t="str">
        <f t="shared" si="36"/>
        <v>80K</v>
      </c>
    </row>
    <row r="1111" spans="1:16" x14ac:dyDescent="0.35">
      <c r="A1111">
        <v>2015</v>
      </c>
      <c r="B1111" s="6" t="s">
        <v>23</v>
      </c>
      <c r="J1111" s="13">
        <v>96219.59</v>
      </c>
      <c r="K1111" s="5">
        <f t="shared" si="35"/>
        <v>100</v>
      </c>
      <c r="P1111" t="str">
        <f t="shared" si="36"/>
        <v>100K</v>
      </c>
    </row>
    <row r="1112" spans="1:16" x14ac:dyDescent="0.35">
      <c r="A1112">
        <v>2020</v>
      </c>
      <c r="B1112" s="7" t="s">
        <v>23</v>
      </c>
      <c r="J1112" s="12">
        <v>31232.959999999999</v>
      </c>
      <c r="K1112" s="5">
        <f t="shared" si="35"/>
        <v>30</v>
      </c>
      <c r="P1112" t="str">
        <f t="shared" si="36"/>
        <v>30K</v>
      </c>
    </row>
    <row r="1113" spans="1:16" x14ac:dyDescent="0.35">
      <c r="A1113">
        <v>2023</v>
      </c>
      <c r="B1113" s="6" t="s">
        <v>10</v>
      </c>
      <c r="J1113" s="13">
        <v>28419.05</v>
      </c>
      <c r="K1113" s="5">
        <f t="shared" si="35"/>
        <v>30</v>
      </c>
      <c r="P1113" t="str">
        <f t="shared" si="36"/>
        <v>30K</v>
      </c>
    </row>
    <row r="1114" spans="1:16" x14ac:dyDescent="0.35">
      <c r="A1114">
        <v>2000</v>
      </c>
      <c r="B1114" s="7" t="s">
        <v>35</v>
      </c>
      <c r="J1114" s="12">
        <v>58543.58</v>
      </c>
      <c r="K1114" s="5">
        <f t="shared" si="35"/>
        <v>60</v>
      </c>
      <c r="P1114" t="str">
        <f t="shared" si="36"/>
        <v>60K</v>
      </c>
    </row>
    <row r="1115" spans="1:16" x14ac:dyDescent="0.35">
      <c r="A1115">
        <v>2020</v>
      </c>
      <c r="B1115" s="6" t="s">
        <v>10</v>
      </c>
      <c r="J1115" s="13">
        <v>82109.97</v>
      </c>
      <c r="K1115" s="5">
        <f t="shared" si="35"/>
        <v>80</v>
      </c>
      <c r="P1115" t="str">
        <f t="shared" si="36"/>
        <v>80K</v>
      </c>
    </row>
    <row r="1116" spans="1:16" x14ac:dyDescent="0.35">
      <c r="A1116">
        <v>2002</v>
      </c>
      <c r="B1116" s="7" t="s">
        <v>25</v>
      </c>
      <c r="J1116" s="12">
        <v>75919.94</v>
      </c>
      <c r="K1116" s="5">
        <f t="shared" si="35"/>
        <v>80</v>
      </c>
      <c r="P1116" t="str">
        <f t="shared" si="36"/>
        <v>80K</v>
      </c>
    </row>
    <row r="1117" spans="1:16" x14ac:dyDescent="0.35">
      <c r="A1117">
        <v>2019</v>
      </c>
      <c r="B1117" s="6" t="s">
        <v>27</v>
      </c>
      <c r="J1117" s="13">
        <v>58196.1</v>
      </c>
      <c r="K1117" s="5">
        <f t="shared" si="35"/>
        <v>60</v>
      </c>
      <c r="P1117" t="str">
        <f t="shared" si="36"/>
        <v>60K</v>
      </c>
    </row>
    <row r="1118" spans="1:16" x14ac:dyDescent="0.35">
      <c r="A1118">
        <v>2001</v>
      </c>
      <c r="B1118" s="7" t="s">
        <v>20</v>
      </c>
      <c r="J1118" s="12">
        <v>64982.02</v>
      </c>
      <c r="K1118" s="5">
        <f t="shared" si="35"/>
        <v>60</v>
      </c>
      <c r="P1118" t="str">
        <f t="shared" si="36"/>
        <v>60K</v>
      </c>
    </row>
    <row r="1119" spans="1:16" x14ac:dyDescent="0.35">
      <c r="A1119">
        <v>2008</v>
      </c>
      <c r="B1119" s="6" t="s">
        <v>10</v>
      </c>
      <c r="J1119" s="13">
        <v>27999.4</v>
      </c>
      <c r="K1119" s="5">
        <f t="shared" si="35"/>
        <v>30</v>
      </c>
      <c r="P1119" t="str">
        <f t="shared" si="36"/>
        <v>30K</v>
      </c>
    </row>
    <row r="1120" spans="1:16" x14ac:dyDescent="0.35">
      <c r="A1120">
        <v>2018</v>
      </c>
      <c r="B1120" s="7" t="s">
        <v>35</v>
      </c>
      <c r="J1120" s="12">
        <v>46094.559999999998</v>
      </c>
      <c r="K1120" s="5">
        <f t="shared" si="35"/>
        <v>50</v>
      </c>
      <c r="P1120" t="str">
        <f t="shared" si="36"/>
        <v>50K</v>
      </c>
    </row>
    <row r="1121" spans="1:16" x14ac:dyDescent="0.35">
      <c r="A1121">
        <v>2014</v>
      </c>
      <c r="B1121" s="6" t="s">
        <v>35</v>
      </c>
      <c r="J1121" s="13">
        <v>29259.73</v>
      </c>
      <c r="K1121" s="5">
        <f t="shared" si="35"/>
        <v>30</v>
      </c>
      <c r="P1121" t="str">
        <f t="shared" si="36"/>
        <v>30K</v>
      </c>
    </row>
    <row r="1122" spans="1:16" x14ac:dyDescent="0.35">
      <c r="A1122">
        <v>2017</v>
      </c>
      <c r="B1122" s="7" t="s">
        <v>10</v>
      </c>
      <c r="J1122" s="12">
        <v>89019.71</v>
      </c>
      <c r="K1122" s="5">
        <f t="shared" si="35"/>
        <v>90</v>
      </c>
      <c r="P1122" t="str">
        <f t="shared" si="36"/>
        <v>90K</v>
      </c>
    </row>
    <row r="1123" spans="1:16" x14ac:dyDescent="0.35">
      <c r="A1123">
        <v>2010</v>
      </c>
      <c r="B1123" s="6" t="s">
        <v>29</v>
      </c>
      <c r="J1123" s="13">
        <v>15692.68</v>
      </c>
      <c r="K1123" s="5">
        <f t="shared" si="35"/>
        <v>20</v>
      </c>
      <c r="P1123" t="str">
        <f t="shared" si="36"/>
        <v>20K</v>
      </c>
    </row>
    <row r="1124" spans="1:16" x14ac:dyDescent="0.35">
      <c r="A1124">
        <v>2022</v>
      </c>
      <c r="B1124" s="7" t="s">
        <v>20</v>
      </c>
      <c r="J1124" s="12">
        <v>69575.350000000006</v>
      </c>
      <c r="K1124" s="5">
        <f t="shared" si="35"/>
        <v>70</v>
      </c>
      <c r="P1124" t="str">
        <f t="shared" si="36"/>
        <v>70K</v>
      </c>
    </row>
    <row r="1125" spans="1:16" x14ac:dyDescent="0.35">
      <c r="A1125">
        <v>2015</v>
      </c>
      <c r="B1125" s="6" t="s">
        <v>29</v>
      </c>
      <c r="J1125" s="13">
        <v>29726.9</v>
      </c>
      <c r="K1125" s="5">
        <f t="shared" si="35"/>
        <v>30</v>
      </c>
      <c r="P1125" t="str">
        <f t="shared" si="36"/>
        <v>30K</v>
      </c>
    </row>
    <row r="1126" spans="1:16" x14ac:dyDescent="0.35">
      <c r="A1126">
        <v>2021</v>
      </c>
      <c r="B1126" s="7" t="s">
        <v>27</v>
      </c>
      <c r="J1126" s="12">
        <v>50179.85</v>
      </c>
      <c r="K1126" s="5">
        <f t="shared" si="35"/>
        <v>50</v>
      </c>
      <c r="P1126" t="str">
        <f t="shared" si="36"/>
        <v>50K</v>
      </c>
    </row>
    <row r="1127" spans="1:16" x14ac:dyDescent="0.35">
      <c r="A1127">
        <v>2016</v>
      </c>
      <c r="B1127" s="6" t="s">
        <v>35</v>
      </c>
      <c r="J1127" s="13">
        <v>33444.21</v>
      </c>
      <c r="K1127" s="5">
        <f t="shared" si="35"/>
        <v>30</v>
      </c>
      <c r="P1127" t="str">
        <f t="shared" si="36"/>
        <v>30K</v>
      </c>
    </row>
    <row r="1128" spans="1:16" x14ac:dyDescent="0.35">
      <c r="A1128">
        <v>2004</v>
      </c>
      <c r="B1128" s="7" t="s">
        <v>35</v>
      </c>
      <c r="J1128" s="12">
        <v>35708.31</v>
      </c>
      <c r="K1128" s="5">
        <f t="shared" si="35"/>
        <v>40</v>
      </c>
      <c r="P1128" t="str">
        <f t="shared" si="36"/>
        <v>40K</v>
      </c>
    </row>
    <row r="1129" spans="1:16" x14ac:dyDescent="0.35">
      <c r="A1129">
        <v>2011</v>
      </c>
      <c r="B1129" s="6" t="s">
        <v>25</v>
      </c>
      <c r="J1129" s="13">
        <v>29737.34</v>
      </c>
      <c r="K1129" s="5">
        <f t="shared" si="35"/>
        <v>30</v>
      </c>
      <c r="P1129" t="str">
        <f t="shared" si="36"/>
        <v>30K</v>
      </c>
    </row>
    <row r="1130" spans="1:16" x14ac:dyDescent="0.35">
      <c r="A1130">
        <v>2010</v>
      </c>
      <c r="B1130" s="7" t="s">
        <v>27</v>
      </c>
      <c r="J1130" s="12">
        <v>76515.33</v>
      </c>
      <c r="K1130" s="5">
        <f t="shared" si="35"/>
        <v>80</v>
      </c>
      <c r="P1130" t="str">
        <f t="shared" si="36"/>
        <v>80K</v>
      </c>
    </row>
    <row r="1131" spans="1:16" x14ac:dyDescent="0.35">
      <c r="A1131">
        <v>2014</v>
      </c>
      <c r="B1131" s="6" t="s">
        <v>35</v>
      </c>
      <c r="J1131" s="13">
        <v>39743.01</v>
      </c>
      <c r="K1131" s="5">
        <f t="shared" si="35"/>
        <v>40</v>
      </c>
      <c r="P1131" t="str">
        <f t="shared" si="36"/>
        <v>40K</v>
      </c>
    </row>
    <row r="1132" spans="1:16" x14ac:dyDescent="0.35">
      <c r="A1132">
        <v>2002</v>
      </c>
      <c r="B1132" s="7" t="s">
        <v>27</v>
      </c>
      <c r="J1132" s="12">
        <v>74003.92</v>
      </c>
      <c r="K1132" s="5">
        <f t="shared" si="35"/>
        <v>70</v>
      </c>
      <c r="P1132" t="str">
        <f t="shared" si="36"/>
        <v>70K</v>
      </c>
    </row>
    <row r="1133" spans="1:16" x14ac:dyDescent="0.35">
      <c r="A1133">
        <v>2000</v>
      </c>
      <c r="B1133" s="6" t="s">
        <v>20</v>
      </c>
      <c r="J1133" s="13">
        <v>48326.64</v>
      </c>
      <c r="K1133" s="5">
        <f t="shared" si="35"/>
        <v>50</v>
      </c>
      <c r="P1133" t="str">
        <f t="shared" si="36"/>
        <v>50K</v>
      </c>
    </row>
    <row r="1134" spans="1:16" x14ac:dyDescent="0.35">
      <c r="A1134">
        <v>2019</v>
      </c>
      <c r="B1134" s="7" t="s">
        <v>23</v>
      </c>
      <c r="J1134" s="12">
        <v>56988.37</v>
      </c>
      <c r="K1134" s="5">
        <f t="shared" si="35"/>
        <v>60</v>
      </c>
      <c r="P1134" t="str">
        <f t="shared" si="36"/>
        <v>60K</v>
      </c>
    </row>
    <row r="1135" spans="1:16" x14ac:dyDescent="0.35">
      <c r="A1135">
        <v>2015</v>
      </c>
      <c r="B1135" s="6" t="s">
        <v>35</v>
      </c>
      <c r="J1135" s="13">
        <v>56612.31</v>
      </c>
      <c r="K1135" s="5">
        <f t="shared" si="35"/>
        <v>60</v>
      </c>
      <c r="P1135" t="str">
        <f t="shared" si="36"/>
        <v>60K</v>
      </c>
    </row>
    <row r="1136" spans="1:16" x14ac:dyDescent="0.35">
      <c r="A1136">
        <v>2001</v>
      </c>
      <c r="B1136" s="7" t="s">
        <v>25</v>
      </c>
      <c r="J1136" s="12">
        <v>97705.95</v>
      </c>
      <c r="K1136" s="5">
        <f t="shared" si="35"/>
        <v>100</v>
      </c>
      <c r="P1136" t="str">
        <f t="shared" si="36"/>
        <v>100K</v>
      </c>
    </row>
    <row r="1137" spans="1:16" x14ac:dyDescent="0.35">
      <c r="A1137">
        <v>2001</v>
      </c>
      <c r="B1137" s="6" t="s">
        <v>20</v>
      </c>
      <c r="J1137" s="13">
        <v>39870.93</v>
      </c>
      <c r="K1137" s="5">
        <f t="shared" si="35"/>
        <v>40</v>
      </c>
      <c r="P1137" t="str">
        <f t="shared" si="36"/>
        <v>40K</v>
      </c>
    </row>
    <row r="1138" spans="1:16" x14ac:dyDescent="0.35">
      <c r="A1138">
        <v>2002</v>
      </c>
      <c r="B1138" s="7" t="s">
        <v>10</v>
      </c>
      <c r="J1138" s="12">
        <v>24729.99</v>
      </c>
      <c r="K1138" s="5">
        <f t="shared" si="35"/>
        <v>20</v>
      </c>
      <c r="P1138" t="str">
        <f t="shared" si="36"/>
        <v>20K</v>
      </c>
    </row>
    <row r="1139" spans="1:16" x14ac:dyDescent="0.35">
      <c r="A1139">
        <v>2007</v>
      </c>
      <c r="B1139" s="6" t="s">
        <v>27</v>
      </c>
      <c r="J1139" s="13">
        <v>91620.23</v>
      </c>
      <c r="K1139" s="5">
        <f t="shared" si="35"/>
        <v>90</v>
      </c>
      <c r="P1139" t="str">
        <f t="shared" si="36"/>
        <v>90K</v>
      </c>
    </row>
    <row r="1140" spans="1:16" x14ac:dyDescent="0.35">
      <c r="A1140">
        <v>2023</v>
      </c>
      <c r="B1140" s="7" t="s">
        <v>10</v>
      </c>
      <c r="J1140" s="12">
        <v>21609.73</v>
      </c>
      <c r="K1140" s="5">
        <f t="shared" si="35"/>
        <v>20</v>
      </c>
      <c r="P1140" t="str">
        <f t="shared" si="36"/>
        <v>20K</v>
      </c>
    </row>
    <row r="1141" spans="1:16" x14ac:dyDescent="0.35">
      <c r="A1141">
        <v>2014</v>
      </c>
      <c r="B1141" s="6" t="s">
        <v>29</v>
      </c>
      <c r="J1141" s="13">
        <v>84270.17</v>
      </c>
      <c r="K1141" s="5">
        <f t="shared" si="35"/>
        <v>80</v>
      </c>
      <c r="P1141" t="str">
        <f t="shared" si="36"/>
        <v>80K</v>
      </c>
    </row>
    <row r="1142" spans="1:16" x14ac:dyDescent="0.35">
      <c r="A1142">
        <v>2006</v>
      </c>
      <c r="B1142" s="7" t="s">
        <v>20</v>
      </c>
      <c r="J1142" s="12">
        <v>19270.419999999998</v>
      </c>
      <c r="K1142" s="5">
        <f t="shared" si="35"/>
        <v>20</v>
      </c>
      <c r="P1142" t="str">
        <f t="shared" si="36"/>
        <v>20K</v>
      </c>
    </row>
    <row r="1143" spans="1:16" x14ac:dyDescent="0.35">
      <c r="A1143">
        <v>2005</v>
      </c>
      <c r="B1143" s="6" t="s">
        <v>10</v>
      </c>
      <c r="J1143" s="13">
        <v>67578.81</v>
      </c>
      <c r="K1143" s="5">
        <f t="shared" si="35"/>
        <v>70</v>
      </c>
      <c r="P1143" t="str">
        <f t="shared" si="36"/>
        <v>70K</v>
      </c>
    </row>
    <row r="1144" spans="1:16" x14ac:dyDescent="0.35">
      <c r="A1144">
        <v>2008</v>
      </c>
      <c r="B1144" s="7" t="s">
        <v>35</v>
      </c>
      <c r="J1144" s="12">
        <v>19301.38</v>
      </c>
      <c r="K1144" s="5">
        <f t="shared" si="35"/>
        <v>20</v>
      </c>
      <c r="P1144" t="str">
        <f t="shared" si="36"/>
        <v>20K</v>
      </c>
    </row>
    <row r="1145" spans="1:16" x14ac:dyDescent="0.35">
      <c r="A1145">
        <v>2019</v>
      </c>
      <c r="B1145" s="6" t="s">
        <v>27</v>
      </c>
      <c r="J1145" s="13">
        <v>92693.15</v>
      </c>
      <c r="K1145" s="5">
        <f t="shared" si="35"/>
        <v>90</v>
      </c>
      <c r="P1145" t="str">
        <f t="shared" si="36"/>
        <v>90K</v>
      </c>
    </row>
    <row r="1146" spans="1:16" x14ac:dyDescent="0.35">
      <c r="A1146">
        <v>2000</v>
      </c>
      <c r="B1146" s="7" t="s">
        <v>23</v>
      </c>
      <c r="J1146" s="12">
        <v>58675.79</v>
      </c>
      <c r="K1146" s="5">
        <f t="shared" si="35"/>
        <v>60</v>
      </c>
      <c r="P1146" t="str">
        <f t="shared" si="36"/>
        <v>60K</v>
      </c>
    </row>
    <row r="1147" spans="1:16" x14ac:dyDescent="0.35">
      <c r="A1147">
        <v>2007</v>
      </c>
      <c r="B1147" s="6" t="s">
        <v>20</v>
      </c>
      <c r="J1147" s="13">
        <v>36281.01</v>
      </c>
      <c r="K1147" s="5">
        <f t="shared" si="35"/>
        <v>40</v>
      </c>
      <c r="P1147" t="str">
        <f t="shared" si="36"/>
        <v>40K</v>
      </c>
    </row>
    <row r="1148" spans="1:16" x14ac:dyDescent="0.35">
      <c r="A1148">
        <v>2022</v>
      </c>
      <c r="B1148" s="7" t="s">
        <v>35</v>
      </c>
      <c r="J1148" s="12">
        <v>18330.66</v>
      </c>
      <c r="K1148" s="5">
        <f t="shared" si="35"/>
        <v>20</v>
      </c>
      <c r="P1148" t="str">
        <f t="shared" si="36"/>
        <v>20K</v>
      </c>
    </row>
    <row r="1149" spans="1:16" x14ac:dyDescent="0.35">
      <c r="A1149">
        <v>2022</v>
      </c>
      <c r="B1149" s="6" t="s">
        <v>25</v>
      </c>
      <c r="J1149" s="13">
        <v>40263.26</v>
      </c>
      <c r="K1149" s="5">
        <f t="shared" si="35"/>
        <v>40</v>
      </c>
      <c r="P1149" t="str">
        <f t="shared" si="36"/>
        <v>40K</v>
      </c>
    </row>
    <row r="1150" spans="1:16" x14ac:dyDescent="0.35">
      <c r="A1150">
        <v>2002</v>
      </c>
      <c r="B1150" s="7" t="s">
        <v>29</v>
      </c>
      <c r="J1150" s="12">
        <v>71976.899999999994</v>
      </c>
      <c r="K1150" s="5">
        <f t="shared" si="35"/>
        <v>70</v>
      </c>
      <c r="P1150" t="str">
        <f t="shared" si="36"/>
        <v>70K</v>
      </c>
    </row>
    <row r="1151" spans="1:16" x14ac:dyDescent="0.35">
      <c r="A1151">
        <v>2003</v>
      </c>
      <c r="B1151" s="6" t="s">
        <v>27</v>
      </c>
      <c r="J1151" s="13">
        <v>41570.33</v>
      </c>
      <c r="K1151" s="5">
        <f t="shared" si="35"/>
        <v>40</v>
      </c>
      <c r="P1151" t="str">
        <f t="shared" si="36"/>
        <v>40K</v>
      </c>
    </row>
    <row r="1152" spans="1:16" x14ac:dyDescent="0.35">
      <c r="A1152">
        <v>2014</v>
      </c>
      <c r="B1152" s="7" t="s">
        <v>20</v>
      </c>
      <c r="J1152" s="12">
        <v>28378.94</v>
      </c>
      <c r="K1152" s="5">
        <f t="shared" si="35"/>
        <v>30</v>
      </c>
      <c r="P1152" t="str">
        <f t="shared" si="36"/>
        <v>30K</v>
      </c>
    </row>
    <row r="1153" spans="1:16" x14ac:dyDescent="0.35">
      <c r="A1153">
        <v>2005</v>
      </c>
      <c r="B1153" s="6" t="s">
        <v>20</v>
      </c>
      <c r="J1153" s="13">
        <v>59853.9</v>
      </c>
      <c r="K1153" s="5">
        <f t="shared" si="35"/>
        <v>60</v>
      </c>
      <c r="P1153" t="str">
        <f t="shared" si="36"/>
        <v>60K</v>
      </c>
    </row>
    <row r="1154" spans="1:16" x14ac:dyDescent="0.35">
      <c r="A1154">
        <v>2014</v>
      </c>
      <c r="B1154" s="7" t="s">
        <v>23</v>
      </c>
      <c r="J1154" s="12">
        <v>44693.08</v>
      </c>
      <c r="K1154" s="5">
        <f t="shared" si="35"/>
        <v>40</v>
      </c>
      <c r="P1154" t="str">
        <f t="shared" si="36"/>
        <v>40K</v>
      </c>
    </row>
    <row r="1155" spans="1:16" x14ac:dyDescent="0.35">
      <c r="A1155">
        <v>2020</v>
      </c>
      <c r="B1155" s="6" t="s">
        <v>23</v>
      </c>
      <c r="J1155" s="13">
        <v>20751.59</v>
      </c>
      <c r="K1155" s="5">
        <f t="shared" ref="K1155:K1218" si="37">ROUND(J1155/10000,0)*10</f>
        <v>20</v>
      </c>
      <c r="P1155" t="str">
        <f t="shared" ref="P1155:P1218" si="38">TEXT(ROUND(J1155/10000,0)*10,"0") &amp; "K"</f>
        <v>20K</v>
      </c>
    </row>
    <row r="1156" spans="1:16" x14ac:dyDescent="0.35">
      <c r="A1156">
        <v>2002</v>
      </c>
      <c r="B1156" s="7" t="s">
        <v>25</v>
      </c>
      <c r="J1156" s="12">
        <v>19628.86</v>
      </c>
      <c r="K1156" s="5">
        <f t="shared" si="37"/>
        <v>20</v>
      </c>
      <c r="P1156" t="str">
        <f t="shared" si="38"/>
        <v>20K</v>
      </c>
    </row>
    <row r="1157" spans="1:16" x14ac:dyDescent="0.35">
      <c r="A1157">
        <v>2020</v>
      </c>
      <c r="B1157" s="6" t="s">
        <v>29</v>
      </c>
      <c r="J1157" s="13">
        <v>72208.89</v>
      </c>
      <c r="K1157" s="5">
        <f t="shared" si="37"/>
        <v>70</v>
      </c>
      <c r="P1157" t="str">
        <f t="shared" si="38"/>
        <v>70K</v>
      </c>
    </row>
    <row r="1158" spans="1:16" x14ac:dyDescent="0.35">
      <c r="A1158">
        <v>2020</v>
      </c>
      <c r="B1158" s="7" t="s">
        <v>25</v>
      </c>
      <c r="J1158" s="12">
        <v>97593.83</v>
      </c>
      <c r="K1158" s="5">
        <f t="shared" si="37"/>
        <v>100</v>
      </c>
      <c r="P1158" t="str">
        <f t="shared" si="38"/>
        <v>100K</v>
      </c>
    </row>
    <row r="1159" spans="1:16" x14ac:dyDescent="0.35">
      <c r="A1159">
        <v>2013</v>
      </c>
      <c r="B1159" s="6" t="s">
        <v>35</v>
      </c>
      <c r="J1159" s="13">
        <v>27143.94</v>
      </c>
      <c r="K1159" s="5">
        <f t="shared" si="37"/>
        <v>30</v>
      </c>
      <c r="P1159" t="str">
        <f t="shared" si="38"/>
        <v>30K</v>
      </c>
    </row>
    <row r="1160" spans="1:16" x14ac:dyDescent="0.35">
      <c r="A1160">
        <v>2019</v>
      </c>
      <c r="B1160" s="7" t="s">
        <v>35</v>
      </c>
      <c r="J1160" s="12">
        <v>78449.119999999995</v>
      </c>
      <c r="K1160" s="5">
        <f t="shared" si="37"/>
        <v>80</v>
      </c>
      <c r="P1160" t="str">
        <f t="shared" si="38"/>
        <v>80K</v>
      </c>
    </row>
    <row r="1161" spans="1:16" x14ac:dyDescent="0.35">
      <c r="A1161">
        <v>2013</v>
      </c>
      <c r="B1161" s="6" t="s">
        <v>25</v>
      </c>
      <c r="J1161" s="13">
        <v>13322.64</v>
      </c>
      <c r="K1161" s="5">
        <f t="shared" si="37"/>
        <v>10</v>
      </c>
      <c r="P1161" t="str">
        <f t="shared" si="38"/>
        <v>10K</v>
      </c>
    </row>
    <row r="1162" spans="1:16" x14ac:dyDescent="0.35">
      <c r="A1162">
        <v>2003</v>
      </c>
      <c r="B1162" s="7" t="s">
        <v>29</v>
      </c>
      <c r="J1162" s="12">
        <v>41249.71</v>
      </c>
      <c r="K1162" s="5">
        <f t="shared" si="37"/>
        <v>40</v>
      </c>
      <c r="P1162" t="str">
        <f t="shared" si="38"/>
        <v>40K</v>
      </c>
    </row>
    <row r="1163" spans="1:16" x14ac:dyDescent="0.35">
      <c r="A1163">
        <v>2011</v>
      </c>
      <c r="B1163" s="6" t="s">
        <v>25</v>
      </c>
      <c r="J1163" s="13">
        <v>53135.37</v>
      </c>
      <c r="K1163" s="5">
        <f t="shared" si="37"/>
        <v>50</v>
      </c>
      <c r="P1163" t="str">
        <f t="shared" si="38"/>
        <v>50K</v>
      </c>
    </row>
    <row r="1164" spans="1:16" x14ac:dyDescent="0.35">
      <c r="A1164">
        <v>2016</v>
      </c>
      <c r="B1164" s="7" t="s">
        <v>29</v>
      </c>
      <c r="J1164" s="12">
        <v>30530.959999999999</v>
      </c>
      <c r="K1164" s="5">
        <f t="shared" si="37"/>
        <v>30</v>
      </c>
      <c r="P1164" t="str">
        <f t="shared" si="38"/>
        <v>30K</v>
      </c>
    </row>
    <row r="1165" spans="1:16" x14ac:dyDescent="0.35">
      <c r="A1165">
        <v>2006</v>
      </c>
      <c r="B1165" s="6" t="s">
        <v>29</v>
      </c>
      <c r="J1165" s="13">
        <v>55309.95</v>
      </c>
      <c r="K1165" s="5">
        <f t="shared" si="37"/>
        <v>60</v>
      </c>
      <c r="P1165" t="str">
        <f t="shared" si="38"/>
        <v>60K</v>
      </c>
    </row>
    <row r="1166" spans="1:16" x14ac:dyDescent="0.35">
      <c r="A1166">
        <v>2008</v>
      </c>
      <c r="B1166" s="7" t="s">
        <v>10</v>
      </c>
      <c r="J1166" s="12">
        <v>88848.37</v>
      </c>
      <c r="K1166" s="5">
        <f t="shared" si="37"/>
        <v>90</v>
      </c>
      <c r="P1166" t="str">
        <f t="shared" si="38"/>
        <v>90K</v>
      </c>
    </row>
    <row r="1167" spans="1:16" x14ac:dyDescent="0.35">
      <c r="A1167">
        <v>2002</v>
      </c>
      <c r="B1167" s="6" t="s">
        <v>27</v>
      </c>
      <c r="J1167" s="13">
        <v>94721.61</v>
      </c>
      <c r="K1167" s="5">
        <f t="shared" si="37"/>
        <v>90</v>
      </c>
      <c r="P1167" t="str">
        <f t="shared" si="38"/>
        <v>90K</v>
      </c>
    </row>
    <row r="1168" spans="1:16" x14ac:dyDescent="0.35">
      <c r="A1168">
        <v>2012</v>
      </c>
      <c r="B1168" s="7" t="s">
        <v>29</v>
      </c>
      <c r="J1168" s="12">
        <v>14552.91</v>
      </c>
      <c r="K1168" s="5">
        <f t="shared" si="37"/>
        <v>10</v>
      </c>
      <c r="P1168" t="str">
        <f t="shared" si="38"/>
        <v>10K</v>
      </c>
    </row>
    <row r="1169" spans="1:16" x14ac:dyDescent="0.35">
      <c r="A1169">
        <v>2014</v>
      </c>
      <c r="B1169" s="6" t="s">
        <v>23</v>
      </c>
      <c r="J1169" s="13">
        <v>30825.360000000001</v>
      </c>
      <c r="K1169" s="5">
        <f t="shared" si="37"/>
        <v>30</v>
      </c>
      <c r="P1169" t="str">
        <f t="shared" si="38"/>
        <v>30K</v>
      </c>
    </row>
    <row r="1170" spans="1:16" x14ac:dyDescent="0.35">
      <c r="A1170">
        <v>2017</v>
      </c>
      <c r="B1170" s="7" t="s">
        <v>29</v>
      </c>
      <c r="J1170" s="12">
        <v>98017.72</v>
      </c>
      <c r="K1170" s="5">
        <f t="shared" si="37"/>
        <v>100</v>
      </c>
      <c r="P1170" t="str">
        <f t="shared" si="38"/>
        <v>100K</v>
      </c>
    </row>
    <row r="1171" spans="1:16" x14ac:dyDescent="0.35">
      <c r="A1171">
        <v>2018</v>
      </c>
      <c r="B1171" s="6" t="s">
        <v>29</v>
      </c>
      <c r="J1171" s="13">
        <v>30689.75</v>
      </c>
      <c r="K1171" s="5">
        <f t="shared" si="37"/>
        <v>30</v>
      </c>
      <c r="P1171" t="str">
        <f t="shared" si="38"/>
        <v>30K</v>
      </c>
    </row>
    <row r="1172" spans="1:16" x14ac:dyDescent="0.35">
      <c r="A1172">
        <v>2000</v>
      </c>
      <c r="B1172" s="7" t="s">
        <v>29</v>
      </c>
      <c r="J1172" s="12">
        <v>70807.199999999997</v>
      </c>
      <c r="K1172" s="5">
        <f t="shared" si="37"/>
        <v>70</v>
      </c>
      <c r="P1172" t="str">
        <f t="shared" si="38"/>
        <v>70K</v>
      </c>
    </row>
    <row r="1173" spans="1:16" x14ac:dyDescent="0.35">
      <c r="A1173">
        <v>2005</v>
      </c>
      <c r="B1173" s="6" t="s">
        <v>10</v>
      </c>
      <c r="J1173" s="13">
        <v>29078.1</v>
      </c>
      <c r="K1173" s="5">
        <f t="shared" si="37"/>
        <v>30</v>
      </c>
      <c r="P1173" t="str">
        <f t="shared" si="38"/>
        <v>30K</v>
      </c>
    </row>
    <row r="1174" spans="1:16" x14ac:dyDescent="0.35">
      <c r="A1174">
        <v>2022</v>
      </c>
      <c r="B1174" s="7" t="s">
        <v>10</v>
      </c>
      <c r="J1174" s="12">
        <v>38854.730000000003</v>
      </c>
      <c r="K1174" s="5">
        <f t="shared" si="37"/>
        <v>40</v>
      </c>
      <c r="P1174" t="str">
        <f t="shared" si="38"/>
        <v>40K</v>
      </c>
    </row>
    <row r="1175" spans="1:16" x14ac:dyDescent="0.35">
      <c r="A1175">
        <v>2001</v>
      </c>
      <c r="B1175" s="6" t="s">
        <v>35</v>
      </c>
      <c r="J1175" s="13">
        <v>23171.5</v>
      </c>
      <c r="K1175" s="5">
        <f t="shared" si="37"/>
        <v>20</v>
      </c>
      <c r="P1175" t="str">
        <f t="shared" si="38"/>
        <v>20K</v>
      </c>
    </row>
    <row r="1176" spans="1:16" x14ac:dyDescent="0.35">
      <c r="A1176">
        <v>2023</v>
      </c>
      <c r="B1176" s="7" t="s">
        <v>10</v>
      </c>
      <c r="J1176" s="12">
        <v>86348.52</v>
      </c>
      <c r="K1176" s="5">
        <f t="shared" si="37"/>
        <v>90</v>
      </c>
      <c r="P1176" t="str">
        <f t="shared" si="38"/>
        <v>90K</v>
      </c>
    </row>
    <row r="1177" spans="1:16" x14ac:dyDescent="0.35">
      <c r="A1177">
        <v>2013</v>
      </c>
      <c r="B1177" s="6" t="s">
        <v>23</v>
      </c>
      <c r="J1177" s="13">
        <v>88851.63</v>
      </c>
      <c r="K1177" s="5">
        <f t="shared" si="37"/>
        <v>90</v>
      </c>
      <c r="P1177" t="str">
        <f t="shared" si="38"/>
        <v>90K</v>
      </c>
    </row>
    <row r="1178" spans="1:16" x14ac:dyDescent="0.35">
      <c r="A1178">
        <v>2005</v>
      </c>
      <c r="B1178" s="7" t="s">
        <v>23</v>
      </c>
      <c r="J1178" s="12">
        <v>33206.69</v>
      </c>
      <c r="K1178" s="5">
        <f t="shared" si="37"/>
        <v>30</v>
      </c>
      <c r="P1178" t="str">
        <f t="shared" si="38"/>
        <v>30K</v>
      </c>
    </row>
    <row r="1179" spans="1:16" x14ac:dyDescent="0.35">
      <c r="A1179">
        <v>2013</v>
      </c>
      <c r="B1179" s="6" t="s">
        <v>10</v>
      </c>
      <c r="J1179" s="13">
        <v>83241.03</v>
      </c>
      <c r="K1179" s="5">
        <f t="shared" si="37"/>
        <v>80</v>
      </c>
      <c r="P1179" t="str">
        <f t="shared" si="38"/>
        <v>80K</v>
      </c>
    </row>
    <row r="1180" spans="1:16" x14ac:dyDescent="0.35">
      <c r="A1180">
        <v>2003</v>
      </c>
      <c r="B1180" s="7" t="s">
        <v>25</v>
      </c>
      <c r="J1180" s="12">
        <v>39032.959999999999</v>
      </c>
      <c r="K1180" s="5">
        <f t="shared" si="37"/>
        <v>40</v>
      </c>
      <c r="P1180" t="str">
        <f t="shared" si="38"/>
        <v>40K</v>
      </c>
    </row>
    <row r="1181" spans="1:16" x14ac:dyDescent="0.35">
      <c r="A1181">
        <v>2020</v>
      </c>
      <c r="B1181" s="6" t="s">
        <v>27</v>
      </c>
      <c r="J1181" s="13">
        <v>14406.85</v>
      </c>
      <c r="K1181" s="5">
        <f t="shared" si="37"/>
        <v>10</v>
      </c>
      <c r="P1181" t="str">
        <f t="shared" si="38"/>
        <v>10K</v>
      </c>
    </row>
    <row r="1182" spans="1:16" x14ac:dyDescent="0.35">
      <c r="A1182">
        <v>2007</v>
      </c>
      <c r="B1182" s="7" t="s">
        <v>10</v>
      </c>
      <c r="J1182" s="12">
        <v>77017.259999999995</v>
      </c>
      <c r="K1182" s="5">
        <f t="shared" si="37"/>
        <v>80</v>
      </c>
      <c r="P1182" t="str">
        <f t="shared" si="38"/>
        <v>80K</v>
      </c>
    </row>
    <row r="1183" spans="1:16" x14ac:dyDescent="0.35">
      <c r="A1183">
        <v>2002</v>
      </c>
      <c r="B1183" s="6" t="s">
        <v>29</v>
      </c>
      <c r="J1183" s="13">
        <v>61662.39</v>
      </c>
      <c r="K1183" s="5">
        <f t="shared" si="37"/>
        <v>60</v>
      </c>
      <c r="P1183" t="str">
        <f t="shared" si="38"/>
        <v>60K</v>
      </c>
    </row>
    <row r="1184" spans="1:16" x14ac:dyDescent="0.35">
      <c r="A1184">
        <v>2018</v>
      </c>
      <c r="B1184" s="7" t="s">
        <v>20</v>
      </c>
      <c r="J1184" s="12">
        <v>31066.33</v>
      </c>
      <c r="K1184" s="5">
        <f t="shared" si="37"/>
        <v>30</v>
      </c>
      <c r="P1184" t="str">
        <f t="shared" si="38"/>
        <v>30K</v>
      </c>
    </row>
    <row r="1185" spans="1:16" x14ac:dyDescent="0.35">
      <c r="A1185">
        <v>2013</v>
      </c>
      <c r="B1185" s="6" t="s">
        <v>27</v>
      </c>
      <c r="J1185" s="13">
        <v>29034.98</v>
      </c>
      <c r="K1185" s="5">
        <f t="shared" si="37"/>
        <v>30</v>
      </c>
      <c r="P1185" t="str">
        <f t="shared" si="38"/>
        <v>30K</v>
      </c>
    </row>
    <row r="1186" spans="1:16" x14ac:dyDescent="0.35">
      <c r="A1186">
        <v>2019</v>
      </c>
      <c r="B1186" s="7" t="s">
        <v>27</v>
      </c>
      <c r="J1186" s="12">
        <v>97684.22</v>
      </c>
      <c r="K1186" s="5">
        <f t="shared" si="37"/>
        <v>100</v>
      </c>
      <c r="P1186" t="str">
        <f t="shared" si="38"/>
        <v>100K</v>
      </c>
    </row>
    <row r="1187" spans="1:16" x14ac:dyDescent="0.35">
      <c r="A1187">
        <v>2016</v>
      </c>
      <c r="B1187" s="6" t="s">
        <v>23</v>
      </c>
      <c r="J1187" s="13">
        <v>86937.600000000006</v>
      </c>
      <c r="K1187" s="5">
        <f t="shared" si="37"/>
        <v>90</v>
      </c>
      <c r="P1187" t="str">
        <f t="shared" si="38"/>
        <v>90K</v>
      </c>
    </row>
    <row r="1188" spans="1:16" x14ac:dyDescent="0.35">
      <c r="A1188">
        <v>2007</v>
      </c>
      <c r="B1188" s="7" t="s">
        <v>27</v>
      </c>
      <c r="J1188" s="12">
        <v>81930.84</v>
      </c>
      <c r="K1188" s="5">
        <f t="shared" si="37"/>
        <v>80</v>
      </c>
      <c r="P1188" t="str">
        <f t="shared" si="38"/>
        <v>80K</v>
      </c>
    </row>
    <row r="1189" spans="1:16" x14ac:dyDescent="0.35">
      <c r="A1189">
        <v>2023</v>
      </c>
      <c r="B1189" s="6" t="s">
        <v>10</v>
      </c>
      <c r="J1189" s="13">
        <v>17161.68</v>
      </c>
      <c r="K1189" s="5">
        <f t="shared" si="37"/>
        <v>20</v>
      </c>
      <c r="P1189" t="str">
        <f t="shared" si="38"/>
        <v>20K</v>
      </c>
    </row>
    <row r="1190" spans="1:16" x14ac:dyDescent="0.35">
      <c r="A1190">
        <v>2013</v>
      </c>
      <c r="B1190" s="7" t="s">
        <v>29</v>
      </c>
      <c r="J1190" s="12">
        <v>76742.789999999994</v>
      </c>
      <c r="K1190" s="5">
        <f t="shared" si="37"/>
        <v>80</v>
      </c>
      <c r="P1190" t="str">
        <f t="shared" si="38"/>
        <v>80K</v>
      </c>
    </row>
    <row r="1191" spans="1:16" x14ac:dyDescent="0.35">
      <c r="A1191">
        <v>2005</v>
      </c>
      <c r="B1191" s="6" t="s">
        <v>29</v>
      </c>
      <c r="J1191" s="13">
        <v>25381.32</v>
      </c>
      <c r="K1191" s="5">
        <f t="shared" si="37"/>
        <v>30</v>
      </c>
      <c r="P1191" t="str">
        <f t="shared" si="38"/>
        <v>30K</v>
      </c>
    </row>
    <row r="1192" spans="1:16" x14ac:dyDescent="0.35">
      <c r="A1192">
        <v>2022</v>
      </c>
      <c r="B1192" s="7" t="s">
        <v>35</v>
      </c>
      <c r="J1192" s="12">
        <v>97851.95</v>
      </c>
      <c r="K1192" s="5">
        <f t="shared" si="37"/>
        <v>100</v>
      </c>
      <c r="P1192" t="str">
        <f t="shared" si="38"/>
        <v>100K</v>
      </c>
    </row>
    <row r="1193" spans="1:16" x14ac:dyDescent="0.35">
      <c r="A1193">
        <v>2021</v>
      </c>
      <c r="B1193" s="6" t="s">
        <v>29</v>
      </c>
      <c r="J1193" s="13">
        <v>9948.4699999999993</v>
      </c>
      <c r="K1193" s="5">
        <f t="shared" si="37"/>
        <v>10</v>
      </c>
      <c r="P1193" t="str">
        <f t="shared" si="38"/>
        <v>10K</v>
      </c>
    </row>
    <row r="1194" spans="1:16" x14ac:dyDescent="0.35">
      <c r="A1194">
        <v>2015</v>
      </c>
      <c r="B1194" s="7" t="s">
        <v>29</v>
      </c>
      <c r="J1194" s="12">
        <v>38453.160000000003</v>
      </c>
      <c r="K1194" s="5">
        <f t="shared" si="37"/>
        <v>40</v>
      </c>
      <c r="P1194" t="str">
        <f t="shared" si="38"/>
        <v>40K</v>
      </c>
    </row>
    <row r="1195" spans="1:16" x14ac:dyDescent="0.35">
      <c r="A1195">
        <v>2018</v>
      </c>
      <c r="B1195" s="6" t="s">
        <v>23</v>
      </c>
      <c r="J1195" s="13">
        <v>45721.54</v>
      </c>
      <c r="K1195" s="5">
        <f t="shared" si="37"/>
        <v>50</v>
      </c>
      <c r="P1195" t="str">
        <f t="shared" si="38"/>
        <v>50K</v>
      </c>
    </row>
    <row r="1196" spans="1:16" x14ac:dyDescent="0.35">
      <c r="A1196">
        <v>2013</v>
      </c>
      <c r="B1196" s="7" t="s">
        <v>29</v>
      </c>
      <c r="J1196" s="12">
        <v>83299.28</v>
      </c>
      <c r="K1196" s="5">
        <f t="shared" si="37"/>
        <v>80</v>
      </c>
      <c r="P1196" t="str">
        <f t="shared" si="38"/>
        <v>80K</v>
      </c>
    </row>
    <row r="1197" spans="1:16" x14ac:dyDescent="0.35">
      <c r="A1197">
        <v>2018</v>
      </c>
      <c r="B1197" s="6" t="s">
        <v>35</v>
      </c>
      <c r="J1197" s="13">
        <v>77791.17</v>
      </c>
      <c r="K1197" s="5">
        <f t="shared" si="37"/>
        <v>80</v>
      </c>
      <c r="P1197" t="str">
        <f t="shared" si="38"/>
        <v>80K</v>
      </c>
    </row>
    <row r="1198" spans="1:16" x14ac:dyDescent="0.35">
      <c r="A1198">
        <v>2002</v>
      </c>
      <c r="B1198" s="7" t="s">
        <v>20</v>
      </c>
      <c r="J1198" s="12">
        <v>40624.25</v>
      </c>
      <c r="K1198" s="5">
        <f t="shared" si="37"/>
        <v>40</v>
      </c>
      <c r="P1198" t="str">
        <f t="shared" si="38"/>
        <v>40K</v>
      </c>
    </row>
    <row r="1199" spans="1:16" x14ac:dyDescent="0.35">
      <c r="A1199">
        <v>2009</v>
      </c>
      <c r="B1199" s="6" t="s">
        <v>10</v>
      </c>
      <c r="J1199" s="13">
        <v>58728.23</v>
      </c>
      <c r="K1199" s="5">
        <f t="shared" si="37"/>
        <v>60</v>
      </c>
      <c r="P1199" t="str">
        <f t="shared" si="38"/>
        <v>60K</v>
      </c>
    </row>
    <row r="1200" spans="1:16" x14ac:dyDescent="0.35">
      <c r="A1200">
        <v>2018</v>
      </c>
      <c r="B1200" s="7" t="s">
        <v>23</v>
      </c>
      <c r="J1200" s="12">
        <v>84381.54</v>
      </c>
      <c r="K1200" s="5">
        <f t="shared" si="37"/>
        <v>80</v>
      </c>
      <c r="P1200" t="str">
        <f t="shared" si="38"/>
        <v>80K</v>
      </c>
    </row>
    <row r="1201" spans="1:16" x14ac:dyDescent="0.35">
      <c r="A1201">
        <v>2008</v>
      </c>
      <c r="B1201" s="6" t="s">
        <v>20</v>
      </c>
      <c r="J1201" s="13">
        <v>6728.96</v>
      </c>
      <c r="K1201" s="5">
        <f t="shared" si="37"/>
        <v>10</v>
      </c>
      <c r="P1201" t="str">
        <f t="shared" si="38"/>
        <v>10K</v>
      </c>
    </row>
    <row r="1202" spans="1:16" x14ac:dyDescent="0.35">
      <c r="A1202">
        <v>2019</v>
      </c>
      <c r="B1202" s="7" t="s">
        <v>23</v>
      </c>
      <c r="J1202" s="12">
        <v>81206.92</v>
      </c>
      <c r="K1202" s="5">
        <f t="shared" si="37"/>
        <v>80</v>
      </c>
      <c r="P1202" t="str">
        <f t="shared" si="38"/>
        <v>80K</v>
      </c>
    </row>
    <row r="1203" spans="1:16" x14ac:dyDescent="0.35">
      <c r="A1203">
        <v>2012</v>
      </c>
      <c r="B1203" s="6" t="s">
        <v>25</v>
      </c>
      <c r="J1203" s="13">
        <v>94955.12</v>
      </c>
      <c r="K1203" s="5">
        <f t="shared" si="37"/>
        <v>90</v>
      </c>
      <c r="P1203" t="str">
        <f t="shared" si="38"/>
        <v>90K</v>
      </c>
    </row>
    <row r="1204" spans="1:16" x14ac:dyDescent="0.35">
      <c r="A1204">
        <v>2006</v>
      </c>
      <c r="B1204" s="7" t="s">
        <v>27</v>
      </c>
      <c r="J1204" s="12">
        <v>8046.13</v>
      </c>
      <c r="K1204" s="5">
        <f t="shared" si="37"/>
        <v>10</v>
      </c>
      <c r="P1204" t="str">
        <f t="shared" si="38"/>
        <v>10K</v>
      </c>
    </row>
    <row r="1205" spans="1:16" x14ac:dyDescent="0.35">
      <c r="A1205">
        <v>2013</v>
      </c>
      <c r="B1205" s="6" t="s">
        <v>25</v>
      </c>
      <c r="J1205" s="13">
        <v>9330.19</v>
      </c>
      <c r="K1205" s="5">
        <f t="shared" si="37"/>
        <v>10</v>
      </c>
      <c r="P1205" t="str">
        <f t="shared" si="38"/>
        <v>10K</v>
      </c>
    </row>
    <row r="1206" spans="1:16" x14ac:dyDescent="0.35">
      <c r="A1206">
        <v>2008</v>
      </c>
      <c r="B1206" s="7" t="s">
        <v>29</v>
      </c>
      <c r="J1206" s="12">
        <v>37728.83</v>
      </c>
      <c r="K1206" s="5">
        <f t="shared" si="37"/>
        <v>40</v>
      </c>
      <c r="P1206" t="str">
        <f t="shared" si="38"/>
        <v>40K</v>
      </c>
    </row>
    <row r="1207" spans="1:16" x14ac:dyDescent="0.35">
      <c r="A1207">
        <v>2022</v>
      </c>
      <c r="B1207" s="6" t="s">
        <v>20</v>
      </c>
      <c r="J1207" s="13">
        <v>13338.11</v>
      </c>
      <c r="K1207" s="5">
        <f t="shared" si="37"/>
        <v>10</v>
      </c>
      <c r="P1207" t="str">
        <f t="shared" si="38"/>
        <v>10K</v>
      </c>
    </row>
    <row r="1208" spans="1:16" x14ac:dyDescent="0.35">
      <c r="A1208">
        <v>2018</v>
      </c>
      <c r="B1208" s="7" t="s">
        <v>29</v>
      </c>
      <c r="J1208" s="12">
        <v>50531.23</v>
      </c>
      <c r="K1208" s="5">
        <f t="shared" si="37"/>
        <v>50</v>
      </c>
      <c r="P1208" t="str">
        <f t="shared" si="38"/>
        <v>50K</v>
      </c>
    </row>
    <row r="1209" spans="1:16" x14ac:dyDescent="0.35">
      <c r="A1209">
        <v>2014</v>
      </c>
      <c r="B1209" s="6" t="s">
        <v>27</v>
      </c>
      <c r="J1209" s="13">
        <v>74227.520000000004</v>
      </c>
      <c r="K1209" s="5">
        <f t="shared" si="37"/>
        <v>70</v>
      </c>
      <c r="P1209" t="str">
        <f t="shared" si="38"/>
        <v>70K</v>
      </c>
    </row>
    <row r="1210" spans="1:16" x14ac:dyDescent="0.35">
      <c r="A1210">
        <v>2019</v>
      </c>
      <c r="B1210" s="7" t="s">
        <v>23</v>
      </c>
      <c r="J1210" s="12">
        <v>58855.43</v>
      </c>
      <c r="K1210" s="5">
        <f t="shared" si="37"/>
        <v>60</v>
      </c>
      <c r="P1210" t="str">
        <f t="shared" si="38"/>
        <v>60K</v>
      </c>
    </row>
    <row r="1211" spans="1:16" x14ac:dyDescent="0.35">
      <c r="A1211">
        <v>2013</v>
      </c>
      <c r="B1211" s="6" t="s">
        <v>27</v>
      </c>
      <c r="J1211" s="13">
        <v>23661.03</v>
      </c>
      <c r="K1211" s="5">
        <f t="shared" si="37"/>
        <v>20</v>
      </c>
      <c r="P1211" t="str">
        <f t="shared" si="38"/>
        <v>20K</v>
      </c>
    </row>
    <row r="1212" spans="1:16" x14ac:dyDescent="0.35">
      <c r="A1212">
        <v>2023</v>
      </c>
      <c r="B1212" s="7" t="s">
        <v>35</v>
      </c>
      <c r="J1212" s="12">
        <v>67207.070000000007</v>
      </c>
      <c r="K1212" s="5">
        <f t="shared" si="37"/>
        <v>70</v>
      </c>
      <c r="P1212" t="str">
        <f t="shared" si="38"/>
        <v>70K</v>
      </c>
    </row>
    <row r="1213" spans="1:16" x14ac:dyDescent="0.35">
      <c r="A1213">
        <v>2005</v>
      </c>
      <c r="B1213" s="6" t="s">
        <v>27</v>
      </c>
      <c r="J1213" s="13">
        <v>70061.179999999993</v>
      </c>
      <c r="K1213" s="5">
        <f t="shared" si="37"/>
        <v>70</v>
      </c>
      <c r="P1213" t="str">
        <f t="shared" si="38"/>
        <v>70K</v>
      </c>
    </row>
    <row r="1214" spans="1:16" x14ac:dyDescent="0.35">
      <c r="A1214">
        <v>2020</v>
      </c>
      <c r="B1214" s="7" t="s">
        <v>35</v>
      </c>
      <c r="J1214" s="12">
        <v>93582.37</v>
      </c>
      <c r="K1214" s="5">
        <f t="shared" si="37"/>
        <v>90</v>
      </c>
      <c r="P1214" t="str">
        <f t="shared" si="38"/>
        <v>90K</v>
      </c>
    </row>
    <row r="1215" spans="1:16" x14ac:dyDescent="0.35">
      <c r="A1215">
        <v>2003</v>
      </c>
      <c r="B1215" s="6" t="s">
        <v>27</v>
      </c>
      <c r="J1215" s="13">
        <v>18945.71</v>
      </c>
      <c r="K1215" s="5">
        <f t="shared" si="37"/>
        <v>20</v>
      </c>
      <c r="P1215" t="str">
        <f t="shared" si="38"/>
        <v>20K</v>
      </c>
    </row>
    <row r="1216" spans="1:16" x14ac:dyDescent="0.35">
      <c r="A1216">
        <v>2007</v>
      </c>
      <c r="B1216" s="7" t="s">
        <v>10</v>
      </c>
      <c r="J1216" s="12">
        <v>70771.94</v>
      </c>
      <c r="K1216" s="5">
        <f t="shared" si="37"/>
        <v>70</v>
      </c>
      <c r="P1216" t="str">
        <f t="shared" si="38"/>
        <v>70K</v>
      </c>
    </row>
    <row r="1217" spans="1:16" x14ac:dyDescent="0.35">
      <c r="A1217">
        <v>2016</v>
      </c>
      <c r="B1217" s="6" t="s">
        <v>35</v>
      </c>
      <c r="J1217" s="13">
        <v>91585.59</v>
      </c>
      <c r="K1217" s="5">
        <f t="shared" si="37"/>
        <v>90</v>
      </c>
      <c r="P1217" t="str">
        <f t="shared" si="38"/>
        <v>90K</v>
      </c>
    </row>
    <row r="1218" spans="1:16" x14ac:dyDescent="0.35">
      <c r="A1218">
        <v>2008</v>
      </c>
      <c r="B1218" s="7" t="s">
        <v>20</v>
      </c>
      <c r="J1218" s="12">
        <v>52648.59</v>
      </c>
      <c r="K1218" s="5">
        <f t="shared" si="37"/>
        <v>50</v>
      </c>
      <c r="P1218" t="str">
        <f t="shared" si="38"/>
        <v>50K</v>
      </c>
    </row>
    <row r="1219" spans="1:16" x14ac:dyDescent="0.35">
      <c r="A1219">
        <v>2000</v>
      </c>
      <c r="B1219" s="6" t="s">
        <v>29</v>
      </c>
      <c r="J1219" s="13">
        <v>39370.97</v>
      </c>
      <c r="K1219" s="5">
        <f t="shared" ref="K1219:K1282" si="39">ROUND(J1219/10000,0)*10</f>
        <v>40</v>
      </c>
      <c r="P1219" t="str">
        <f t="shared" ref="P1219:P1282" si="40">TEXT(ROUND(J1219/10000,0)*10,"0") &amp; "K"</f>
        <v>40K</v>
      </c>
    </row>
    <row r="1220" spans="1:16" x14ac:dyDescent="0.35">
      <c r="A1220">
        <v>2023</v>
      </c>
      <c r="B1220" s="7" t="s">
        <v>29</v>
      </c>
      <c r="J1220" s="12">
        <v>21221.200000000001</v>
      </c>
      <c r="K1220" s="5">
        <f t="shared" si="39"/>
        <v>20</v>
      </c>
      <c r="P1220" t="str">
        <f t="shared" si="40"/>
        <v>20K</v>
      </c>
    </row>
    <row r="1221" spans="1:16" x14ac:dyDescent="0.35">
      <c r="A1221">
        <v>2019</v>
      </c>
      <c r="B1221" s="6" t="s">
        <v>25</v>
      </c>
      <c r="J1221" s="13">
        <v>87344.75</v>
      </c>
      <c r="K1221" s="5">
        <f t="shared" si="39"/>
        <v>90</v>
      </c>
      <c r="P1221" t="str">
        <f t="shared" si="40"/>
        <v>90K</v>
      </c>
    </row>
    <row r="1222" spans="1:16" x14ac:dyDescent="0.35">
      <c r="A1222">
        <v>2013</v>
      </c>
      <c r="B1222" s="7" t="s">
        <v>29</v>
      </c>
      <c r="J1222" s="12">
        <v>42453.41</v>
      </c>
      <c r="K1222" s="5">
        <f t="shared" si="39"/>
        <v>40</v>
      </c>
      <c r="P1222" t="str">
        <f t="shared" si="40"/>
        <v>40K</v>
      </c>
    </row>
    <row r="1223" spans="1:16" x14ac:dyDescent="0.35">
      <c r="A1223">
        <v>2010</v>
      </c>
      <c r="B1223" s="6" t="s">
        <v>23</v>
      </c>
      <c r="J1223" s="13">
        <v>92863.83</v>
      </c>
      <c r="K1223" s="5">
        <f t="shared" si="39"/>
        <v>90</v>
      </c>
      <c r="P1223" t="str">
        <f t="shared" si="40"/>
        <v>90K</v>
      </c>
    </row>
    <row r="1224" spans="1:16" x14ac:dyDescent="0.35">
      <c r="A1224">
        <v>2020</v>
      </c>
      <c r="B1224" s="7" t="s">
        <v>10</v>
      </c>
      <c r="J1224" s="12">
        <v>85537.04</v>
      </c>
      <c r="K1224" s="5">
        <f t="shared" si="39"/>
        <v>90</v>
      </c>
      <c r="P1224" t="str">
        <f t="shared" si="40"/>
        <v>90K</v>
      </c>
    </row>
    <row r="1225" spans="1:16" x14ac:dyDescent="0.35">
      <c r="A1225">
        <v>2002</v>
      </c>
      <c r="B1225" s="6" t="s">
        <v>27</v>
      </c>
      <c r="J1225" s="13">
        <v>40780.79</v>
      </c>
      <c r="K1225" s="5">
        <f t="shared" si="39"/>
        <v>40</v>
      </c>
      <c r="P1225" t="str">
        <f t="shared" si="40"/>
        <v>40K</v>
      </c>
    </row>
    <row r="1226" spans="1:16" x14ac:dyDescent="0.35">
      <c r="A1226">
        <v>2008</v>
      </c>
      <c r="B1226" s="7" t="s">
        <v>25</v>
      </c>
      <c r="J1226" s="12">
        <v>59521.86</v>
      </c>
      <c r="K1226" s="5">
        <f t="shared" si="39"/>
        <v>60</v>
      </c>
      <c r="P1226" t="str">
        <f t="shared" si="40"/>
        <v>60K</v>
      </c>
    </row>
    <row r="1227" spans="1:16" x14ac:dyDescent="0.35">
      <c r="A1227">
        <v>2013</v>
      </c>
      <c r="B1227" s="6" t="s">
        <v>23</v>
      </c>
      <c r="J1227" s="13">
        <v>7581.53</v>
      </c>
      <c r="K1227" s="5">
        <f t="shared" si="39"/>
        <v>10</v>
      </c>
      <c r="P1227" t="str">
        <f t="shared" si="40"/>
        <v>10K</v>
      </c>
    </row>
    <row r="1228" spans="1:16" x14ac:dyDescent="0.35">
      <c r="A1228">
        <v>2008</v>
      </c>
      <c r="B1228" s="7" t="s">
        <v>23</v>
      </c>
      <c r="J1228" s="12">
        <v>30006.03</v>
      </c>
      <c r="K1228" s="5">
        <f t="shared" si="39"/>
        <v>30</v>
      </c>
      <c r="P1228" t="str">
        <f t="shared" si="40"/>
        <v>30K</v>
      </c>
    </row>
    <row r="1229" spans="1:16" x14ac:dyDescent="0.35">
      <c r="A1229">
        <v>2003</v>
      </c>
      <c r="B1229" s="6" t="s">
        <v>35</v>
      </c>
      <c r="J1229" s="13">
        <v>72475.92</v>
      </c>
      <c r="K1229" s="5">
        <f t="shared" si="39"/>
        <v>70</v>
      </c>
      <c r="P1229" t="str">
        <f t="shared" si="40"/>
        <v>70K</v>
      </c>
    </row>
    <row r="1230" spans="1:16" x14ac:dyDescent="0.35">
      <c r="A1230">
        <v>2003</v>
      </c>
      <c r="B1230" s="7" t="s">
        <v>29</v>
      </c>
      <c r="J1230" s="12">
        <v>69401.539999999994</v>
      </c>
      <c r="K1230" s="5">
        <f t="shared" si="39"/>
        <v>70</v>
      </c>
      <c r="P1230" t="str">
        <f t="shared" si="40"/>
        <v>70K</v>
      </c>
    </row>
    <row r="1231" spans="1:16" x14ac:dyDescent="0.35">
      <c r="A1231">
        <v>2007</v>
      </c>
      <c r="B1231" s="6" t="s">
        <v>20</v>
      </c>
      <c r="J1231" s="13">
        <v>38570.1</v>
      </c>
      <c r="K1231" s="5">
        <f t="shared" si="39"/>
        <v>40</v>
      </c>
      <c r="P1231" t="str">
        <f t="shared" si="40"/>
        <v>40K</v>
      </c>
    </row>
    <row r="1232" spans="1:16" x14ac:dyDescent="0.35">
      <c r="A1232">
        <v>2001</v>
      </c>
      <c r="B1232" s="7" t="s">
        <v>20</v>
      </c>
      <c r="J1232" s="12">
        <v>81817.759999999995</v>
      </c>
      <c r="K1232" s="5">
        <f t="shared" si="39"/>
        <v>80</v>
      </c>
      <c r="P1232" t="str">
        <f t="shared" si="40"/>
        <v>80K</v>
      </c>
    </row>
    <row r="1233" spans="1:16" x14ac:dyDescent="0.35">
      <c r="A1233">
        <v>2008</v>
      </c>
      <c r="B1233" s="6" t="s">
        <v>25</v>
      </c>
      <c r="J1233" s="13">
        <v>27404.42</v>
      </c>
      <c r="K1233" s="5">
        <f t="shared" si="39"/>
        <v>30</v>
      </c>
      <c r="P1233" t="str">
        <f t="shared" si="40"/>
        <v>30K</v>
      </c>
    </row>
    <row r="1234" spans="1:16" x14ac:dyDescent="0.35">
      <c r="A1234">
        <v>2013</v>
      </c>
      <c r="B1234" s="7" t="s">
        <v>10</v>
      </c>
      <c r="J1234" s="12">
        <v>48820.7</v>
      </c>
      <c r="K1234" s="5">
        <f t="shared" si="39"/>
        <v>50</v>
      </c>
      <c r="P1234" t="str">
        <f t="shared" si="40"/>
        <v>50K</v>
      </c>
    </row>
    <row r="1235" spans="1:16" x14ac:dyDescent="0.35">
      <c r="A1235">
        <v>2021</v>
      </c>
      <c r="B1235" s="6" t="s">
        <v>20</v>
      </c>
      <c r="J1235" s="13">
        <v>49890.41</v>
      </c>
      <c r="K1235" s="5">
        <f t="shared" si="39"/>
        <v>50</v>
      </c>
      <c r="P1235" t="str">
        <f t="shared" si="40"/>
        <v>50K</v>
      </c>
    </row>
    <row r="1236" spans="1:16" x14ac:dyDescent="0.35">
      <c r="A1236">
        <v>2008</v>
      </c>
      <c r="B1236" s="7" t="s">
        <v>27</v>
      </c>
      <c r="J1236" s="12">
        <v>37377.589999999997</v>
      </c>
      <c r="K1236" s="5">
        <f t="shared" si="39"/>
        <v>40</v>
      </c>
      <c r="P1236" t="str">
        <f t="shared" si="40"/>
        <v>40K</v>
      </c>
    </row>
    <row r="1237" spans="1:16" x14ac:dyDescent="0.35">
      <c r="A1237">
        <v>2023</v>
      </c>
      <c r="B1237" s="6" t="s">
        <v>20</v>
      </c>
      <c r="J1237" s="13">
        <v>95693.28</v>
      </c>
      <c r="K1237" s="5">
        <f t="shared" si="39"/>
        <v>100</v>
      </c>
      <c r="P1237" t="str">
        <f t="shared" si="40"/>
        <v>100K</v>
      </c>
    </row>
    <row r="1238" spans="1:16" x14ac:dyDescent="0.35">
      <c r="A1238">
        <v>2022</v>
      </c>
      <c r="B1238" s="7" t="s">
        <v>25</v>
      </c>
      <c r="J1238" s="12">
        <v>71184.98</v>
      </c>
      <c r="K1238" s="5">
        <f t="shared" si="39"/>
        <v>70</v>
      </c>
      <c r="P1238" t="str">
        <f t="shared" si="40"/>
        <v>70K</v>
      </c>
    </row>
    <row r="1239" spans="1:16" x14ac:dyDescent="0.35">
      <c r="A1239">
        <v>2015</v>
      </c>
      <c r="B1239" s="6" t="s">
        <v>20</v>
      </c>
      <c r="J1239" s="13">
        <v>56223.94</v>
      </c>
      <c r="K1239" s="5">
        <f t="shared" si="39"/>
        <v>60</v>
      </c>
      <c r="P1239" t="str">
        <f t="shared" si="40"/>
        <v>60K</v>
      </c>
    </row>
    <row r="1240" spans="1:16" x14ac:dyDescent="0.35">
      <c r="A1240">
        <v>2016</v>
      </c>
      <c r="B1240" s="7" t="s">
        <v>27</v>
      </c>
      <c r="J1240" s="12">
        <v>53498.93</v>
      </c>
      <c r="K1240" s="5">
        <f t="shared" si="39"/>
        <v>50</v>
      </c>
      <c r="P1240" t="str">
        <f t="shared" si="40"/>
        <v>50K</v>
      </c>
    </row>
    <row r="1241" spans="1:16" x14ac:dyDescent="0.35">
      <c r="A1241">
        <v>2015</v>
      </c>
      <c r="B1241" s="6" t="s">
        <v>35</v>
      </c>
      <c r="J1241" s="13">
        <v>20133.13</v>
      </c>
      <c r="K1241" s="5">
        <f t="shared" si="39"/>
        <v>20</v>
      </c>
      <c r="P1241" t="str">
        <f t="shared" si="40"/>
        <v>20K</v>
      </c>
    </row>
    <row r="1242" spans="1:16" x14ac:dyDescent="0.35">
      <c r="A1242">
        <v>2011</v>
      </c>
      <c r="B1242" s="7" t="s">
        <v>10</v>
      </c>
      <c r="J1242" s="12">
        <v>40357.760000000002</v>
      </c>
      <c r="K1242" s="5">
        <f t="shared" si="39"/>
        <v>40</v>
      </c>
      <c r="P1242" t="str">
        <f t="shared" si="40"/>
        <v>40K</v>
      </c>
    </row>
    <row r="1243" spans="1:16" x14ac:dyDescent="0.35">
      <c r="A1243">
        <v>2002</v>
      </c>
      <c r="B1243" s="6" t="s">
        <v>25</v>
      </c>
      <c r="J1243" s="13">
        <v>68913.460000000006</v>
      </c>
      <c r="K1243" s="5">
        <f t="shared" si="39"/>
        <v>70</v>
      </c>
      <c r="P1243" t="str">
        <f t="shared" si="40"/>
        <v>70K</v>
      </c>
    </row>
    <row r="1244" spans="1:16" x14ac:dyDescent="0.35">
      <c r="A1244">
        <v>2010</v>
      </c>
      <c r="B1244" s="7" t="s">
        <v>35</v>
      </c>
      <c r="J1244" s="12">
        <v>92834.17</v>
      </c>
      <c r="K1244" s="5">
        <f t="shared" si="39"/>
        <v>90</v>
      </c>
      <c r="P1244" t="str">
        <f t="shared" si="40"/>
        <v>90K</v>
      </c>
    </row>
    <row r="1245" spans="1:16" x14ac:dyDescent="0.35">
      <c r="A1245">
        <v>2013</v>
      </c>
      <c r="B1245" s="6" t="s">
        <v>35</v>
      </c>
      <c r="J1245" s="13">
        <v>82564.09</v>
      </c>
      <c r="K1245" s="5">
        <f t="shared" si="39"/>
        <v>80</v>
      </c>
      <c r="P1245" t="str">
        <f t="shared" si="40"/>
        <v>80K</v>
      </c>
    </row>
    <row r="1246" spans="1:16" x14ac:dyDescent="0.35">
      <c r="A1246">
        <v>2017</v>
      </c>
      <c r="B1246" s="7" t="s">
        <v>35</v>
      </c>
      <c r="J1246" s="12">
        <v>33537.03</v>
      </c>
      <c r="K1246" s="5">
        <f t="shared" si="39"/>
        <v>30</v>
      </c>
      <c r="P1246" t="str">
        <f t="shared" si="40"/>
        <v>30K</v>
      </c>
    </row>
    <row r="1247" spans="1:16" x14ac:dyDescent="0.35">
      <c r="A1247">
        <v>2020</v>
      </c>
      <c r="B1247" s="6" t="s">
        <v>23</v>
      </c>
      <c r="J1247" s="13">
        <v>46225.88</v>
      </c>
      <c r="K1247" s="5">
        <f t="shared" si="39"/>
        <v>50</v>
      </c>
      <c r="P1247" t="str">
        <f t="shared" si="40"/>
        <v>50K</v>
      </c>
    </row>
    <row r="1248" spans="1:16" x14ac:dyDescent="0.35">
      <c r="A1248">
        <v>2020</v>
      </c>
      <c r="B1248" s="7" t="s">
        <v>10</v>
      </c>
      <c r="J1248" s="12">
        <v>12877.16</v>
      </c>
      <c r="K1248" s="5">
        <f t="shared" si="39"/>
        <v>10</v>
      </c>
      <c r="P1248" t="str">
        <f t="shared" si="40"/>
        <v>10K</v>
      </c>
    </row>
    <row r="1249" spans="1:16" x14ac:dyDescent="0.35">
      <c r="A1249">
        <v>2004</v>
      </c>
      <c r="B1249" s="6" t="s">
        <v>29</v>
      </c>
      <c r="J1249" s="13">
        <v>14706.37</v>
      </c>
      <c r="K1249" s="5">
        <f t="shared" si="39"/>
        <v>10</v>
      </c>
      <c r="P1249" t="str">
        <f t="shared" si="40"/>
        <v>10K</v>
      </c>
    </row>
    <row r="1250" spans="1:16" x14ac:dyDescent="0.35">
      <c r="A1250">
        <v>2015</v>
      </c>
      <c r="B1250" s="7" t="s">
        <v>10</v>
      </c>
      <c r="J1250" s="12">
        <v>49671.89</v>
      </c>
      <c r="K1250" s="5">
        <f t="shared" si="39"/>
        <v>50</v>
      </c>
      <c r="P1250" t="str">
        <f t="shared" si="40"/>
        <v>50K</v>
      </c>
    </row>
    <row r="1251" spans="1:16" x14ac:dyDescent="0.35">
      <c r="A1251">
        <v>2019</v>
      </c>
      <c r="B1251" s="6" t="s">
        <v>23</v>
      </c>
      <c r="J1251" s="13">
        <v>55370.84</v>
      </c>
      <c r="K1251" s="5">
        <f t="shared" si="39"/>
        <v>60</v>
      </c>
      <c r="P1251" t="str">
        <f t="shared" si="40"/>
        <v>60K</v>
      </c>
    </row>
    <row r="1252" spans="1:16" x14ac:dyDescent="0.35">
      <c r="A1252">
        <v>2004</v>
      </c>
      <c r="B1252" s="7" t="s">
        <v>29</v>
      </c>
      <c r="J1252" s="12">
        <v>30082.57</v>
      </c>
      <c r="K1252" s="5">
        <f t="shared" si="39"/>
        <v>30</v>
      </c>
      <c r="P1252" t="str">
        <f t="shared" si="40"/>
        <v>30K</v>
      </c>
    </row>
    <row r="1253" spans="1:16" x14ac:dyDescent="0.35">
      <c r="A1253">
        <v>2002</v>
      </c>
      <c r="B1253" s="6" t="s">
        <v>10</v>
      </c>
      <c r="J1253" s="13">
        <v>66064.36</v>
      </c>
      <c r="K1253" s="5">
        <f t="shared" si="39"/>
        <v>70</v>
      </c>
      <c r="P1253" t="str">
        <f t="shared" si="40"/>
        <v>70K</v>
      </c>
    </row>
    <row r="1254" spans="1:16" x14ac:dyDescent="0.35">
      <c r="A1254">
        <v>2011</v>
      </c>
      <c r="B1254" s="7" t="s">
        <v>35</v>
      </c>
      <c r="J1254" s="12">
        <v>71821.17</v>
      </c>
      <c r="K1254" s="5">
        <f t="shared" si="39"/>
        <v>70</v>
      </c>
      <c r="P1254" t="str">
        <f t="shared" si="40"/>
        <v>70K</v>
      </c>
    </row>
    <row r="1255" spans="1:16" x14ac:dyDescent="0.35">
      <c r="A1255">
        <v>2000</v>
      </c>
      <c r="B1255" s="6" t="s">
        <v>25</v>
      </c>
      <c r="J1255" s="13">
        <v>33416.03</v>
      </c>
      <c r="K1255" s="5">
        <f t="shared" si="39"/>
        <v>30</v>
      </c>
      <c r="P1255" t="str">
        <f t="shared" si="40"/>
        <v>30K</v>
      </c>
    </row>
    <row r="1256" spans="1:16" x14ac:dyDescent="0.35">
      <c r="A1256">
        <v>2020</v>
      </c>
      <c r="B1256" s="7" t="s">
        <v>29</v>
      </c>
      <c r="J1256" s="12">
        <v>77050.350000000006</v>
      </c>
      <c r="K1256" s="5">
        <f t="shared" si="39"/>
        <v>80</v>
      </c>
      <c r="P1256" t="str">
        <f t="shared" si="40"/>
        <v>80K</v>
      </c>
    </row>
    <row r="1257" spans="1:16" x14ac:dyDescent="0.35">
      <c r="A1257">
        <v>2008</v>
      </c>
      <c r="B1257" s="6" t="s">
        <v>27</v>
      </c>
      <c r="J1257" s="13">
        <v>24532.47</v>
      </c>
      <c r="K1257" s="5">
        <f t="shared" si="39"/>
        <v>20</v>
      </c>
      <c r="P1257" t="str">
        <f t="shared" si="40"/>
        <v>20K</v>
      </c>
    </row>
    <row r="1258" spans="1:16" x14ac:dyDescent="0.35">
      <c r="A1258">
        <v>2008</v>
      </c>
      <c r="B1258" s="7" t="s">
        <v>27</v>
      </c>
      <c r="J1258" s="12">
        <v>56703.88</v>
      </c>
      <c r="K1258" s="5">
        <f t="shared" si="39"/>
        <v>60</v>
      </c>
      <c r="P1258" t="str">
        <f t="shared" si="40"/>
        <v>60K</v>
      </c>
    </row>
    <row r="1259" spans="1:16" x14ac:dyDescent="0.35">
      <c r="A1259">
        <v>2003</v>
      </c>
      <c r="B1259" s="6" t="s">
        <v>20</v>
      </c>
      <c r="J1259" s="13">
        <v>81406.7</v>
      </c>
      <c r="K1259" s="5">
        <f t="shared" si="39"/>
        <v>80</v>
      </c>
      <c r="P1259" t="str">
        <f t="shared" si="40"/>
        <v>80K</v>
      </c>
    </row>
    <row r="1260" spans="1:16" x14ac:dyDescent="0.35">
      <c r="A1260">
        <v>2002</v>
      </c>
      <c r="B1260" s="7" t="s">
        <v>29</v>
      </c>
      <c r="J1260" s="12">
        <v>56015.86</v>
      </c>
      <c r="K1260" s="5">
        <f t="shared" si="39"/>
        <v>60</v>
      </c>
      <c r="P1260" t="str">
        <f t="shared" si="40"/>
        <v>60K</v>
      </c>
    </row>
    <row r="1261" spans="1:16" x14ac:dyDescent="0.35">
      <c r="A1261">
        <v>2016</v>
      </c>
      <c r="B1261" s="6" t="s">
        <v>25</v>
      </c>
      <c r="J1261" s="13">
        <v>91256.46</v>
      </c>
      <c r="K1261" s="5">
        <f t="shared" si="39"/>
        <v>90</v>
      </c>
      <c r="P1261" t="str">
        <f t="shared" si="40"/>
        <v>90K</v>
      </c>
    </row>
    <row r="1262" spans="1:16" x14ac:dyDescent="0.35">
      <c r="A1262">
        <v>2001</v>
      </c>
      <c r="B1262" s="7" t="s">
        <v>23</v>
      </c>
      <c r="J1262" s="12">
        <v>10557.62</v>
      </c>
      <c r="K1262" s="5">
        <f t="shared" si="39"/>
        <v>10</v>
      </c>
      <c r="P1262" t="str">
        <f t="shared" si="40"/>
        <v>10K</v>
      </c>
    </row>
    <row r="1263" spans="1:16" x14ac:dyDescent="0.35">
      <c r="A1263">
        <v>2023</v>
      </c>
      <c r="B1263" s="6" t="s">
        <v>35</v>
      </c>
      <c r="J1263" s="13">
        <v>60889.82</v>
      </c>
      <c r="K1263" s="5">
        <f t="shared" si="39"/>
        <v>60</v>
      </c>
      <c r="P1263" t="str">
        <f t="shared" si="40"/>
        <v>60K</v>
      </c>
    </row>
    <row r="1264" spans="1:16" x14ac:dyDescent="0.35">
      <c r="A1264">
        <v>2000</v>
      </c>
      <c r="B1264" s="7" t="s">
        <v>20</v>
      </c>
      <c r="J1264" s="12">
        <v>58366.77</v>
      </c>
      <c r="K1264" s="5">
        <f t="shared" si="39"/>
        <v>60</v>
      </c>
      <c r="P1264" t="str">
        <f t="shared" si="40"/>
        <v>60K</v>
      </c>
    </row>
    <row r="1265" spans="1:16" x14ac:dyDescent="0.35">
      <c r="A1265">
        <v>2007</v>
      </c>
      <c r="B1265" s="6" t="s">
        <v>27</v>
      </c>
      <c r="J1265" s="13">
        <v>67733.570000000007</v>
      </c>
      <c r="K1265" s="5">
        <f t="shared" si="39"/>
        <v>70</v>
      </c>
      <c r="P1265" t="str">
        <f t="shared" si="40"/>
        <v>70K</v>
      </c>
    </row>
    <row r="1266" spans="1:16" x14ac:dyDescent="0.35">
      <c r="A1266">
        <v>2012</v>
      </c>
      <c r="B1266" s="7" t="s">
        <v>23</v>
      </c>
      <c r="J1266" s="12">
        <v>84173.65</v>
      </c>
      <c r="K1266" s="5">
        <f t="shared" si="39"/>
        <v>80</v>
      </c>
      <c r="P1266" t="str">
        <f t="shared" si="40"/>
        <v>80K</v>
      </c>
    </row>
    <row r="1267" spans="1:16" x14ac:dyDescent="0.35">
      <c r="A1267">
        <v>2022</v>
      </c>
      <c r="B1267" s="6" t="s">
        <v>23</v>
      </c>
      <c r="J1267" s="13">
        <v>73956.039999999994</v>
      </c>
      <c r="K1267" s="5">
        <f t="shared" si="39"/>
        <v>70</v>
      </c>
      <c r="P1267" t="str">
        <f t="shared" si="40"/>
        <v>70K</v>
      </c>
    </row>
    <row r="1268" spans="1:16" x14ac:dyDescent="0.35">
      <c r="A1268">
        <v>2014</v>
      </c>
      <c r="B1268" s="7" t="s">
        <v>35</v>
      </c>
      <c r="J1268" s="12">
        <v>80076.86</v>
      </c>
      <c r="K1268" s="5">
        <f t="shared" si="39"/>
        <v>80</v>
      </c>
      <c r="P1268" t="str">
        <f t="shared" si="40"/>
        <v>80K</v>
      </c>
    </row>
    <row r="1269" spans="1:16" x14ac:dyDescent="0.35">
      <c r="A1269">
        <v>2007</v>
      </c>
      <c r="B1269" s="6" t="s">
        <v>29</v>
      </c>
      <c r="J1269" s="13">
        <v>32437.59</v>
      </c>
      <c r="K1269" s="5">
        <f t="shared" si="39"/>
        <v>30</v>
      </c>
      <c r="P1269" t="str">
        <f t="shared" si="40"/>
        <v>30K</v>
      </c>
    </row>
    <row r="1270" spans="1:16" x14ac:dyDescent="0.35">
      <c r="A1270">
        <v>2011</v>
      </c>
      <c r="B1270" s="7" t="s">
        <v>27</v>
      </c>
      <c r="J1270" s="12">
        <v>41812.25</v>
      </c>
      <c r="K1270" s="5">
        <f t="shared" si="39"/>
        <v>40</v>
      </c>
      <c r="P1270" t="str">
        <f t="shared" si="40"/>
        <v>40K</v>
      </c>
    </row>
    <row r="1271" spans="1:16" x14ac:dyDescent="0.35">
      <c r="A1271">
        <v>2021</v>
      </c>
      <c r="B1271" s="6" t="s">
        <v>25</v>
      </c>
      <c r="J1271" s="13">
        <v>64543.81</v>
      </c>
      <c r="K1271" s="5">
        <f t="shared" si="39"/>
        <v>60</v>
      </c>
      <c r="P1271" t="str">
        <f t="shared" si="40"/>
        <v>60K</v>
      </c>
    </row>
    <row r="1272" spans="1:16" x14ac:dyDescent="0.35">
      <c r="A1272">
        <v>2011</v>
      </c>
      <c r="B1272" s="7" t="s">
        <v>23</v>
      </c>
      <c r="J1272" s="12">
        <v>57578.84</v>
      </c>
      <c r="K1272" s="5">
        <f t="shared" si="39"/>
        <v>60</v>
      </c>
      <c r="P1272" t="str">
        <f t="shared" si="40"/>
        <v>60K</v>
      </c>
    </row>
    <row r="1273" spans="1:16" x14ac:dyDescent="0.35">
      <c r="A1273">
        <v>2013</v>
      </c>
      <c r="B1273" s="6" t="s">
        <v>35</v>
      </c>
      <c r="J1273" s="13">
        <v>96304.87</v>
      </c>
      <c r="K1273" s="5">
        <f t="shared" si="39"/>
        <v>100</v>
      </c>
      <c r="P1273" t="str">
        <f t="shared" si="40"/>
        <v>100K</v>
      </c>
    </row>
    <row r="1274" spans="1:16" x14ac:dyDescent="0.35">
      <c r="A1274">
        <v>2014</v>
      </c>
      <c r="B1274" s="7" t="s">
        <v>25</v>
      </c>
      <c r="J1274" s="12">
        <v>22749.279999999999</v>
      </c>
      <c r="K1274" s="5">
        <f t="shared" si="39"/>
        <v>20</v>
      </c>
      <c r="P1274" t="str">
        <f t="shared" si="40"/>
        <v>20K</v>
      </c>
    </row>
    <row r="1275" spans="1:16" x14ac:dyDescent="0.35">
      <c r="A1275">
        <v>2014</v>
      </c>
      <c r="B1275" s="6" t="s">
        <v>29</v>
      </c>
      <c r="J1275" s="13">
        <v>38371.449999999997</v>
      </c>
      <c r="K1275" s="5">
        <f t="shared" si="39"/>
        <v>40</v>
      </c>
      <c r="P1275" t="str">
        <f t="shared" si="40"/>
        <v>40K</v>
      </c>
    </row>
    <row r="1276" spans="1:16" x14ac:dyDescent="0.35">
      <c r="A1276">
        <v>2008</v>
      </c>
      <c r="B1276" s="7" t="s">
        <v>27</v>
      </c>
      <c r="J1276" s="12">
        <v>59411.75</v>
      </c>
      <c r="K1276" s="5">
        <f t="shared" si="39"/>
        <v>60</v>
      </c>
      <c r="P1276" t="str">
        <f t="shared" si="40"/>
        <v>60K</v>
      </c>
    </row>
    <row r="1277" spans="1:16" x14ac:dyDescent="0.35">
      <c r="A1277">
        <v>2018</v>
      </c>
      <c r="B1277" s="6" t="s">
        <v>29</v>
      </c>
      <c r="J1277" s="13">
        <v>87456.56</v>
      </c>
      <c r="K1277" s="5">
        <f t="shared" si="39"/>
        <v>90</v>
      </c>
      <c r="P1277" t="str">
        <f t="shared" si="40"/>
        <v>90K</v>
      </c>
    </row>
    <row r="1278" spans="1:16" x14ac:dyDescent="0.35">
      <c r="A1278">
        <v>2019</v>
      </c>
      <c r="B1278" s="7" t="s">
        <v>23</v>
      </c>
      <c r="J1278" s="12">
        <v>93288.11</v>
      </c>
      <c r="K1278" s="5">
        <f t="shared" si="39"/>
        <v>90</v>
      </c>
      <c r="P1278" t="str">
        <f t="shared" si="40"/>
        <v>90K</v>
      </c>
    </row>
    <row r="1279" spans="1:16" x14ac:dyDescent="0.35">
      <c r="A1279">
        <v>2021</v>
      </c>
      <c r="B1279" s="6" t="s">
        <v>25</v>
      </c>
      <c r="J1279" s="13">
        <v>36923.449999999997</v>
      </c>
      <c r="K1279" s="5">
        <f t="shared" si="39"/>
        <v>40</v>
      </c>
      <c r="P1279" t="str">
        <f t="shared" si="40"/>
        <v>40K</v>
      </c>
    </row>
    <row r="1280" spans="1:16" x14ac:dyDescent="0.35">
      <c r="A1280">
        <v>2007</v>
      </c>
      <c r="B1280" s="7" t="s">
        <v>25</v>
      </c>
      <c r="J1280" s="12">
        <v>11375.3</v>
      </c>
      <c r="K1280" s="5">
        <f t="shared" si="39"/>
        <v>10</v>
      </c>
      <c r="P1280" t="str">
        <f t="shared" si="40"/>
        <v>10K</v>
      </c>
    </row>
    <row r="1281" spans="1:16" x14ac:dyDescent="0.35">
      <c r="A1281">
        <v>2020</v>
      </c>
      <c r="B1281" s="6" t="s">
        <v>25</v>
      </c>
      <c r="J1281" s="13">
        <v>45053.87</v>
      </c>
      <c r="K1281" s="5">
        <f t="shared" si="39"/>
        <v>50</v>
      </c>
      <c r="P1281" t="str">
        <f t="shared" si="40"/>
        <v>50K</v>
      </c>
    </row>
    <row r="1282" spans="1:16" x14ac:dyDescent="0.35">
      <c r="A1282">
        <v>2018</v>
      </c>
      <c r="B1282" s="7" t="s">
        <v>23</v>
      </c>
      <c r="J1282" s="12">
        <v>42462.69</v>
      </c>
      <c r="K1282" s="5">
        <f t="shared" si="39"/>
        <v>40</v>
      </c>
      <c r="P1282" t="str">
        <f t="shared" si="40"/>
        <v>40K</v>
      </c>
    </row>
    <row r="1283" spans="1:16" x14ac:dyDescent="0.35">
      <c r="A1283">
        <v>2005</v>
      </c>
      <c r="B1283" s="6" t="s">
        <v>23</v>
      </c>
      <c r="J1283" s="13">
        <v>98716.27</v>
      </c>
      <c r="K1283" s="5">
        <f t="shared" ref="K1283:K1346" si="41">ROUND(J1283/10000,0)*10</f>
        <v>100</v>
      </c>
      <c r="P1283" t="str">
        <f t="shared" ref="P1283:P1346" si="42">TEXT(ROUND(J1283/10000,0)*10,"0") &amp; "K"</f>
        <v>100K</v>
      </c>
    </row>
    <row r="1284" spans="1:16" x14ac:dyDescent="0.35">
      <c r="A1284">
        <v>2019</v>
      </c>
      <c r="B1284" s="7" t="s">
        <v>29</v>
      </c>
      <c r="J1284" s="12">
        <v>45950.82</v>
      </c>
      <c r="K1284" s="5">
        <f t="shared" si="41"/>
        <v>50</v>
      </c>
      <c r="P1284" t="str">
        <f t="shared" si="42"/>
        <v>50K</v>
      </c>
    </row>
    <row r="1285" spans="1:16" x14ac:dyDescent="0.35">
      <c r="A1285">
        <v>2018</v>
      </c>
      <c r="B1285" s="6" t="s">
        <v>20</v>
      </c>
      <c r="J1285" s="13">
        <v>34043.68</v>
      </c>
      <c r="K1285" s="5">
        <f t="shared" si="41"/>
        <v>30</v>
      </c>
      <c r="P1285" t="str">
        <f t="shared" si="42"/>
        <v>30K</v>
      </c>
    </row>
    <row r="1286" spans="1:16" x14ac:dyDescent="0.35">
      <c r="A1286">
        <v>2003</v>
      </c>
      <c r="B1286" s="7" t="s">
        <v>29</v>
      </c>
      <c r="J1286" s="12">
        <v>39710.85</v>
      </c>
      <c r="K1286" s="5">
        <f t="shared" si="41"/>
        <v>40</v>
      </c>
      <c r="P1286" t="str">
        <f t="shared" si="42"/>
        <v>40K</v>
      </c>
    </row>
    <row r="1287" spans="1:16" x14ac:dyDescent="0.35">
      <c r="A1287">
        <v>2022</v>
      </c>
      <c r="B1287" s="6" t="s">
        <v>27</v>
      </c>
      <c r="J1287" s="13">
        <v>42708</v>
      </c>
      <c r="K1287" s="5">
        <f t="shared" si="41"/>
        <v>40</v>
      </c>
      <c r="P1287" t="str">
        <f t="shared" si="42"/>
        <v>40K</v>
      </c>
    </row>
    <row r="1288" spans="1:16" x14ac:dyDescent="0.35">
      <c r="A1288">
        <v>2006</v>
      </c>
      <c r="B1288" s="7" t="s">
        <v>35</v>
      </c>
      <c r="J1288" s="12">
        <v>83046.34</v>
      </c>
      <c r="K1288" s="5">
        <f t="shared" si="41"/>
        <v>80</v>
      </c>
      <c r="P1288" t="str">
        <f t="shared" si="42"/>
        <v>80K</v>
      </c>
    </row>
    <row r="1289" spans="1:16" x14ac:dyDescent="0.35">
      <c r="A1289">
        <v>2003</v>
      </c>
      <c r="B1289" s="6" t="s">
        <v>25</v>
      </c>
      <c r="J1289" s="13">
        <v>12696.41</v>
      </c>
      <c r="K1289" s="5">
        <f t="shared" si="41"/>
        <v>10</v>
      </c>
      <c r="P1289" t="str">
        <f t="shared" si="42"/>
        <v>10K</v>
      </c>
    </row>
    <row r="1290" spans="1:16" x14ac:dyDescent="0.35">
      <c r="A1290">
        <v>2021</v>
      </c>
      <c r="B1290" s="7" t="s">
        <v>20</v>
      </c>
      <c r="J1290" s="12">
        <v>35068.17</v>
      </c>
      <c r="K1290" s="5">
        <f t="shared" si="41"/>
        <v>40</v>
      </c>
      <c r="P1290" t="str">
        <f t="shared" si="42"/>
        <v>40K</v>
      </c>
    </row>
    <row r="1291" spans="1:16" x14ac:dyDescent="0.35">
      <c r="A1291">
        <v>2011</v>
      </c>
      <c r="B1291" s="6" t="s">
        <v>35</v>
      </c>
      <c r="J1291" s="13">
        <v>96800.26</v>
      </c>
      <c r="K1291" s="5">
        <f t="shared" si="41"/>
        <v>100</v>
      </c>
      <c r="P1291" t="str">
        <f t="shared" si="42"/>
        <v>100K</v>
      </c>
    </row>
    <row r="1292" spans="1:16" x14ac:dyDescent="0.35">
      <c r="A1292">
        <v>2012</v>
      </c>
      <c r="B1292" s="7" t="s">
        <v>20</v>
      </c>
      <c r="J1292" s="12">
        <v>19544.740000000002</v>
      </c>
      <c r="K1292" s="5">
        <f t="shared" si="41"/>
        <v>20</v>
      </c>
      <c r="P1292" t="str">
        <f t="shared" si="42"/>
        <v>20K</v>
      </c>
    </row>
    <row r="1293" spans="1:16" x14ac:dyDescent="0.35">
      <c r="A1293">
        <v>2002</v>
      </c>
      <c r="B1293" s="6" t="s">
        <v>10</v>
      </c>
      <c r="J1293" s="13">
        <v>75547.13</v>
      </c>
      <c r="K1293" s="5">
        <f t="shared" si="41"/>
        <v>80</v>
      </c>
      <c r="P1293" t="str">
        <f t="shared" si="42"/>
        <v>80K</v>
      </c>
    </row>
    <row r="1294" spans="1:16" x14ac:dyDescent="0.35">
      <c r="A1294">
        <v>2021</v>
      </c>
      <c r="B1294" s="7" t="s">
        <v>29</v>
      </c>
      <c r="J1294" s="12">
        <v>38857.379999999997</v>
      </c>
      <c r="K1294" s="5">
        <f t="shared" si="41"/>
        <v>40</v>
      </c>
      <c r="P1294" t="str">
        <f t="shared" si="42"/>
        <v>40K</v>
      </c>
    </row>
    <row r="1295" spans="1:16" x14ac:dyDescent="0.35">
      <c r="A1295">
        <v>2011</v>
      </c>
      <c r="B1295" s="6" t="s">
        <v>23</v>
      </c>
      <c r="J1295" s="13">
        <v>60269.62</v>
      </c>
      <c r="K1295" s="5">
        <f t="shared" si="41"/>
        <v>60</v>
      </c>
      <c r="P1295" t="str">
        <f t="shared" si="42"/>
        <v>60K</v>
      </c>
    </row>
    <row r="1296" spans="1:16" x14ac:dyDescent="0.35">
      <c r="A1296">
        <v>2001</v>
      </c>
      <c r="B1296" s="7" t="s">
        <v>25</v>
      </c>
      <c r="J1296" s="12">
        <v>14457.06</v>
      </c>
      <c r="K1296" s="5">
        <f t="shared" si="41"/>
        <v>10</v>
      </c>
      <c r="P1296" t="str">
        <f t="shared" si="42"/>
        <v>10K</v>
      </c>
    </row>
    <row r="1297" spans="1:16" x14ac:dyDescent="0.35">
      <c r="A1297">
        <v>2023</v>
      </c>
      <c r="B1297" s="6" t="s">
        <v>29</v>
      </c>
      <c r="J1297" s="13">
        <v>34109.11</v>
      </c>
      <c r="K1297" s="5">
        <f t="shared" si="41"/>
        <v>30</v>
      </c>
      <c r="P1297" t="str">
        <f t="shared" si="42"/>
        <v>30K</v>
      </c>
    </row>
    <row r="1298" spans="1:16" x14ac:dyDescent="0.35">
      <c r="A1298">
        <v>2001</v>
      </c>
      <c r="B1298" s="7" t="s">
        <v>35</v>
      </c>
      <c r="J1298" s="12">
        <v>52582.17</v>
      </c>
      <c r="K1298" s="5">
        <f t="shared" si="41"/>
        <v>50</v>
      </c>
      <c r="P1298" t="str">
        <f t="shared" si="42"/>
        <v>50K</v>
      </c>
    </row>
    <row r="1299" spans="1:16" x14ac:dyDescent="0.35">
      <c r="A1299">
        <v>2022</v>
      </c>
      <c r="B1299" s="6" t="s">
        <v>10</v>
      </c>
      <c r="J1299" s="13">
        <v>27011.56</v>
      </c>
      <c r="K1299" s="5">
        <f t="shared" si="41"/>
        <v>30</v>
      </c>
      <c r="P1299" t="str">
        <f t="shared" si="42"/>
        <v>30K</v>
      </c>
    </row>
    <row r="1300" spans="1:16" x14ac:dyDescent="0.35">
      <c r="A1300">
        <v>2008</v>
      </c>
      <c r="B1300" s="7" t="s">
        <v>10</v>
      </c>
      <c r="J1300" s="12">
        <v>56477.64</v>
      </c>
      <c r="K1300" s="5">
        <f t="shared" si="41"/>
        <v>60</v>
      </c>
      <c r="P1300" t="str">
        <f t="shared" si="42"/>
        <v>60K</v>
      </c>
    </row>
    <row r="1301" spans="1:16" x14ac:dyDescent="0.35">
      <c r="A1301">
        <v>2000</v>
      </c>
      <c r="B1301" s="6" t="s">
        <v>10</v>
      </c>
      <c r="J1301" s="13">
        <v>25877.13</v>
      </c>
      <c r="K1301" s="5">
        <f t="shared" si="41"/>
        <v>30</v>
      </c>
      <c r="P1301" t="str">
        <f t="shared" si="42"/>
        <v>30K</v>
      </c>
    </row>
    <row r="1302" spans="1:16" x14ac:dyDescent="0.35">
      <c r="A1302">
        <v>2007</v>
      </c>
      <c r="B1302" s="7" t="s">
        <v>35</v>
      </c>
      <c r="J1302" s="12">
        <v>66759.55</v>
      </c>
      <c r="K1302" s="5">
        <f t="shared" si="41"/>
        <v>70</v>
      </c>
      <c r="P1302" t="str">
        <f t="shared" si="42"/>
        <v>70K</v>
      </c>
    </row>
    <row r="1303" spans="1:16" x14ac:dyDescent="0.35">
      <c r="A1303">
        <v>2022</v>
      </c>
      <c r="B1303" s="6" t="s">
        <v>35</v>
      </c>
      <c r="J1303" s="13">
        <v>90913.66</v>
      </c>
      <c r="K1303" s="5">
        <f t="shared" si="41"/>
        <v>90</v>
      </c>
      <c r="P1303" t="str">
        <f t="shared" si="42"/>
        <v>90K</v>
      </c>
    </row>
    <row r="1304" spans="1:16" x14ac:dyDescent="0.35">
      <c r="A1304">
        <v>2005</v>
      </c>
      <c r="B1304" s="7" t="s">
        <v>35</v>
      </c>
      <c r="J1304" s="12">
        <v>13121.42</v>
      </c>
      <c r="K1304" s="5">
        <f t="shared" si="41"/>
        <v>10</v>
      </c>
      <c r="P1304" t="str">
        <f t="shared" si="42"/>
        <v>10K</v>
      </c>
    </row>
    <row r="1305" spans="1:16" x14ac:dyDescent="0.35">
      <c r="A1305">
        <v>2005</v>
      </c>
      <c r="B1305" s="6" t="s">
        <v>35</v>
      </c>
      <c r="J1305" s="13">
        <v>25578.52</v>
      </c>
      <c r="K1305" s="5">
        <f t="shared" si="41"/>
        <v>30</v>
      </c>
      <c r="P1305" t="str">
        <f t="shared" si="42"/>
        <v>30K</v>
      </c>
    </row>
    <row r="1306" spans="1:16" x14ac:dyDescent="0.35">
      <c r="A1306">
        <v>2021</v>
      </c>
      <c r="B1306" s="7" t="s">
        <v>10</v>
      </c>
      <c r="J1306" s="12">
        <v>85220.19</v>
      </c>
      <c r="K1306" s="5">
        <f t="shared" si="41"/>
        <v>90</v>
      </c>
      <c r="P1306" t="str">
        <f t="shared" si="42"/>
        <v>90K</v>
      </c>
    </row>
    <row r="1307" spans="1:16" x14ac:dyDescent="0.35">
      <c r="A1307">
        <v>2017</v>
      </c>
      <c r="B1307" s="6" t="s">
        <v>10</v>
      </c>
      <c r="J1307" s="13">
        <v>64997.58</v>
      </c>
      <c r="K1307" s="5">
        <f t="shared" si="41"/>
        <v>60</v>
      </c>
      <c r="P1307" t="str">
        <f t="shared" si="42"/>
        <v>60K</v>
      </c>
    </row>
    <row r="1308" spans="1:16" x14ac:dyDescent="0.35">
      <c r="A1308">
        <v>2016</v>
      </c>
      <c r="B1308" s="7" t="s">
        <v>20</v>
      </c>
      <c r="J1308" s="12">
        <v>12477.35</v>
      </c>
      <c r="K1308" s="5">
        <f t="shared" si="41"/>
        <v>10</v>
      </c>
      <c r="P1308" t="str">
        <f t="shared" si="42"/>
        <v>10K</v>
      </c>
    </row>
    <row r="1309" spans="1:16" x14ac:dyDescent="0.35">
      <c r="A1309">
        <v>2011</v>
      </c>
      <c r="B1309" s="6" t="s">
        <v>29</v>
      </c>
      <c r="J1309" s="13">
        <v>51203.26</v>
      </c>
      <c r="K1309" s="5">
        <f t="shared" si="41"/>
        <v>50</v>
      </c>
      <c r="P1309" t="str">
        <f t="shared" si="42"/>
        <v>50K</v>
      </c>
    </row>
    <row r="1310" spans="1:16" x14ac:dyDescent="0.35">
      <c r="A1310">
        <v>2005</v>
      </c>
      <c r="B1310" s="7" t="s">
        <v>25</v>
      </c>
      <c r="J1310" s="12">
        <v>24927.06</v>
      </c>
      <c r="K1310" s="5">
        <f t="shared" si="41"/>
        <v>20</v>
      </c>
      <c r="P1310" t="str">
        <f t="shared" si="42"/>
        <v>20K</v>
      </c>
    </row>
    <row r="1311" spans="1:16" x14ac:dyDescent="0.35">
      <c r="A1311">
        <v>2007</v>
      </c>
      <c r="B1311" s="6" t="s">
        <v>23</v>
      </c>
      <c r="J1311" s="13">
        <v>23914.16</v>
      </c>
      <c r="K1311" s="5">
        <f t="shared" si="41"/>
        <v>20</v>
      </c>
      <c r="P1311" t="str">
        <f t="shared" si="42"/>
        <v>20K</v>
      </c>
    </row>
    <row r="1312" spans="1:16" x14ac:dyDescent="0.35">
      <c r="A1312">
        <v>2018</v>
      </c>
      <c r="B1312" s="7" t="s">
        <v>10</v>
      </c>
      <c r="J1312" s="12">
        <v>94361.31</v>
      </c>
      <c r="K1312" s="5">
        <f t="shared" si="41"/>
        <v>90</v>
      </c>
      <c r="P1312" t="str">
        <f t="shared" si="42"/>
        <v>90K</v>
      </c>
    </row>
    <row r="1313" spans="1:16" x14ac:dyDescent="0.35">
      <c r="A1313">
        <v>2009</v>
      </c>
      <c r="B1313" s="6" t="s">
        <v>23</v>
      </c>
      <c r="J1313" s="13">
        <v>77346.45</v>
      </c>
      <c r="K1313" s="5">
        <f t="shared" si="41"/>
        <v>80</v>
      </c>
      <c r="P1313" t="str">
        <f t="shared" si="42"/>
        <v>80K</v>
      </c>
    </row>
    <row r="1314" spans="1:16" x14ac:dyDescent="0.35">
      <c r="A1314">
        <v>2000</v>
      </c>
      <c r="B1314" s="7" t="s">
        <v>29</v>
      </c>
      <c r="J1314" s="12">
        <v>71141.91</v>
      </c>
      <c r="K1314" s="5">
        <f t="shared" si="41"/>
        <v>70</v>
      </c>
      <c r="P1314" t="str">
        <f t="shared" si="42"/>
        <v>70K</v>
      </c>
    </row>
    <row r="1315" spans="1:16" x14ac:dyDescent="0.35">
      <c r="A1315">
        <v>2012</v>
      </c>
      <c r="B1315" s="6" t="s">
        <v>29</v>
      </c>
      <c r="J1315" s="13">
        <v>27698.240000000002</v>
      </c>
      <c r="K1315" s="5">
        <f t="shared" si="41"/>
        <v>30</v>
      </c>
      <c r="P1315" t="str">
        <f t="shared" si="42"/>
        <v>30K</v>
      </c>
    </row>
    <row r="1316" spans="1:16" x14ac:dyDescent="0.35">
      <c r="A1316">
        <v>2016</v>
      </c>
      <c r="B1316" s="7" t="s">
        <v>23</v>
      </c>
      <c r="J1316" s="12">
        <v>16264.48</v>
      </c>
      <c r="K1316" s="5">
        <f t="shared" si="41"/>
        <v>20</v>
      </c>
      <c r="P1316" t="str">
        <f t="shared" si="42"/>
        <v>20K</v>
      </c>
    </row>
    <row r="1317" spans="1:16" x14ac:dyDescent="0.35">
      <c r="A1317">
        <v>2002</v>
      </c>
      <c r="B1317" s="6" t="s">
        <v>10</v>
      </c>
      <c r="J1317" s="13">
        <v>87729.1</v>
      </c>
      <c r="K1317" s="5">
        <f t="shared" si="41"/>
        <v>90</v>
      </c>
      <c r="P1317" t="str">
        <f t="shared" si="42"/>
        <v>90K</v>
      </c>
    </row>
    <row r="1318" spans="1:16" x14ac:dyDescent="0.35">
      <c r="A1318">
        <v>2007</v>
      </c>
      <c r="B1318" s="7" t="s">
        <v>23</v>
      </c>
      <c r="J1318" s="12">
        <v>5558.56</v>
      </c>
      <c r="K1318" s="5">
        <f t="shared" si="41"/>
        <v>10</v>
      </c>
      <c r="P1318" t="str">
        <f t="shared" si="42"/>
        <v>10K</v>
      </c>
    </row>
    <row r="1319" spans="1:16" x14ac:dyDescent="0.35">
      <c r="A1319">
        <v>2013</v>
      </c>
      <c r="B1319" s="6" t="s">
        <v>20</v>
      </c>
      <c r="J1319" s="13">
        <v>41869.160000000003</v>
      </c>
      <c r="K1319" s="5">
        <f t="shared" si="41"/>
        <v>40</v>
      </c>
      <c r="P1319" t="str">
        <f t="shared" si="42"/>
        <v>40K</v>
      </c>
    </row>
    <row r="1320" spans="1:16" x14ac:dyDescent="0.35">
      <c r="A1320">
        <v>2002</v>
      </c>
      <c r="B1320" s="7" t="s">
        <v>27</v>
      </c>
      <c r="J1320" s="12">
        <v>31373.19</v>
      </c>
      <c r="K1320" s="5">
        <f t="shared" si="41"/>
        <v>30</v>
      </c>
      <c r="P1320" t="str">
        <f t="shared" si="42"/>
        <v>30K</v>
      </c>
    </row>
    <row r="1321" spans="1:16" x14ac:dyDescent="0.35">
      <c r="A1321">
        <v>2015</v>
      </c>
      <c r="B1321" s="6" t="s">
        <v>10</v>
      </c>
      <c r="J1321" s="13">
        <v>59185.74</v>
      </c>
      <c r="K1321" s="5">
        <f t="shared" si="41"/>
        <v>60</v>
      </c>
      <c r="P1321" t="str">
        <f t="shared" si="42"/>
        <v>60K</v>
      </c>
    </row>
    <row r="1322" spans="1:16" x14ac:dyDescent="0.35">
      <c r="A1322">
        <v>2012</v>
      </c>
      <c r="B1322" s="7" t="s">
        <v>10</v>
      </c>
      <c r="J1322" s="12">
        <v>28798.3</v>
      </c>
      <c r="K1322" s="5">
        <f t="shared" si="41"/>
        <v>30</v>
      </c>
      <c r="P1322" t="str">
        <f t="shared" si="42"/>
        <v>30K</v>
      </c>
    </row>
    <row r="1323" spans="1:16" x14ac:dyDescent="0.35">
      <c r="A1323">
        <v>2019</v>
      </c>
      <c r="B1323" s="6" t="s">
        <v>25</v>
      </c>
      <c r="J1323" s="13">
        <v>34564.51</v>
      </c>
      <c r="K1323" s="5">
        <f t="shared" si="41"/>
        <v>30</v>
      </c>
      <c r="P1323" t="str">
        <f t="shared" si="42"/>
        <v>30K</v>
      </c>
    </row>
    <row r="1324" spans="1:16" x14ac:dyDescent="0.35">
      <c r="A1324">
        <v>2023</v>
      </c>
      <c r="B1324" s="7" t="s">
        <v>35</v>
      </c>
      <c r="J1324" s="12">
        <v>85753.79</v>
      </c>
      <c r="K1324" s="5">
        <f t="shared" si="41"/>
        <v>90</v>
      </c>
      <c r="P1324" t="str">
        <f t="shared" si="42"/>
        <v>90K</v>
      </c>
    </row>
    <row r="1325" spans="1:16" x14ac:dyDescent="0.35">
      <c r="A1325">
        <v>2016</v>
      </c>
      <c r="B1325" s="6" t="s">
        <v>27</v>
      </c>
      <c r="J1325" s="13">
        <v>62302.94</v>
      </c>
      <c r="K1325" s="5">
        <f t="shared" si="41"/>
        <v>60</v>
      </c>
      <c r="P1325" t="str">
        <f t="shared" si="42"/>
        <v>60K</v>
      </c>
    </row>
    <row r="1326" spans="1:16" x14ac:dyDescent="0.35">
      <c r="A1326">
        <v>2012</v>
      </c>
      <c r="B1326" s="7" t="s">
        <v>29</v>
      </c>
      <c r="J1326" s="12">
        <v>18839.84</v>
      </c>
      <c r="K1326" s="5">
        <f t="shared" si="41"/>
        <v>20</v>
      </c>
      <c r="P1326" t="str">
        <f t="shared" si="42"/>
        <v>20K</v>
      </c>
    </row>
    <row r="1327" spans="1:16" x14ac:dyDescent="0.35">
      <c r="A1327">
        <v>2005</v>
      </c>
      <c r="B1327" s="6" t="s">
        <v>10</v>
      </c>
      <c r="J1327" s="13">
        <v>74014.8</v>
      </c>
      <c r="K1327" s="5">
        <f t="shared" si="41"/>
        <v>70</v>
      </c>
      <c r="P1327" t="str">
        <f t="shared" si="42"/>
        <v>70K</v>
      </c>
    </row>
    <row r="1328" spans="1:16" x14ac:dyDescent="0.35">
      <c r="A1328">
        <v>2016</v>
      </c>
      <c r="B1328" s="7" t="s">
        <v>23</v>
      </c>
      <c r="J1328" s="12">
        <v>24708.62</v>
      </c>
      <c r="K1328" s="5">
        <f t="shared" si="41"/>
        <v>20</v>
      </c>
      <c r="P1328" t="str">
        <f t="shared" si="42"/>
        <v>20K</v>
      </c>
    </row>
    <row r="1329" spans="1:16" x14ac:dyDescent="0.35">
      <c r="A1329">
        <v>2013</v>
      </c>
      <c r="B1329" s="6" t="s">
        <v>27</v>
      </c>
      <c r="J1329" s="13">
        <v>46135.47</v>
      </c>
      <c r="K1329" s="5">
        <f t="shared" si="41"/>
        <v>50</v>
      </c>
      <c r="P1329" t="str">
        <f t="shared" si="42"/>
        <v>50K</v>
      </c>
    </row>
    <row r="1330" spans="1:16" x14ac:dyDescent="0.35">
      <c r="A1330">
        <v>2016</v>
      </c>
      <c r="B1330" s="7" t="s">
        <v>25</v>
      </c>
      <c r="J1330" s="12">
        <v>66427.69</v>
      </c>
      <c r="K1330" s="5">
        <f t="shared" si="41"/>
        <v>70</v>
      </c>
      <c r="P1330" t="str">
        <f t="shared" si="42"/>
        <v>70K</v>
      </c>
    </row>
    <row r="1331" spans="1:16" x14ac:dyDescent="0.35">
      <c r="A1331">
        <v>2007</v>
      </c>
      <c r="B1331" s="6" t="s">
        <v>29</v>
      </c>
      <c r="J1331" s="13">
        <v>30833.31</v>
      </c>
      <c r="K1331" s="5">
        <f t="shared" si="41"/>
        <v>30</v>
      </c>
      <c r="P1331" t="str">
        <f t="shared" si="42"/>
        <v>30K</v>
      </c>
    </row>
    <row r="1332" spans="1:16" x14ac:dyDescent="0.35">
      <c r="A1332">
        <v>2010</v>
      </c>
      <c r="B1332" s="7" t="s">
        <v>35</v>
      </c>
      <c r="J1332" s="12">
        <v>41490.15</v>
      </c>
      <c r="K1332" s="5">
        <f t="shared" si="41"/>
        <v>40</v>
      </c>
      <c r="P1332" t="str">
        <f t="shared" si="42"/>
        <v>40K</v>
      </c>
    </row>
    <row r="1333" spans="1:16" x14ac:dyDescent="0.35">
      <c r="A1333">
        <v>2019</v>
      </c>
      <c r="B1333" s="6" t="s">
        <v>35</v>
      </c>
      <c r="J1333" s="13">
        <v>74744.210000000006</v>
      </c>
      <c r="K1333" s="5">
        <f t="shared" si="41"/>
        <v>70</v>
      </c>
      <c r="P1333" t="str">
        <f t="shared" si="42"/>
        <v>70K</v>
      </c>
    </row>
    <row r="1334" spans="1:16" x14ac:dyDescent="0.35">
      <c r="A1334">
        <v>2000</v>
      </c>
      <c r="B1334" s="7" t="s">
        <v>25</v>
      </c>
      <c r="J1334" s="12">
        <v>94101.54</v>
      </c>
      <c r="K1334" s="5">
        <f t="shared" si="41"/>
        <v>90</v>
      </c>
      <c r="P1334" t="str">
        <f t="shared" si="42"/>
        <v>90K</v>
      </c>
    </row>
    <row r="1335" spans="1:16" x14ac:dyDescent="0.35">
      <c r="A1335">
        <v>2006</v>
      </c>
      <c r="B1335" s="6" t="s">
        <v>25</v>
      </c>
      <c r="J1335" s="13">
        <v>55278.28</v>
      </c>
      <c r="K1335" s="5">
        <f t="shared" si="41"/>
        <v>60</v>
      </c>
      <c r="P1335" t="str">
        <f t="shared" si="42"/>
        <v>60K</v>
      </c>
    </row>
    <row r="1336" spans="1:16" x14ac:dyDescent="0.35">
      <c r="A1336">
        <v>2020</v>
      </c>
      <c r="B1336" s="7" t="s">
        <v>23</v>
      </c>
      <c r="J1336" s="12">
        <v>5947.24</v>
      </c>
      <c r="K1336" s="5">
        <f t="shared" si="41"/>
        <v>10</v>
      </c>
      <c r="P1336" t="str">
        <f t="shared" si="42"/>
        <v>10K</v>
      </c>
    </row>
    <row r="1337" spans="1:16" x14ac:dyDescent="0.35">
      <c r="A1337">
        <v>2020</v>
      </c>
      <c r="B1337" s="6" t="s">
        <v>10</v>
      </c>
      <c r="J1337" s="13">
        <v>37154.06</v>
      </c>
      <c r="K1337" s="5">
        <f t="shared" si="41"/>
        <v>40</v>
      </c>
      <c r="P1337" t="str">
        <f t="shared" si="42"/>
        <v>40K</v>
      </c>
    </row>
    <row r="1338" spans="1:16" x14ac:dyDescent="0.35">
      <c r="A1338">
        <v>2016</v>
      </c>
      <c r="B1338" s="7" t="s">
        <v>35</v>
      </c>
      <c r="J1338" s="12">
        <v>42870.26</v>
      </c>
      <c r="K1338" s="5">
        <f t="shared" si="41"/>
        <v>40</v>
      </c>
      <c r="P1338" t="str">
        <f t="shared" si="42"/>
        <v>40K</v>
      </c>
    </row>
    <row r="1339" spans="1:16" x14ac:dyDescent="0.35">
      <c r="A1339">
        <v>2009</v>
      </c>
      <c r="B1339" s="6" t="s">
        <v>29</v>
      </c>
      <c r="J1339" s="13">
        <v>37221.49</v>
      </c>
      <c r="K1339" s="5">
        <f t="shared" si="41"/>
        <v>40</v>
      </c>
      <c r="P1339" t="str">
        <f t="shared" si="42"/>
        <v>40K</v>
      </c>
    </row>
    <row r="1340" spans="1:16" x14ac:dyDescent="0.35">
      <c r="A1340">
        <v>2010</v>
      </c>
      <c r="B1340" s="7" t="s">
        <v>27</v>
      </c>
      <c r="J1340" s="12">
        <v>46445.54</v>
      </c>
      <c r="K1340" s="5">
        <f t="shared" si="41"/>
        <v>50</v>
      </c>
      <c r="P1340" t="str">
        <f t="shared" si="42"/>
        <v>50K</v>
      </c>
    </row>
    <row r="1341" spans="1:16" x14ac:dyDescent="0.35">
      <c r="A1341">
        <v>2021</v>
      </c>
      <c r="B1341" s="6" t="s">
        <v>29</v>
      </c>
      <c r="J1341" s="13">
        <v>65103.29</v>
      </c>
      <c r="K1341" s="5">
        <f t="shared" si="41"/>
        <v>70</v>
      </c>
      <c r="P1341" t="str">
        <f t="shared" si="42"/>
        <v>70K</v>
      </c>
    </row>
    <row r="1342" spans="1:16" x14ac:dyDescent="0.35">
      <c r="A1342">
        <v>2008</v>
      </c>
      <c r="B1342" s="7" t="s">
        <v>20</v>
      </c>
      <c r="J1342" s="12">
        <v>16507.16</v>
      </c>
      <c r="K1342" s="5">
        <f t="shared" si="41"/>
        <v>20</v>
      </c>
      <c r="P1342" t="str">
        <f t="shared" si="42"/>
        <v>20K</v>
      </c>
    </row>
    <row r="1343" spans="1:16" x14ac:dyDescent="0.35">
      <c r="A1343">
        <v>2008</v>
      </c>
      <c r="B1343" s="6" t="s">
        <v>20</v>
      </c>
      <c r="J1343" s="13">
        <v>30899.9</v>
      </c>
      <c r="K1343" s="5">
        <f t="shared" si="41"/>
        <v>30</v>
      </c>
      <c r="P1343" t="str">
        <f t="shared" si="42"/>
        <v>30K</v>
      </c>
    </row>
    <row r="1344" spans="1:16" x14ac:dyDescent="0.35">
      <c r="A1344">
        <v>2023</v>
      </c>
      <c r="B1344" s="7" t="s">
        <v>25</v>
      </c>
      <c r="J1344" s="12">
        <v>53226.57</v>
      </c>
      <c r="K1344" s="5">
        <f t="shared" si="41"/>
        <v>50</v>
      </c>
      <c r="P1344" t="str">
        <f t="shared" si="42"/>
        <v>50K</v>
      </c>
    </row>
    <row r="1345" spans="1:16" x14ac:dyDescent="0.35">
      <c r="A1345">
        <v>2004</v>
      </c>
      <c r="B1345" s="6" t="s">
        <v>23</v>
      </c>
      <c r="J1345" s="13">
        <v>34979.46</v>
      </c>
      <c r="K1345" s="5">
        <f t="shared" si="41"/>
        <v>30</v>
      </c>
      <c r="P1345" t="str">
        <f t="shared" si="42"/>
        <v>30K</v>
      </c>
    </row>
    <row r="1346" spans="1:16" x14ac:dyDescent="0.35">
      <c r="A1346">
        <v>2016</v>
      </c>
      <c r="B1346" s="7" t="s">
        <v>20</v>
      </c>
      <c r="J1346" s="12">
        <v>99153.11</v>
      </c>
      <c r="K1346" s="5">
        <f t="shared" si="41"/>
        <v>100</v>
      </c>
      <c r="P1346" t="str">
        <f t="shared" si="42"/>
        <v>100K</v>
      </c>
    </row>
    <row r="1347" spans="1:16" x14ac:dyDescent="0.35">
      <c r="A1347">
        <v>2008</v>
      </c>
      <c r="B1347" s="6" t="s">
        <v>35</v>
      </c>
      <c r="J1347" s="13">
        <v>45985.99</v>
      </c>
      <c r="K1347" s="5">
        <f t="shared" ref="K1347:K1410" si="43">ROUND(J1347/10000,0)*10</f>
        <v>50</v>
      </c>
      <c r="P1347" t="str">
        <f t="shared" ref="P1347:P1410" si="44">TEXT(ROUND(J1347/10000,0)*10,"0") &amp; "K"</f>
        <v>50K</v>
      </c>
    </row>
    <row r="1348" spans="1:16" x14ac:dyDescent="0.35">
      <c r="A1348">
        <v>2016</v>
      </c>
      <c r="B1348" s="7" t="s">
        <v>29</v>
      </c>
      <c r="J1348" s="12">
        <v>87630.92</v>
      </c>
      <c r="K1348" s="5">
        <f t="shared" si="43"/>
        <v>90</v>
      </c>
      <c r="P1348" t="str">
        <f t="shared" si="44"/>
        <v>90K</v>
      </c>
    </row>
    <row r="1349" spans="1:16" x14ac:dyDescent="0.35">
      <c r="A1349">
        <v>2023</v>
      </c>
      <c r="B1349" s="6" t="s">
        <v>29</v>
      </c>
      <c r="J1349" s="13">
        <v>90168.43</v>
      </c>
      <c r="K1349" s="5">
        <f t="shared" si="43"/>
        <v>90</v>
      </c>
      <c r="P1349" t="str">
        <f t="shared" si="44"/>
        <v>90K</v>
      </c>
    </row>
    <row r="1350" spans="1:16" x14ac:dyDescent="0.35">
      <c r="A1350">
        <v>2020</v>
      </c>
      <c r="B1350" s="7" t="s">
        <v>25</v>
      </c>
      <c r="J1350" s="12">
        <v>84420.66</v>
      </c>
      <c r="K1350" s="5">
        <f t="shared" si="43"/>
        <v>80</v>
      </c>
      <c r="P1350" t="str">
        <f t="shared" si="44"/>
        <v>80K</v>
      </c>
    </row>
    <row r="1351" spans="1:16" x14ac:dyDescent="0.35">
      <c r="A1351">
        <v>2018</v>
      </c>
      <c r="B1351" s="6" t="s">
        <v>10</v>
      </c>
      <c r="J1351" s="13">
        <v>9455.33</v>
      </c>
      <c r="K1351" s="5">
        <f t="shared" si="43"/>
        <v>10</v>
      </c>
      <c r="P1351" t="str">
        <f t="shared" si="44"/>
        <v>10K</v>
      </c>
    </row>
    <row r="1352" spans="1:16" x14ac:dyDescent="0.35">
      <c r="A1352">
        <v>2006</v>
      </c>
      <c r="B1352" s="7" t="s">
        <v>10</v>
      </c>
      <c r="J1352" s="12">
        <v>95035.94</v>
      </c>
      <c r="K1352" s="5">
        <f t="shared" si="43"/>
        <v>100</v>
      </c>
      <c r="P1352" t="str">
        <f t="shared" si="44"/>
        <v>100K</v>
      </c>
    </row>
    <row r="1353" spans="1:16" x14ac:dyDescent="0.35">
      <c r="A1353">
        <v>2022</v>
      </c>
      <c r="B1353" s="6" t="s">
        <v>27</v>
      </c>
      <c r="J1353" s="13">
        <v>17230.54</v>
      </c>
      <c r="K1353" s="5">
        <f t="shared" si="43"/>
        <v>20</v>
      </c>
      <c r="P1353" t="str">
        <f t="shared" si="44"/>
        <v>20K</v>
      </c>
    </row>
    <row r="1354" spans="1:16" x14ac:dyDescent="0.35">
      <c r="A1354">
        <v>2008</v>
      </c>
      <c r="B1354" s="7" t="s">
        <v>25</v>
      </c>
      <c r="J1354" s="12">
        <v>8268.34</v>
      </c>
      <c r="K1354" s="5">
        <f t="shared" si="43"/>
        <v>10</v>
      </c>
      <c r="P1354" t="str">
        <f t="shared" si="44"/>
        <v>10K</v>
      </c>
    </row>
    <row r="1355" spans="1:16" x14ac:dyDescent="0.35">
      <c r="A1355">
        <v>2006</v>
      </c>
      <c r="B1355" s="6" t="s">
        <v>27</v>
      </c>
      <c r="J1355" s="13">
        <v>44365.11</v>
      </c>
      <c r="K1355" s="5">
        <f t="shared" si="43"/>
        <v>40</v>
      </c>
      <c r="P1355" t="str">
        <f t="shared" si="44"/>
        <v>40K</v>
      </c>
    </row>
    <row r="1356" spans="1:16" x14ac:dyDescent="0.35">
      <c r="A1356">
        <v>2012</v>
      </c>
      <c r="B1356" s="7" t="s">
        <v>10</v>
      </c>
      <c r="J1356" s="12">
        <v>23490.23</v>
      </c>
      <c r="K1356" s="5">
        <f t="shared" si="43"/>
        <v>20</v>
      </c>
      <c r="P1356" t="str">
        <f t="shared" si="44"/>
        <v>20K</v>
      </c>
    </row>
    <row r="1357" spans="1:16" x14ac:dyDescent="0.35">
      <c r="A1357">
        <v>2010</v>
      </c>
      <c r="B1357" s="6" t="s">
        <v>25</v>
      </c>
      <c r="J1357" s="13">
        <v>22498.67</v>
      </c>
      <c r="K1357" s="5">
        <f t="shared" si="43"/>
        <v>20</v>
      </c>
      <c r="P1357" t="str">
        <f t="shared" si="44"/>
        <v>20K</v>
      </c>
    </row>
    <row r="1358" spans="1:16" x14ac:dyDescent="0.35">
      <c r="A1358">
        <v>2013</v>
      </c>
      <c r="B1358" s="7" t="s">
        <v>25</v>
      </c>
      <c r="J1358" s="12">
        <v>32342.86</v>
      </c>
      <c r="K1358" s="5">
        <f t="shared" si="43"/>
        <v>30</v>
      </c>
      <c r="P1358" t="str">
        <f t="shared" si="44"/>
        <v>30K</v>
      </c>
    </row>
    <row r="1359" spans="1:16" x14ac:dyDescent="0.35">
      <c r="A1359">
        <v>2018</v>
      </c>
      <c r="B1359" s="6" t="s">
        <v>25</v>
      </c>
      <c r="J1359" s="13">
        <v>28598.53</v>
      </c>
      <c r="K1359" s="5">
        <f t="shared" si="43"/>
        <v>30</v>
      </c>
      <c r="P1359" t="str">
        <f t="shared" si="44"/>
        <v>30K</v>
      </c>
    </row>
    <row r="1360" spans="1:16" x14ac:dyDescent="0.35">
      <c r="A1360">
        <v>2010</v>
      </c>
      <c r="B1360" s="7" t="s">
        <v>10</v>
      </c>
      <c r="J1360" s="12">
        <v>70055.56</v>
      </c>
      <c r="K1360" s="5">
        <f t="shared" si="43"/>
        <v>70</v>
      </c>
      <c r="P1360" t="str">
        <f t="shared" si="44"/>
        <v>70K</v>
      </c>
    </row>
    <row r="1361" spans="1:16" x14ac:dyDescent="0.35">
      <c r="A1361">
        <v>2012</v>
      </c>
      <c r="B1361" s="6" t="s">
        <v>27</v>
      </c>
      <c r="J1361" s="13">
        <v>22743.84</v>
      </c>
      <c r="K1361" s="5">
        <f t="shared" si="43"/>
        <v>20</v>
      </c>
      <c r="P1361" t="str">
        <f t="shared" si="44"/>
        <v>20K</v>
      </c>
    </row>
    <row r="1362" spans="1:16" x14ac:dyDescent="0.35">
      <c r="A1362">
        <v>2013</v>
      </c>
      <c r="B1362" s="7" t="s">
        <v>27</v>
      </c>
      <c r="J1362" s="12">
        <v>56596.24</v>
      </c>
      <c r="K1362" s="5">
        <f t="shared" si="43"/>
        <v>60</v>
      </c>
      <c r="P1362" t="str">
        <f t="shared" si="44"/>
        <v>60K</v>
      </c>
    </row>
    <row r="1363" spans="1:16" x14ac:dyDescent="0.35">
      <c r="A1363">
        <v>2012</v>
      </c>
      <c r="B1363" s="6" t="s">
        <v>25</v>
      </c>
      <c r="J1363" s="13">
        <v>98710.52</v>
      </c>
      <c r="K1363" s="5">
        <f t="shared" si="43"/>
        <v>100</v>
      </c>
      <c r="P1363" t="str">
        <f t="shared" si="44"/>
        <v>100K</v>
      </c>
    </row>
    <row r="1364" spans="1:16" x14ac:dyDescent="0.35">
      <c r="A1364">
        <v>2000</v>
      </c>
      <c r="B1364" s="7" t="s">
        <v>20</v>
      </c>
      <c r="J1364" s="12">
        <v>46076.33</v>
      </c>
      <c r="K1364" s="5">
        <f t="shared" si="43"/>
        <v>50</v>
      </c>
      <c r="P1364" t="str">
        <f t="shared" si="44"/>
        <v>50K</v>
      </c>
    </row>
    <row r="1365" spans="1:16" x14ac:dyDescent="0.35">
      <c r="A1365">
        <v>2007</v>
      </c>
      <c r="B1365" s="6" t="s">
        <v>23</v>
      </c>
      <c r="J1365" s="13">
        <v>65977.95</v>
      </c>
      <c r="K1365" s="5">
        <f t="shared" si="43"/>
        <v>70</v>
      </c>
      <c r="P1365" t="str">
        <f t="shared" si="44"/>
        <v>70K</v>
      </c>
    </row>
    <row r="1366" spans="1:16" x14ac:dyDescent="0.35">
      <c r="A1366">
        <v>2011</v>
      </c>
      <c r="B1366" s="7" t="s">
        <v>10</v>
      </c>
      <c r="J1366" s="12">
        <v>97090.31</v>
      </c>
      <c r="K1366" s="5">
        <f t="shared" si="43"/>
        <v>100</v>
      </c>
      <c r="P1366" t="str">
        <f t="shared" si="44"/>
        <v>100K</v>
      </c>
    </row>
    <row r="1367" spans="1:16" x14ac:dyDescent="0.35">
      <c r="A1367">
        <v>2018</v>
      </c>
      <c r="B1367" s="6" t="s">
        <v>23</v>
      </c>
      <c r="J1367" s="13">
        <v>18075.7</v>
      </c>
      <c r="K1367" s="5">
        <f t="shared" si="43"/>
        <v>20</v>
      </c>
      <c r="P1367" t="str">
        <f t="shared" si="44"/>
        <v>20K</v>
      </c>
    </row>
    <row r="1368" spans="1:16" x14ac:dyDescent="0.35">
      <c r="A1368">
        <v>2011</v>
      </c>
      <c r="B1368" s="7" t="s">
        <v>23</v>
      </c>
      <c r="J1368" s="12">
        <v>44767.67</v>
      </c>
      <c r="K1368" s="5">
        <f t="shared" si="43"/>
        <v>40</v>
      </c>
      <c r="P1368" t="str">
        <f t="shared" si="44"/>
        <v>40K</v>
      </c>
    </row>
    <row r="1369" spans="1:16" x14ac:dyDescent="0.35">
      <c r="A1369">
        <v>2007</v>
      </c>
      <c r="B1369" s="6" t="s">
        <v>27</v>
      </c>
      <c r="J1369" s="13">
        <v>85768.28</v>
      </c>
      <c r="K1369" s="5">
        <f t="shared" si="43"/>
        <v>90</v>
      </c>
      <c r="P1369" t="str">
        <f t="shared" si="44"/>
        <v>90K</v>
      </c>
    </row>
    <row r="1370" spans="1:16" x14ac:dyDescent="0.35">
      <c r="A1370">
        <v>2007</v>
      </c>
      <c r="B1370" s="7" t="s">
        <v>27</v>
      </c>
      <c r="J1370" s="12">
        <v>93569.04</v>
      </c>
      <c r="K1370" s="5">
        <f t="shared" si="43"/>
        <v>90</v>
      </c>
      <c r="P1370" t="str">
        <f t="shared" si="44"/>
        <v>90K</v>
      </c>
    </row>
    <row r="1371" spans="1:16" x14ac:dyDescent="0.35">
      <c r="A1371">
        <v>2020</v>
      </c>
      <c r="B1371" s="6" t="s">
        <v>20</v>
      </c>
      <c r="J1371" s="13">
        <v>62117.43</v>
      </c>
      <c r="K1371" s="5">
        <f t="shared" si="43"/>
        <v>60</v>
      </c>
      <c r="P1371" t="str">
        <f t="shared" si="44"/>
        <v>60K</v>
      </c>
    </row>
    <row r="1372" spans="1:16" x14ac:dyDescent="0.35">
      <c r="A1372">
        <v>2012</v>
      </c>
      <c r="B1372" s="7" t="s">
        <v>23</v>
      </c>
      <c r="J1372" s="12">
        <v>18624.96</v>
      </c>
      <c r="K1372" s="5">
        <f t="shared" si="43"/>
        <v>20</v>
      </c>
      <c r="P1372" t="str">
        <f t="shared" si="44"/>
        <v>20K</v>
      </c>
    </row>
    <row r="1373" spans="1:16" x14ac:dyDescent="0.35">
      <c r="A1373">
        <v>2011</v>
      </c>
      <c r="B1373" s="6" t="s">
        <v>23</v>
      </c>
      <c r="J1373" s="13">
        <v>90639.8</v>
      </c>
      <c r="K1373" s="5">
        <f t="shared" si="43"/>
        <v>90</v>
      </c>
      <c r="P1373" t="str">
        <f t="shared" si="44"/>
        <v>90K</v>
      </c>
    </row>
    <row r="1374" spans="1:16" x14ac:dyDescent="0.35">
      <c r="A1374">
        <v>2015</v>
      </c>
      <c r="B1374" s="7" t="s">
        <v>25</v>
      </c>
      <c r="J1374" s="12">
        <v>21572.42</v>
      </c>
      <c r="K1374" s="5">
        <f t="shared" si="43"/>
        <v>20</v>
      </c>
      <c r="P1374" t="str">
        <f t="shared" si="44"/>
        <v>20K</v>
      </c>
    </row>
    <row r="1375" spans="1:16" x14ac:dyDescent="0.35">
      <c r="A1375">
        <v>2000</v>
      </c>
      <c r="B1375" s="6" t="s">
        <v>27</v>
      </c>
      <c r="J1375" s="13">
        <v>38523.4</v>
      </c>
      <c r="K1375" s="5">
        <f t="shared" si="43"/>
        <v>40</v>
      </c>
      <c r="P1375" t="str">
        <f t="shared" si="44"/>
        <v>40K</v>
      </c>
    </row>
    <row r="1376" spans="1:16" x14ac:dyDescent="0.35">
      <c r="A1376">
        <v>2012</v>
      </c>
      <c r="B1376" s="7" t="s">
        <v>23</v>
      </c>
      <c r="J1376" s="12">
        <v>40673.26</v>
      </c>
      <c r="K1376" s="5">
        <f t="shared" si="43"/>
        <v>40</v>
      </c>
      <c r="P1376" t="str">
        <f t="shared" si="44"/>
        <v>40K</v>
      </c>
    </row>
    <row r="1377" spans="1:16" x14ac:dyDescent="0.35">
      <c r="A1377">
        <v>2006</v>
      </c>
      <c r="B1377" s="6" t="s">
        <v>29</v>
      </c>
      <c r="J1377" s="13">
        <v>47492.7</v>
      </c>
      <c r="K1377" s="5">
        <f t="shared" si="43"/>
        <v>50</v>
      </c>
      <c r="P1377" t="str">
        <f t="shared" si="44"/>
        <v>50K</v>
      </c>
    </row>
    <row r="1378" spans="1:16" x14ac:dyDescent="0.35">
      <c r="A1378">
        <v>2004</v>
      </c>
      <c r="B1378" s="7" t="s">
        <v>20</v>
      </c>
      <c r="J1378" s="12">
        <v>80065.75</v>
      </c>
      <c r="K1378" s="5">
        <f t="shared" si="43"/>
        <v>80</v>
      </c>
      <c r="P1378" t="str">
        <f t="shared" si="44"/>
        <v>80K</v>
      </c>
    </row>
    <row r="1379" spans="1:16" x14ac:dyDescent="0.35">
      <c r="A1379">
        <v>2007</v>
      </c>
      <c r="B1379" s="6" t="s">
        <v>29</v>
      </c>
      <c r="J1379" s="13">
        <v>81203.72</v>
      </c>
      <c r="K1379" s="5">
        <f t="shared" si="43"/>
        <v>80</v>
      </c>
      <c r="P1379" t="str">
        <f t="shared" si="44"/>
        <v>80K</v>
      </c>
    </row>
    <row r="1380" spans="1:16" x14ac:dyDescent="0.35">
      <c r="A1380">
        <v>2013</v>
      </c>
      <c r="B1380" s="7" t="s">
        <v>29</v>
      </c>
      <c r="J1380" s="12">
        <v>73367.23</v>
      </c>
      <c r="K1380" s="5">
        <f t="shared" si="43"/>
        <v>70</v>
      </c>
      <c r="P1380" t="str">
        <f t="shared" si="44"/>
        <v>70K</v>
      </c>
    </row>
    <row r="1381" spans="1:16" x14ac:dyDescent="0.35">
      <c r="A1381">
        <v>2022</v>
      </c>
      <c r="B1381" s="6" t="s">
        <v>10</v>
      </c>
      <c r="J1381" s="13">
        <v>7102.22</v>
      </c>
      <c r="K1381" s="5">
        <f t="shared" si="43"/>
        <v>10</v>
      </c>
      <c r="P1381" t="str">
        <f t="shared" si="44"/>
        <v>10K</v>
      </c>
    </row>
    <row r="1382" spans="1:16" x14ac:dyDescent="0.35">
      <c r="A1382">
        <v>2012</v>
      </c>
      <c r="B1382" s="7" t="s">
        <v>10</v>
      </c>
      <c r="J1382" s="12">
        <v>58660.28</v>
      </c>
      <c r="K1382" s="5">
        <f t="shared" si="43"/>
        <v>60</v>
      </c>
      <c r="P1382" t="str">
        <f t="shared" si="44"/>
        <v>60K</v>
      </c>
    </row>
    <row r="1383" spans="1:16" x14ac:dyDescent="0.35">
      <c r="A1383">
        <v>2014</v>
      </c>
      <c r="B1383" s="6" t="s">
        <v>20</v>
      </c>
      <c r="J1383" s="13">
        <v>76011.83</v>
      </c>
      <c r="K1383" s="5">
        <f t="shared" si="43"/>
        <v>80</v>
      </c>
      <c r="P1383" t="str">
        <f t="shared" si="44"/>
        <v>80K</v>
      </c>
    </row>
    <row r="1384" spans="1:16" x14ac:dyDescent="0.35">
      <c r="A1384">
        <v>2022</v>
      </c>
      <c r="B1384" s="7" t="s">
        <v>29</v>
      </c>
      <c r="J1384" s="12">
        <v>47239.4</v>
      </c>
      <c r="K1384" s="5">
        <f t="shared" si="43"/>
        <v>50</v>
      </c>
      <c r="P1384" t="str">
        <f t="shared" si="44"/>
        <v>50K</v>
      </c>
    </row>
    <row r="1385" spans="1:16" x14ac:dyDescent="0.35">
      <c r="A1385">
        <v>2016</v>
      </c>
      <c r="B1385" s="6" t="s">
        <v>23</v>
      </c>
      <c r="J1385" s="13">
        <v>94768.92</v>
      </c>
      <c r="K1385" s="5">
        <f t="shared" si="43"/>
        <v>90</v>
      </c>
      <c r="P1385" t="str">
        <f t="shared" si="44"/>
        <v>90K</v>
      </c>
    </row>
    <row r="1386" spans="1:16" x14ac:dyDescent="0.35">
      <c r="A1386">
        <v>2014</v>
      </c>
      <c r="B1386" s="7" t="s">
        <v>27</v>
      </c>
      <c r="J1386" s="12">
        <v>83262</v>
      </c>
      <c r="K1386" s="5">
        <f t="shared" si="43"/>
        <v>80</v>
      </c>
      <c r="P1386" t="str">
        <f t="shared" si="44"/>
        <v>80K</v>
      </c>
    </row>
    <row r="1387" spans="1:16" x14ac:dyDescent="0.35">
      <c r="A1387">
        <v>2019</v>
      </c>
      <c r="B1387" s="6" t="s">
        <v>20</v>
      </c>
      <c r="J1387" s="13">
        <v>65624.73</v>
      </c>
      <c r="K1387" s="5">
        <f t="shared" si="43"/>
        <v>70</v>
      </c>
      <c r="P1387" t="str">
        <f t="shared" si="44"/>
        <v>70K</v>
      </c>
    </row>
    <row r="1388" spans="1:16" x14ac:dyDescent="0.35">
      <c r="A1388">
        <v>2017</v>
      </c>
      <c r="B1388" s="7" t="s">
        <v>25</v>
      </c>
      <c r="J1388" s="12">
        <v>10930.39</v>
      </c>
      <c r="K1388" s="5">
        <f t="shared" si="43"/>
        <v>10</v>
      </c>
      <c r="P1388" t="str">
        <f t="shared" si="44"/>
        <v>10K</v>
      </c>
    </row>
    <row r="1389" spans="1:16" x14ac:dyDescent="0.35">
      <c r="A1389">
        <v>2017</v>
      </c>
      <c r="B1389" s="6" t="s">
        <v>29</v>
      </c>
      <c r="J1389" s="13">
        <v>66972.89</v>
      </c>
      <c r="K1389" s="5">
        <f t="shared" si="43"/>
        <v>70</v>
      </c>
      <c r="P1389" t="str">
        <f t="shared" si="44"/>
        <v>70K</v>
      </c>
    </row>
    <row r="1390" spans="1:16" x14ac:dyDescent="0.35">
      <c r="A1390">
        <v>2001</v>
      </c>
      <c r="B1390" s="7" t="s">
        <v>20</v>
      </c>
      <c r="J1390" s="12">
        <v>91600.06</v>
      </c>
      <c r="K1390" s="5">
        <f t="shared" si="43"/>
        <v>90</v>
      </c>
      <c r="P1390" t="str">
        <f t="shared" si="44"/>
        <v>90K</v>
      </c>
    </row>
    <row r="1391" spans="1:16" x14ac:dyDescent="0.35">
      <c r="A1391">
        <v>2003</v>
      </c>
      <c r="B1391" s="6" t="s">
        <v>35</v>
      </c>
      <c r="J1391" s="13">
        <v>41047.31</v>
      </c>
      <c r="K1391" s="5">
        <f t="shared" si="43"/>
        <v>40</v>
      </c>
      <c r="P1391" t="str">
        <f t="shared" si="44"/>
        <v>40K</v>
      </c>
    </row>
    <row r="1392" spans="1:16" x14ac:dyDescent="0.35">
      <c r="A1392">
        <v>2000</v>
      </c>
      <c r="B1392" s="7" t="s">
        <v>35</v>
      </c>
      <c r="J1392" s="12">
        <v>84622.59</v>
      </c>
      <c r="K1392" s="5">
        <f t="shared" si="43"/>
        <v>80</v>
      </c>
      <c r="P1392" t="str">
        <f t="shared" si="44"/>
        <v>80K</v>
      </c>
    </row>
    <row r="1393" spans="1:16" x14ac:dyDescent="0.35">
      <c r="A1393">
        <v>2003</v>
      </c>
      <c r="B1393" s="6" t="s">
        <v>10</v>
      </c>
      <c r="J1393" s="13">
        <v>34750.31</v>
      </c>
      <c r="K1393" s="5">
        <f t="shared" si="43"/>
        <v>30</v>
      </c>
      <c r="P1393" t="str">
        <f t="shared" si="44"/>
        <v>30K</v>
      </c>
    </row>
    <row r="1394" spans="1:16" x14ac:dyDescent="0.35">
      <c r="A1394">
        <v>2017</v>
      </c>
      <c r="B1394" s="7" t="s">
        <v>27</v>
      </c>
      <c r="J1394" s="12">
        <v>59159.81</v>
      </c>
      <c r="K1394" s="5">
        <f t="shared" si="43"/>
        <v>60</v>
      </c>
      <c r="P1394" t="str">
        <f t="shared" si="44"/>
        <v>60K</v>
      </c>
    </row>
    <row r="1395" spans="1:16" x14ac:dyDescent="0.35">
      <c r="A1395">
        <v>2004</v>
      </c>
      <c r="B1395" s="6" t="s">
        <v>23</v>
      </c>
      <c r="J1395" s="13">
        <v>66600.320000000007</v>
      </c>
      <c r="K1395" s="5">
        <f t="shared" si="43"/>
        <v>70</v>
      </c>
      <c r="P1395" t="str">
        <f t="shared" si="44"/>
        <v>70K</v>
      </c>
    </row>
    <row r="1396" spans="1:16" x14ac:dyDescent="0.35">
      <c r="A1396">
        <v>2018</v>
      </c>
      <c r="B1396" s="7" t="s">
        <v>27</v>
      </c>
      <c r="J1396" s="12">
        <v>69409.53</v>
      </c>
      <c r="K1396" s="5">
        <f t="shared" si="43"/>
        <v>70</v>
      </c>
      <c r="P1396" t="str">
        <f t="shared" si="44"/>
        <v>70K</v>
      </c>
    </row>
    <row r="1397" spans="1:16" x14ac:dyDescent="0.35">
      <c r="A1397">
        <v>2014</v>
      </c>
      <c r="B1397" s="6" t="s">
        <v>27</v>
      </c>
      <c r="J1397" s="13">
        <v>88842.18</v>
      </c>
      <c r="K1397" s="5">
        <f t="shared" si="43"/>
        <v>90</v>
      </c>
      <c r="P1397" t="str">
        <f t="shared" si="44"/>
        <v>90K</v>
      </c>
    </row>
    <row r="1398" spans="1:16" x14ac:dyDescent="0.35">
      <c r="A1398">
        <v>2007</v>
      </c>
      <c r="B1398" s="7" t="s">
        <v>27</v>
      </c>
      <c r="J1398" s="12">
        <v>27289.119999999999</v>
      </c>
      <c r="K1398" s="5">
        <f t="shared" si="43"/>
        <v>30</v>
      </c>
      <c r="P1398" t="str">
        <f t="shared" si="44"/>
        <v>30K</v>
      </c>
    </row>
    <row r="1399" spans="1:16" x14ac:dyDescent="0.35">
      <c r="A1399">
        <v>2019</v>
      </c>
      <c r="B1399" s="6" t="s">
        <v>27</v>
      </c>
      <c r="J1399" s="13">
        <v>29925.11</v>
      </c>
      <c r="K1399" s="5">
        <f t="shared" si="43"/>
        <v>30</v>
      </c>
      <c r="P1399" t="str">
        <f t="shared" si="44"/>
        <v>30K</v>
      </c>
    </row>
    <row r="1400" spans="1:16" x14ac:dyDescent="0.35">
      <c r="A1400">
        <v>2016</v>
      </c>
      <c r="B1400" s="7" t="s">
        <v>25</v>
      </c>
      <c r="J1400" s="12">
        <v>71883.89</v>
      </c>
      <c r="K1400" s="5">
        <f t="shared" si="43"/>
        <v>70</v>
      </c>
      <c r="P1400" t="str">
        <f t="shared" si="44"/>
        <v>70K</v>
      </c>
    </row>
    <row r="1401" spans="1:16" x14ac:dyDescent="0.35">
      <c r="A1401">
        <v>2000</v>
      </c>
      <c r="B1401" s="6" t="s">
        <v>25</v>
      </c>
      <c r="J1401" s="13">
        <v>21833.41</v>
      </c>
      <c r="K1401" s="5">
        <f t="shared" si="43"/>
        <v>20</v>
      </c>
      <c r="P1401" t="str">
        <f t="shared" si="44"/>
        <v>20K</v>
      </c>
    </row>
    <row r="1402" spans="1:16" x14ac:dyDescent="0.35">
      <c r="A1402">
        <v>2011</v>
      </c>
      <c r="B1402" s="7" t="s">
        <v>10</v>
      </c>
      <c r="J1402" s="12">
        <v>49105.69</v>
      </c>
      <c r="K1402" s="5">
        <f t="shared" si="43"/>
        <v>50</v>
      </c>
      <c r="P1402" t="str">
        <f t="shared" si="44"/>
        <v>50K</v>
      </c>
    </row>
    <row r="1403" spans="1:16" x14ac:dyDescent="0.35">
      <c r="A1403">
        <v>2018</v>
      </c>
      <c r="B1403" s="6" t="s">
        <v>20</v>
      </c>
      <c r="J1403" s="13">
        <v>6903.27</v>
      </c>
      <c r="K1403" s="5">
        <f t="shared" si="43"/>
        <v>10</v>
      </c>
      <c r="P1403" t="str">
        <f t="shared" si="44"/>
        <v>10K</v>
      </c>
    </row>
    <row r="1404" spans="1:16" x14ac:dyDescent="0.35">
      <c r="A1404">
        <v>2014</v>
      </c>
      <c r="B1404" s="7" t="s">
        <v>35</v>
      </c>
      <c r="J1404" s="12">
        <v>18393.04</v>
      </c>
      <c r="K1404" s="5">
        <f t="shared" si="43"/>
        <v>20</v>
      </c>
      <c r="P1404" t="str">
        <f t="shared" si="44"/>
        <v>20K</v>
      </c>
    </row>
    <row r="1405" spans="1:16" x14ac:dyDescent="0.35">
      <c r="A1405">
        <v>2008</v>
      </c>
      <c r="B1405" s="6" t="s">
        <v>27</v>
      </c>
      <c r="J1405" s="13">
        <v>69490.41</v>
      </c>
      <c r="K1405" s="5">
        <f t="shared" si="43"/>
        <v>70</v>
      </c>
      <c r="P1405" t="str">
        <f t="shared" si="44"/>
        <v>70K</v>
      </c>
    </row>
    <row r="1406" spans="1:16" x14ac:dyDescent="0.35">
      <c r="A1406">
        <v>2006</v>
      </c>
      <c r="B1406" s="7" t="s">
        <v>10</v>
      </c>
      <c r="J1406" s="12">
        <v>76008.850000000006</v>
      </c>
      <c r="K1406" s="5">
        <f t="shared" si="43"/>
        <v>80</v>
      </c>
      <c r="P1406" t="str">
        <f t="shared" si="44"/>
        <v>80K</v>
      </c>
    </row>
    <row r="1407" spans="1:16" x14ac:dyDescent="0.35">
      <c r="A1407">
        <v>2001</v>
      </c>
      <c r="B1407" s="6" t="s">
        <v>20</v>
      </c>
      <c r="J1407" s="13">
        <v>15955.31</v>
      </c>
      <c r="K1407" s="5">
        <f t="shared" si="43"/>
        <v>20</v>
      </c>
      <c r="P1407" t="str">
        <f t="shared" si="44"/>
        <v>20K</v>
      </c>
    </row>
    <row r="1408" spans="1:16" x14ac:dyDescent="0.35">
      <c r="A1408">
        <v>2008</v>
      </c>
      <c r="B1408" s="7" t="s">
        <v>35</v>
      </c>
      <c r="J1408" s="12">
        <v>26632.41</v>
      </c>
      <c r="K1408" s="5">
        <f t="shared" si="43"/>
        <v>30</v>
      </c>
      <c r="P1408" t="str">
        <f t="shared" si="44"/>
        <v>30K</v>
      </c>
    </row>
    <row r="1409" spans="1:16" x14ac:dyDescent="0.35">
      <c r="A1409">
        <v>2009</v>
      </c>
      <c r="B1409" s="6" t="s">
        <v>29</v>
      </c>
      <c r="J1409" s="13">
        <v>14395.92</v>
      </c>
      <c r="K1409" s="5">
        <f t="shared" si="43"/>
        <v>10</v>
      </c>
      <c r="P1409" t="str">
        <f t="shared" si="44"/>
        <v>10K</v>
      </c>
    </row>
    <row r="1410" spans="1:16" x14ac:dyDescent="0.35">
      <c r="A1410">
        <v>2001</v>
      </c>
      <c r="B1410" s="7" t="s">
        <v>23</v>
      </c>
      <c r="J1410" s="12">
        <v>46174.22</v>
      </c>
      <c r="K1410" s="5">
        <f t="shared" si="43"/>
        <v>50</v>
      </c>
      <c r="P1410" t="str">
        <f t="shared" si="44"/>
        <v>50K</v>
      </c>
    </row>
    <row r="1411" spans="1:16" x14ac:dyDescent="0.35">
      <c r="A1411">
        <v>2018</v>
      </c>
      <c r="B1411" s="6" t="s">
        <v>25</v>
      </c>
      <c r="J1411" s="13">
        <v>16981.03</v>
      </c>
      <c r="K1411" s="5">
        <f t="shared" ref="K1411:K1474" si="45">ROUND(J1411/10000,0)*10</f>
        <v>20</v>
      </c>
      <c r="P1411" t="str">
        <f t="shared" ref="P1411:P1474" si="46">TEXT(ROUND(J1411/10000,0)*10,"0") &amp; "K"</f>
        <v>20K</v>
      </c>
    </row>
    <row r="1412" spans="1:16" x14ac:dyDescent="0.35">
      <c r="A1412">
        <v>2010</v>
      </c>
      <c r="B1412" s="7" t="s">
        <v>29</v>
      </c>
      <c r="J1412" s="12">
        <v>46543.12</v>
      </c>
      <c r="K1412" s="5">
        <f t="shared" si="45"/>
        <v>50</v>
      </c>
      <c r="P1412" t="str">
        <f t="shared" si="46"/>
        <v>50K</v>
      </c>
    </row>
    <row r="1413" spans="1:16" x14ac:dyDescent="0.35">
      <c r="A1413">
        <v>2012</v>
      </c>
      <c r="B1413" s="6" t="s">
        <v>35</v>
      </c>
      <c r="J1413" s="13">
        <v>74549.33</v>
      </c>
      <c r="K1413" s="5">
        <f t="shared" si="45"/>
        <v>70</v>
      </c>
      <c r="P1413" t="str">
        <f t="shared" si="46"/>
        <v>70K</v>
      </c>
    </row>
    <row r="1414" spans="1:16" x14ac:dyDescent="0.35">
      <c r="A1414">
        <v>2009</v>
      </c>
      <c r="B1414" s="7" t="s">
        <v>29</v>
      </c>
      <c r="J1414" s="12">
        <v>69921.919999999998</v>
      </c>
      <c r="K1414" s="5">
        <f t="shared" si="45"/>
        <v>70</v>
      </c>
      <c r="P1414" t="str">
        <f t="shared" si="46"/>
        <v>70K</v>
      </c>
    </row>
    <row r="1415" spans="1:16" x14ac:dyDescent="0.35">
      <c r="A1415">
        <v>2013</v>
      </c>
      <c r="B1415" s="6" t="s">
        <v>23</v>
      </c>
      <c r="J1415" s="13">
        <v>31643.75</v>
      </c>
      <c r="K1415" s="5">
        <f t="shared" si="45"/>
        <v>30</v>
      </c>
      <c r="P1415" t="str">
        <f t="shared" si="46"/>
        <v>30K</v>
      </c>
    </row>
    <row r="1416" spans="1:16" x14ac:dyDescent="0.35">
      <c r="A1416">
        <v>2017</v>
      </c>
      <c r="B1416" s="7" t="s">
        <v>10</v>
      </c>
      <c r="J1416" s="12">
        <v>69007.44</v>
      </c>
      <c r="K1416" s="5">
        <f t="shared" si="45"/>
        <v>70</v>
      </c>
      <c r="P1416" t="str">
        <f t="shared" si="46"/>
        <v>70K</v>
      </c>
    </row>
    <row r="1417" spans="1:16" x14ac:dyDescent="0.35">
      <c r="A1417">
        <v>2018</v>
      </c>
      <c r="B1417" s="6" t="s">
        <v>35</v>
      </c>
      <c r="J1417" s="13">
        <v>93132.65</v>
      </c>
      <c r="K1417" s="5">
        <f t="shared" si="45"/>
        <v>90</v>
      </c>
      <c r="P1417" t="str">
        <f t="shared" si="46"/>
        <v>90K</v>
      </c>
    </row>
    <row r="1418" spans="1:16" x14ac:dyDescent="0.35">
      <c r="A1418">
        <v>2021</v>
      </c>
      <c r="B1418" s="7" t="s">
        <v>29</v>
      </c>
      <c r="J1418" s="12">
        <v>38014.82</v>
      </c>
      <c r="K1418" s="5">
        <f t="shared" si="45"/>
        <v>40</v>
      </c>
      <c r="P1418" t="str">
        <f t="shared" si="46"/>
        <v>40K</v>
      </c>
    </row>
    <row r="1419" spans="1:16" x14ac:dyDescent="0.35">
      <c r="A1419">
        <v>2008</v>
      </c>
      <c r="B1419" s="6" t="s">
        <v>25</v>
      </c>
      <c r="J1419" s="13">
        <v>36266.32</v>
      </c>
      <c r="K1419" s="5">
        <f t="shared" si="45"/>
        <v>40</v>
      </c>
      <c r="P1419" t="str">
        <f t="shared" si="46"/>
        <v>40K</v>
      </c>
    </row>
    <row r="1420" spans="1:16" x14ac:dyDescent="0.35">
      <c r="A1420">
        <v>2006</v>
      </c>
      <c r="B1420" s="7" t="s">
        <v>25</v>
      </c>
      <c r="J1420" s="12">
        <v>59286.67</v>
      </c>
      <c r="K1420" s="5">
        <f t="shared" si="45"/>
        <v>60</v>
      </c>
      <c r="P1420" t="str">
        <f t="shared" si="46"/>
        <v>60K</v>
      </c>
    </row>
    <row r="1421" spans="1:16" x14ac:dyDescent="0.35">
      <c r="A1421">
        <v>2002</v>
      </c>
      <c r="B1421" s="6" t="s">
        <v>20</v>
      </c>
      <c r="J1421" s="13">
        <v>28322.67</v>
      </c>
      <c r="K1421" s="5">
        <f t="shared" si="45"/>
        <v>30</v>
      </c>
      <c r="P1421" t="str">
        <f t="shared" si="46"/>
        <v>30K</v>
      </c>
    </row>
    <row r="1422" spans="1:16" x14ac:dyDescent="0.35">
      <c r="A1422">
        <v>2019</v>
      </c>
      <c r="B1422" s="7" t="s">
        <v>29</v>
      </c>
      <c r="J1422" s="12">
        <v>66900</v>
      </c>
      <c r="K1422" s="5">
        <f t="shared" si="45"/>
        <v>70</v>
      </c>
      <c r="P1422" t="str">
        <f t="shared" si="46"/>
        <v>70K</v>
      </c>
    </row>
    <row r="1423" spans="1:16" x14ac:dyDescent="0.35">
      <c r="A1423">
        <v>2005</v>
      </c>
      <c r="B1423" s="6" t="s">
        <v>27</v>
      </c>
      <c r="J1423" s="13">
        <v>84064.87</v>
      </c>
      <c r="K1423" s="5">
        <f t="shared" si="45"/>
        <v>80</v>
      </c>
      <c r="P1423" t="str">
        <f t="shared" si="46"/>
        <v>80K</v>
      </c>
    </row>
    <row r="1424" spans="1:16" x14ac:dyDescent="0.35">
      <c r="A1424">
        <v>2020</v>
      </c>
      <c r="B1424" s="7" t="s">
        <v>29</v>
      </c>
      <c r="J1424" s="12">
        <v>48635.26</v>
      </c>
      <c r="K1424" s="5">
        <f t="shared" si="45"/>
        <v>50</v>
      </c>
      <c r="P1424" t="str">
        <f t="shared" si="46"/>
        <v>50K</v>
      </c>
    </row>
    <row r="1425" spans="1:16" x14ac:dyDescent="0.35">
      <c r="A1425">
        <v>2001</v>
      </c>
      <c r="B1425" s="6" t="s">
        <v>10</v>
      </c>
      <c r="J1425" s="13">
        <v>69553.2</v>
      </c>
      <c r="K1425" s="5">
        <f t="shared" si="45"/>
        <v>70</v>
      </c>
      <c r="P1425" t="str">
        <f t="shared" si="46"/>
        <v>70K</v>
      </c>
    </row>
    <row r="1426" spans="1:16" x14ac:dyDescent="0.35">
      <c r="A1426">
        <v>2005</v>
      </c>
      <c r="B1426" s="7" t="s">
        <v>35</v>
      </c>
      <c r="J1426" s="12">
        <v>66929.119999999995</v>
      </c>
      <c r="K1426" s="5">
        <f t="shared" si="45"/>
        <v>70</v>
      </c>
      <c r="P1426" t="str">
        <f t="shared" si="46"/>
        <v>70K</v>
      </c>
    </row>
    <row r="1427" spans="1:16" x14ac:dyDescent="0.35">
      <c r="A1427">
        <v>2002</v>
      </c>
      <c r="B1427" s="6" t="s">
        <v>35</v>
      </c>
      <c r="J1427" s="13">
        <v>8673.23</v>
      </c>
      <c r="K1427" s="5">
        <f t="shared" si="45"/>
        <v>10</v>
      </c>
      <c r="P1427" t="str">
        <f t="shared" si="46"/>
        <v>10K</v>
      </c>
    </row>
    <row r="1428" spans="1:16" x14ac:dyDescent="0.35">
      <c r="A1428">
        <v>2015</v>
      </c>
      <c r="B1428" s="7" t="s">
        <v>10</v>
      </c>
      <c r="J1428" s="12">
        <v>22424.55</v>
      </c>
      <c r="K1428" s="5">
        <f t="shared" si="45"/>
        <v>20</v>
      </c>
      <c r="P1428" t="str">
        <f t="shared" si="46"/>
        <v>20K</v>
      </c>
    </row>
    <row r="1429" spans="1:16" x14ac:dyDescent="0.35">
      <c r="A1429">
        <v>2007</v>
      </c>
      <c r="B1429" s="6" t="s">
        <v>29</v>
      </c>
      <c r="J1429" s="13">
        <v>89885.35</v>
      </c>
      <c r="K1429" s="5">
        <f t="shared" si="45"/>
        <v>90</v>
      </c>
      <c r="P1429" t="str">
        <f t="shared" si="46"/>
        <v>90K</v>
      </c>
    </row>
    <row r="1430" spans="1:16" x14ac:dyDescent="0.35">
      <c r="A1430">
        <v>2001</v>
      </c>
      <c r="B1430" s="7" t="s">
        <v>10</v>
      </c>
      <c r="J1430" s="12">
        <v>94194.75</v>
      </c>
      <c r="K1430" s="5">
        <f t="shared" si="45"/>
        <v>90</v>
      </c>
      <c r="P1430" t="str">
        <f t="shared" si="46"/>
        <v>90K</v>
      </c>
    </row>
    <row r="1431" spans="1:16" x14ac:dyDescent="0.35">
      <c r="A1431">
        <v>2016</v>
      </c>
      <c r="B1431" s="6" t="s">
        <v>23</v>
      </c>
      <c r="J1431" s="13">
        <v>79141.77</v>
      </c>
      <c r="K1431" s="5">
        <f t="shared" si="45"/>
        <v>80</v>
      </c>
      <c r="P1431" t="str">
        <f t="shared" si="46"/>
        <v>80K</v>
      </c>
    </row>
    <row r="1432" spans="1:16" x14ac:dyDescent="0.35">
      <c r="A1432">
        <v>2008</v>
      </c>
      <c r="B1432" s="7" t="s">
        <v>10</v>
      </c>
      <c r="J1432" s="12">
        <v>92518.57</v>
      </c>
      <c r="K1432" s="5">
        <f t="shared" si="45"/>
        <v>90</v>
      </c>
      <c r="P1432" t="str">
        <f t="shared" si="46"/>
        <v>90K</v>
      </c>
    </row>
    <row r="1433" spans="1:16" x14ac:dyDescent="0.35">
      <c r="A1433">
        <v>2011</v>
      </c>
      <c r="B1433" s="6" t="s">
        <v>25</v>
      </c>
      <c r="J1433" s="13">
        <v>34084.120000000003</v>
      </c>
      <c r="K1433" s="5">
        <f t="shared" si="45"/>
        <v>30</v>
      </c>
      <c r="P1433" t="str">
        <f t="shared" si="46"/>
        <v>30K</v>
      </c>
    </row>
    <row r="1434" spans="1:16" x14ac:dyDescent="0.35">
      <c r="A1434">
        <v>2002</v>
      </c>
      <c r="B1434" s="7" t="s">
        <v>10</v>
      </c>
      <c r="J1434" s="12">
        <v>28532.54</v>
      </c>
      <c r="K1434" s="5">
        <f t="shared" si="45"/>
        <v>30</v>
      </c>
      <c r="P1434" t="str">
        <f t="shared" si="46"/>
        <v>30K</v>
      </c>
    </row>
    <row r="1435" spans="1:16" x14ac:dyDescent="0.35">
      <c r="A1435">
        <v>2010</v>
      </c>
      <c r="B1435" s="6" t="s">
        <v>35</v>
      </c>
      <c r="J1435" s="13">
        <v>41508.519999999997</v>
      </c>
      <c r="K1435" s="5">
        <f t="shared" si="45"/>
        <v>40</v>
      </c>
      <c r="P1435" t="str">
        <f t="shared" si="46"/>
        <v>40K</v>
      </c>
    </row>
    <row r="1436" spans="1:16" x14ac:dyDescent="0.35">
      <c r="A1436">
        <v>2000</v>
      </c>
      <c r="B1436" s="7" t="s">
        <v>25</v>
      </c>
      <c r="J1436" s="12">
        <v>10257.49</v>
      </c>
      <c r="K1436" s="5">
        <f t="shared" si="45"/>
        <v>10</v>
      </c>
      <c r="P1436" t="str">
        <f t="shared" si="46"/>
        <v>10K</v>
      </c>
    </row>
    <row r="1437" spans="1:16" x14ac:dyDescent="0.35">
      <c r="A1437">
        <v>2022</v>
      </c>
      <c r="B1437" s="6" t="s">
        <v>35</v>
      </c>
      <c r="J1437" s="13">
        <v>81937.8</v>
      </c>
      <c r="K1437" s="5">
        <f t="shared" si="45"/>
        <v>80</v>
      </c>
      <c r="P1437" t="str">
        <f t="shared" si="46"/>
        <v>80K</v>
      </c>
    </row>
    <row r="1438" spans="1:16" x14ac:dyDescent="0.35">
      <c r="A1438">
        <v>2012</v>
      </c>
      <c r="B1438" s="7" t="s">
        <v>20</v>
      </c>
      <c r="J1438" s="12">
        <v>98496.67</v>
      </c>
      <c r="K1438" s="5">
        <f t="shared" si="45"/>
        <v>100</v>
      </c>
      <c r="P1438" t="str">
        <f t="shared" si="46"/>
        <v>100K</v>
      </c>
    </row>
    <row r="1439" spans="1:16" x14ac:dyDescent="0.35">
      <c r="A1439">
        <v>2014</v>
      </c>
      <c r="B1439" s="6" t="s">
        <v>27</v>
      </c>
      <c r="J1439" s="13">
        <v>83282.78</v>
      </c>
      <c r="K1439" s="5">
        <f t="shared" si="45"/>
        <v>80</v>
      </c>
      <c r="P1439" t="str">
        <f t="shared" si="46"/>
        <v>80K</v>
      </c>
    </row>
    <row r="1440" spans="1:16" x14ac:dyDescent="0.35">
      <c r="A1440">
        <v>2004</v>
      </c>
      <c r="B1440" s="7" t="s">
        <v>35</v>
      </c>
      <c r="J1440" s="12">
        <v>57722.66</v>
      </c>
      <c r="K1440" s="5">
        <f t="shared" si="45"/>
        <v>60</v>
      </c>
      <c r="P1440" t="str">
        <f t="shared" si="46"/>
        <v>60K</v>
      </c>
    </row>
    <row r="1441" spans="1:16" x14ac:dyDescent="0.35">
      <c r="A1441">
        <v>2020</v>
      </c>
      <c r="B1441" s="6" t="s">
        <v>25</v>
      </c>
      <c r="J1441" s="13">
        <v>33051.79</v>
      </c>
      <c r="K1441" s="5">
        <f t="shared" si="45"/>
        <v>30</v>
      </c>
      <c r="P1441" t="str">
        <f t="shared" si="46"/>
        <v>30K</v>
      </c>
    </row>
    <row r="1442" spans="1:16" x14ac:dyDescent="0.35">
      <c r="A1442">
        <v>2016</v>
      </c>
      <c r="B1442" s="7" t="s">
        <v>20</v>
      </c>
      <c r="J1442" s="12">
        <v>23781.3</v>
      </c>
      <c r="K1442" s="5">
        <f t="shared" si="45"/>
        <v>20</v>
      </c>
      <c r="P1442" t="str">
        <f t="shared" si="46"/>
        <v>20K</v>
      </c>
    </row>
    <row r="1443" spans="1:16" x14ac:dyDescent="0.35">
      <c r="A1443">
        <v>2022</v>
      </c>
      <c r="B1443" s="6" t="s">
        <v>35</v>
      </c>
      <c r="J1443" s="13">
        <v>39585.97</v>
      </c>
      <c r="K1443" s="5">
        <f t="shared" si="45"/>
        <v>40</v>
      </c>
      <c r="P1443" t="str">
        <f t="shared" si="46"/>
        <v>40K</v>
      </c>
    </row>
    <row r="1444" spans="1:16" x14ac:dyDescent="0.35">
      <c r="A1444">
        <v>2023</v>
      </c>
      <c r="B1444" s="7" t="s">
        <v>23</v>
      </c>
      <c r="J1444" s="12">
        <v>68362.11</v>
      </c>
      <c r="K1444" s="5">
        <f t="shared" si="45"/>
        <v>70</v>
      </c>
      <c r="P1444" t="str">
        <f t="shared" si="46"/>
        <v>70K</v>
      </c>
    </row>
    <row r="1445" spans="1:16" x14ac:dyDescent="0.35">
      <c r="A1445">
        <v>2005</v>
      </c>
      <c r="B1445" s="6" t="s">
        <v>10</v>
      </c>
      <c r="J1445" s="13">
        <v>47470.85</v>
      </c>
      <c r="K1445" s="5">
        <f t="shared" si="45"/>
        <v>50</v>
      </c>
      <c r="P1445" t="str">
        <f t="shared" si="46"/>
        <v>50K</v>
      </c>
    </row>
    <row r="1446" spans="1:16" x14ac:dyDescent="0.35">
      <c r="A1446">
        <v>2020</v>
      </c>
      <c r="B1446" s="7" t="s">
        <v>27</v>
      </c>
      <c r="J1446" s="12">
        <v>93735.679999999993</v>
      </c>
      <c r="K1446" s="5">
        <f t="shared" si="45"/>
        <v>90</v>
      </c>
      <c r="P1446" t="str">
        <f t="shared" si="46"/>
        <v>90K</v>
      </c>
    </row>
    <row r="1447" spans="1:16" x14ac:dyDescent="0.35">
      <c r="A1447">
        <v>2021</v>
      </c>
      <c r="B1447" s="6" t="s">
        <v>35</v>
      </c>
      <c r="J1447" s="13">
        <v>86150.93</v>
      </c>
      <c r="K1447" s="5">
        <f t="shared" si="45"/>
        <v>90</v>
      </c>
      <c r="P1447" t="str">
        <f t="shared" si="46"/>
        <v>90K</v>
      </c>
    </row>
    <row r="1448" spans="1:16" x14ac:dyDescent="0.35">
      <c r="A1448">
        <v>2010</v>
      </c>
      <c r="B1448" s="7" t="s">
        <v>20</v>
      </c>
      <c r="J1448" s="12">
        <v>14728.06</v>
      </c>
      <c r="K1448" s="5">
        <f t="shared" si="45"/>
        <v>10</v>
      </c>
      <c r="P1448" t="str">
        <f t="shared" si="46"/>
        <v>10K</v>
      </c>
    </row>
    <row r="1449" spans="1:16" x14ac:dyDescent="0.35">
      <c r="A1449">
        <v>2017</v>
      </c>
      <c r="B1449" s="6" t="s">
        <v>23</v>
      </c>
      <c r="J1449" s="13">
        <v>17494.900000000001</v>
      </c>
      <c r="K1449" s="5">
        <f t="shared" si="45"/>
        <v>20</v>
      </c>
      <c r="P1449" t="str">
        <f t="shared" si="46"/>
        <v>20K</v>
      </c>
    </row>
    <row r="1450" spans="1:16" x14ac:dyDescent="0.35">
      <c r="A1450">
        <v>2003</v>
      </c>
      <c r="B1450" s="7" t="s">
        <v>29</v>
      </c>
      <c r="J1450" s="12">
        <v>69242.720000000001</v>
      </c>
      <c r="K1450" s="5">
        <f t="shared" si="45"/>
        <v>70</v>
      </c>
      <c r="P1450" t="str">
        <f t="shared" si="46"/>
        <v>70K</v>
      </c>
    </row>
    <row r="1451" spans="1:16" x14ac:dyDescent="0.35">
      <c r="A1451">
        <v>2002</v>
      </c>
      <c r="B1451" s="6" t="s">
        <v>20</v>
      </c>
      <c r="J1451" s="13">
        <v>26923</v>
      </c>
      <c r="K1451" s="5">
        <f t="shared" si="45"/>
        <v>30</v>
      </c>
      <c r="P1451" t="str">
        <f t="shared" si="46"/>
        <v>30K</v>
      </c>
    </row>
    <row r="1452" spans="1:16" x14ac:dyDescent="0.35">
      <c r="A1452">
        <v>2012</v>
      </c>
      <c r="B1452" s="7" t="s">
        <v>10</v>
      </c>
      <c r="J1452" s="12">
        <v>80147.839999999997</v>
      </c>
      <c r="K1452" s="5">
        <f t="shared" si="45"/>
        <v>80</v>
      </c>
      <c r="P1452" t="str">
        <f t="shared" si="46"/>
        <v>80K</v>
      </c>
    </row>
    <row r="1453" spans="1:16" x14ac:dyDescent="0.35">
      <c r="A1453">
        <v>2022</v>
      </c>
      <c r="B1453" s="6" t="s">
        <v>20</v>
      </c>
      <c r="J1453" s="13">
        <v>61179.02</v>
      </c>
      <c r="K1453" s="5">
        <f t="shared" si="45"/>
        <v>60</v>
      </c>
      <c r="P1453" t="str">
        <f t="shared" si="46"/>
        <v>60K</v>
      </c>
    </row>
    <row r="1454" spans="1:16" x14ac:dyDescent="0.35">
      <c r="A1454">
        <v>2008</v>
      </c>
      <c r="B1454" s="7" t="s">
        <v>23</v>
      </c>
      <c r="J1454" s="12">
        <v>26833.9</v>
      </c>
      <c r="K1454" s="5">
        <f t="shared" si="45"/>
        <v>30</v>
      </c>
      <c r="P1454" t="str">
        <f t="shared" si="46"/>
        <v>30K</v>
      </c>
    </row>
    <row r="1455" spans="1:16" x14ac:dyDescent="0.35">
      <c r="A1455">
        <v>2020</v>
      </c>
      <c r="B1455" s="6" t="s">
        <v>20</v>
      </c>
      <c r="J1455" s="13">
        <v>50475.25</v>
      </c>
      <c r="K1455" s="5">
        <f t="shared" si="45"/>
        <v>50</v>
      </c>
      <c r="P1455" t="str">
        <f t="shared" si="46"/>
        <v>50K</v>
      </c>
    </row>
    <row r="1456" spans="1:16" x14ac:dyDescent="0.35">
      <c r="A1456">
        <v>2005</v>
      </c>
      <c r="B1456" s="7" t="s">
        <v>23</v>
      </c>
      <c r="J1456" s="12">
        <v>43577.25</v>
      </c>
      <c r="K1456" s="5">
        <f t="shared" si="45"/>
        <v>40</v>
      </c>
      <c r="P1456" t="str">
        <f t="shared" si="46"/>
        <v>40K</v>
      </c>
    </row>
    <row r="1457" spans="1:16" x14ac:dyDescent="0.35">
      <c r="A1457">
        <v>2011</v>
      </c>
      <c r="B1457" s="6" t="s">
        <v>35</v>
      </c>
      <c r="J1457" s="13">
        <v>87950.14</v>
      </c>
      <c r="K1457" s="5">
        <f t="shared" si="45"/>
        <v>90</v>
      </c>
      <c r="P1457" t="str">
        <f t="shared" si="46"/>
        <v>90K</v>
      </c>
    </row>
    <row r="1458" spans="1:16" x14ac:dyDescent="0.35">
      <c r="A1458">
        <v>2001</v>
      </c>
      <c r="B1458" s="7" t="s">
        <v>23</v>
      </c>
      <c r="J1458" s="12">
        <v>8055.44</v>
      </c>
      <c r="K1458" s="5">
        <f t="shared" si="45"/>
        <v>10</v>
      </c>
      <c r="P1458" t="str">
        <f t="shared" si="46"/>
        <v>10K</v>
      </c>
    </row>
    <row r="1459" spans="1:16" x14ac:dyDescent="0.35">
      <c r="A1459">
        <v>2002</v>
      </c>
      <c r="B1459" s="6" t="s">
        <v>23</v>
      </c>
      <c r="J1459" s="13">
        <v>90105.17</v>
      </c>
      <c r="K1459" s="5">
        <f t="shared" si="45"/>
        <v>90</v>
      </c>
      <c r="P1459" t="str">
        <f t="shared" si="46"/>
        <v>90K</v>
      </c>
    </row>
    <row r="1460" spans="1:16" x14ac:dyDescent="0.35">
      <c r="A1460">
        <v>2002</v>
      </c>
      <c r="B1460" s="7" t="s">
        <v>27</v>
      </c>
      <c r="J1460" s="12">
        <v>66947.850000000006</v>
      </c>
      <c r="K1460" s="5">
        <f t="shared" si="45"/>
        <v>70</v>
      </c>
      <c r="P1460" t="str">
        <f t="shared" si="46"/>
        <v>70K</v>
      </c>
    </row>
    <row r="1461" spans="1:16" x14ac:dyDescent="0.35">
      <c r="A1461">
        <v>2011</v>
      </c>
      <c r="B1461" s="6" t="s">
        <v>23</v>
      </c>
      <c r="J1461" s="13">
        <v>75066.13</v>
      </c>
      <c r="K1461" s="5">
        <f t="shared" si="45"/>
        <v>80</v>
      </c>
      <c r="P1461" t="str">
        <f t="shared" si="46"/>
        <v>80K</v>
      </c>
    </row>
    <row r="1462" spans="1:16" x14ac:dyDescent="0.35">
      <c r="A1462">
        <v>2014</v>
      </c>
      <c r="B1462" s="7" t="s">
        <v>23</v>
      </c>
      <c r="J1462" s="12">
        <v>5247.71</v>
      </c>
      <c r="K1462" s="5">
        <f t="shared" si="45"/>
        <v>10</v>
      </c>
      <c r="P1462" t="str">
        <f t="shared" si="46"/>
        <v>10K</v>
      </c>
    </row>
    <row r="1463" spans="1:16" x14ac:dyDescent="0.35">
      <c r="A1463">
        <v>2008</v>
      </c>
      <c r="B1463" s="6" t="s">
        <v>29</v>
      </c>
      <c r="J1463" s="13">
        <v>64682.75</v>
      </c>
      <c r="K1463" s="5">
        <f t="shared" si="45"/>
        <v>60</v>
      </c>
      <c r="P1463" t="str">
        <f t="shared" si="46"/>
        <v>60K</v>
      </c>
    </row>
    <row r="1464" spans="1:16" x14ac:dyDescent="0.35">
      <c r="A1464">
        <v>2022</v>
      </c>
      <c r="B1464" s="7" t="s">
        <v>35</v>
      </c>
      <c r="J1464" s="12">
        <v>60906.19</v>
      </c>
      <c r="K1464" s="5">
        <f t="shared" si="45"/>
        <v>60</v>
      </c>
      <c r="P1464" t="str">
        <f t="shared" si="46"/>
        <v>60K</v>
      </c>
    </row>
    <row r="1465" spans="1:16" x14ac:dyDescent="0.35">
      <c r="A1465">
        <v>2007</v>
      </c>
      <c r="B1465" s="6" t="s">
        <v>10</v>
      </c>
      <c r="J1465" s="13">
        <v>56034.53</v>
      </c>
      <c r="K1465" s="5">
        <f t="shared" si="45"/>
        <v>60</v>
      </c>
      <c r="P1465" t="str">
        <f t="shared" si="46"/>
        <v>60K</v>
      </c>
    </row>
    <row r="1466" spans="1:16" x14ac:dyDescent="0.35">
      <c r="A1466">
        <v>2010</v>
      </c>
      <c r="B1466" s="7" t="s">
        <v>27</v>
      </c>
      <c r="J1466" s="12">
        <v>79657.350000000006</v>
      </c>
      <c r="K1466" s="5">
        <f t="shared" si="45"/>
        <v>80</v>
      </c>
      <c r="P1466" t="str">
        <f t="shared" si="46"/>
        <v>80K</v>
      </c>
    </row>
    <row r="1467" spans="1:16" x14ac:dyDescent="0.35">
      <c r="A1467">
        <v>2015</v>
      </c>
      <c r="B1467" s="6" t="s">
        <v>29</v>
      </c>
      <c r="J1467" s="13">
        <v>57807.75</v>
      </c>
      <c r="K1467" s="5">
        <f t="shared" si="45"/>
        <v>60</v>
      </c>
      <c r="P1467" t="str">
        <f t="shared" si="46"/>
        <v>60K</v>
      </c>
    </row>
    <row r="1468" spans="1:16" x14ac:dyDescent="0.35">
      <c r="A1468">
        <v>2021</v>
      </c>
      <c r="B1468" s="7" t="s">
        <v>25</v>
      </c>
      <c r="J1468" s="12">
        <v>86424.23</v>
      </c>
      <c r="K1468" s="5">
        <f t="shared" si="45"/>
        <v>90</v>
      </c>
      <c r="P1468" t="str">
        <f t="shared" si="46"/>
        <v>90K</v>
      </c>
    </row>
    <row r="1469" spans="1:16" x14ac:dyDescent="0.35">
      <c r="A1469">
        <v>2003</v>
      </c>
      <c r="B1469" s="6" t="s">
        <v>35</v>
      </c>
      <c r="J1469" s="13">
        <v>27099.99</v>
      </c>
      <c r="K1469" s="5">
        <f t="shared" si="45"/>
        <v>30</v>
      </c>
      <c r="P1469" t="str">
        <f t="shared" si="46"/>
        <v>30K</v>
      </c>
    </row>
    <row r="1470" spans="1:16" x14ac:dyDescent="0.35">
      <c r="A1470">
        <v>2000</v>
      </c>
      <c r="B1470" s="7" t="s">
        <v>35</v>
      </c>
      <c r="J1470" s="12">
        <v>81568.350000000006</v>
      </c>
      <c r="K1470" s="5">
        <f t="shared" si="45"/>
        <v>80</v>
      </c>
      <c r="P1470" t="str">
        <f t="shared" si="46"/>
        <v>80K</v>
      </c>
    </row>
    <row r="1471" spans="1:16" x14ac:dyDescent="0.35">
      <c r="A1471">
        <v>2023</v>
      </c>
      <c r="B1471" s="6" t="s">
        <v>25</v>
      </c>
      <c r="J1471" s="13">
        <v>22034.71</v>
      </c>
      <c r="K1471" s="5">
        <f t="shared" si="45"/>
        <v>20</v>
      </c>
      <c r="P1471" t="str">
        <f t="shared" si="46"/>
        <v>20K</v>
      </c>
    </row>
    <row r="1472" spans="1:16" x14ac:dyDescent="0.35">
      <c r="A1472">
        <v>2006</v>
      </c>
      <c r="B1472" s="7" t="s">
        <v>10</v>
      </c>
      <c r="J1472" s="12">
        <v>82246.19</v>
      </c>
      <c r="K1472" s="5">
        <f t="shared" si="45"/>
        <v>80</v>
      </c>
      <c r="P1472" t="str">
        <f t="shared" si="46"/>
        <v>80K</v>
      </c>
    </row>
    <row r="1473" spans="1:16" x14ac:dyDescent="0.35">
      <c r="A1473">
        <v>2001</v>
      </c>
      <c r="B1473" s="6" t="s">
        <v>23</v>
      </c>
      <c r="J1473" s="13">
        <v>94344.03</v>
      </c>
      <c r="K1473" s="5">
        <f t="shared" si="45"/>
        <v>90</v>
      </c>
      <c r="P1473" t="str">
        <f t="shared" si="46"/>
        <v>90K</v>
      </c>
    </row>
    <row r="1474" spans="1:16" x14ac:dyDescent="0.35">
      <c r="A1474">
        <v>2023</v>
      </c>
      <c r="B1474" s="7" t="s">
        <v>29</v>
      </c>
      <c r="J1474" s="12">
        <v>36890.94</v>
      </c>
      <c r="K1474" s="5">
        <f t="shared" si="45"/>
        <v>40</v>
      </c>
      <c r="P1474" t="str">
        <f t="shared" si="46"/>
        <v>40K</v>
      </c>
    </row>
    <row r="1475" spans="1:16" x14ac:dyDescent="0.35">
      <c r="A1475">
        <v>2004</v>
      </c>
      <c r="B1475" s="6" t="s">
        <v>20</v>
      </c>
      <c r="J1475" s="13">
        <v>55339.199999999997</v>
      </c>
      <c r="K1475" s="5">
        <f t="shared" ref="K1475:K1538" si="47">ROUND(J1475/10000,0)*10</f>
        <v>60</v>
      </c>
      <c r="P1475" t="str">
        <f t="shared" ref="P1475:P1538" si="48">TEXT(ROUND(J1475/10000,0)*10,"0") &amp; "K"</f>
        <v>60K</v>
      </c>
    </row>
    <row r="1476" spans="1:16" x14ac:dyDescent="0.35">
      <c r="A1476">
        <v>2006</v>
      </c>
      <c r="B1476" s="7" t="s">
        <v>27</v>
      </c>
      <c r="J1476" s="12">
        <v>67541.259999999995</v>
      </c>
      <c r="K1476" s="5">
        <f t="shared" si="47"/>
        <v>70</v>
      </c>
      <c r="P1476" t="str">
        <f t="shared" si="48"/>
        <v>70K</v>
      </c>
    </row>
    <row r="1477" spans="1:16" x14ac:dyDescent="0.35">
      <c r="A1477">
        <v>2003</v>
      </c>
      <c r="B1477" s="6" t="s">
        <v>20</v>
      </c>
      <c r="J1477" s="13">
        <v>12549.81</v>
      </c>
      <c r="K1477" s="5">
        <f t="shared" si="47"/>
        <v>10</v>
      </c>
      <c r="P1477" t="str">
        <f t="shared" si="48"/>
        <v>10K</v>
      </c>
    </row>
    <row r="1478" spans="1:16" x14ac:dyDescent="0.35">
      <c r="A1478">
        <v>2004</v>
      </c>
      <c r="B1478" s="7" t="s">
        <v>25</v>
      </c>
      <c r="J1478" s="12">
        <v>51937.67</v>
      </c>
      <c r="K1478" s="5">
        <f t="shared" si="47"/>
        <v>50</v>
      </c>
      <c r="P1478" t="str">
        <f t="shared" si="48"/>
        <v>50K</v>
      </c>
    </row>
    <row r="1479" spans="1:16" x14ac:dyDescent="0.35">
      <c r="A1479">
        <v>2023</v>
      </c>
      <c r="B1479" s="6" t="s">
        <v>35</v>
      </c>
      <c r="J1479" s="13">
        <v>39255.57</v>
      </c>
      <c r="K1479" s="5">
        <f t="shared" si="47"/>
        <v>40</v>
      </c>
      <c r="P1479" t="str">
        <f t="shared" si="48"/>
        <v>40K</v>
      </c>
    </row>
    <row r="1480" spans="1:16" x14ac:dyDescent="0.35">
      <c r="A1480">
        <v>2000</v>
      </c>
      <c r="B1480" s="7" t="s">
        <v>10</v>
      </c>
      <c r="J1480" s="12">
        <v>87883.28</v>
      </c>
      <c r="K1480" s="5">
        <f t="shared" si="47"/>
        <v>90</v>
      </c>
      <c r="P1480" t="str">
        <f t="shared" si="48"/>
        <v>90K</v>
      </c>
    </row>
    <row r="1481" spans="1:16" x14ac:dyDescent="0.35">
      <c r="A1481">
        <v>2000</v>
      </c>
      <c r="B1481" s="6" t="s">
        <v>35</v>
      </c>
      <c r="J1481" s="13">
        <v>88284.55</v>
      </c>
      <c r="K1481" s="5">
        <f t="shared" si="47"/>
        <v>90</v>
      </c>
      <c r="P1481" t="str">
        <f t="shared" si="48"/>
        <v>90K</v>
      </c>
    </row>
    <row r="1482" spans="1:16" x14ac:dyDescent="0.35">
      <c r="A1482">
        <v>2014</v>
      </c>
      <c r="B1482" s="7" t="s">
        <v>27</v>
      </c>
      <c r="J1482" s="12">
        <v>71574.06</v>
      </c>
      <c r="K1482" s="5">
        <f t="shared" si="47"/>
        <v>70</v>
      </c>
      <c r="P1482" t="str">
        <f t="shared" si="48"/>
        <v>70K</v>
      </c>
    </row>
    <row r="1483" spans="1:16" x14ac:dyDescent="0.35">
      <c r="A1483">
        <v>2019</v>
      </c>
      <c r="B1483" s="6" t="s">
        <v>35</v>
      </c>
      <c r="J1483" s="13">
        <v>67293.83</v>
      </c>
      <c r="K1483" s="5">
        <f t="shared" si="47"/>
        <v>70</v>
      </c>
      <c r="P1483" t="str">
        <f t="shared" si="48"/>
        <v>70K</v>
      </c>
    </row>
    <row r="1484" spans="1:16" x14ac:dyDescent="0.35">
      <c r="A1484">
        <v>2018</v>
      </c>
      <c r="B1484" s="7" t="s">
        <v>35</v>
      </c>
      <c r="J1484" s="12">
        <v>74700.399999999994</v>
      </c>
      <c r="K1484" s="5">
        <f t="shared" si="47"/>
        <v>70</v>
      </c>
      <c r="P1484" t="str">
        <f t="shared" si="48"/>
        <v>70K</v>
      </c>
    </row>
    <row r="1485" spans="1:16" x14ac:dyDescent="0.35">
      <c r="A1485">
        <v>2009</v>
      </c>
      <c r="B1485" s="6" t="s">
        <v>27</v>
      </c>
      <c r="J1485" s="13">
        <v>39768.76</v>
      </c>
      <c r="K1485" s="5">
        <f t="shared" si="47"/>
        <v>40</v>
      </c>
      <c r="P1485" t="str">
        <f t="shared" si="48"/>
        <v>40K</v>
      </c>
    </row>
    <row r="1486" spans="1:16" x14ac:dyDescent="0.35">
      <c r="A1486">
        <v>2017</v>
      </c>
      <c r="B1486" s="7" t="s">
        <v>29</v>
      </c>
      <c r="J1486" s="12">
        <v>43429.33</v>
      </c>
      <c r="K1486" s="5">
        <f t="shared" si="47"/>
        <v>40</v>
      </c>
      <c r="P1486" t="str">
        <f t="shared" si="48"/>
        <v>40K</v>
      </c>
    </row>
    <row r="1487" spans="1:16" x14ac:dyDescent="0.35">
      <c r="A1487">
        <v>2002</v>
      </c>
      <c r="B1487" s="6" t="s">
        <v>29</v>
      </c>
      <c r="J1487" s="13">
        <v>57601.95</v>
      </c>
      <c r="K1487" s="5">
        <f t="shared" si="47"/>
        <v>60</v>
      </c>
      <c r="P1487" t="str">
        <f t="shared" si="48"/>
        <v>60K</v>
      </c>
    </row>
    <row r="1488" spans="1:16" x14ac:dyDescent="0.35">
      <c r="A1488">
        <v>2010</v>
      </c>
      <c r="B1488" s="7" t="s">
        <v>27</v>
      </c>
      <c r="J1488" s="12">
        <v>94112.67</v>
      </c>
      <c r="K1488" s="5">
        <f t="shared" si="47"/>
        <v>90</v>
      </c>
      <c r="P1488" t="str">
        <f t="shared" si="48"/>
        <v>90K</v>
      </c>
    </row>
    <row r="1489" spans="1:16" x14ac:dyDescent="0.35">
      <c r="A1489">
        <v>2014</v>
      </c>
      <c r="B1489" s="6" t="s">
        <v>10</v>
      </c>
      <c r="J1489" s="13">
        <v>73779.990000000005</v>
      </c>
      <c r="K1489" s="5">
        <f t="shared" si="47"/>
        <v>70</v>
      </c>
      <c r="P1489" t="str">
        <f t="shared" si="48"/>
        <v>70K</v>
      </c>
    </row>
    <row r="1490" spans="1:16" x14ac:dyDescent="0.35">
      <c r="A1490">
        <v>2010</v>
      </c>
      <c r="B1490" s="7" t="s">
        <v>25</v>
      </c>
      <c r="J1490" s="12">
        <v>57343.98</v>
      </c>
      <c r="K1490" s="5">
        <f t="shared" si="47"/>
        <v>60</v>
      </c>
      <c r="P1490" t="str">
        <f t="shared" si="48"/>
        <v>60K</v>
      </c>
    </row>
    <row r="1491" spans="1:16" x14ac:dyDescent="0.35">
      <c r="A1491">
        <v>2016</v>
      </c>
      <c r="B1491" s="6" t="s">
        <v>35</v>
      </c>
      <c r="J1491" s="13">
        <v>78189.240000000005</v>
      </c>
      <c r="K1491" s="5">
        <f t="shared" si="47"/>
        <v>80</v>
      </c>
      <c r="P1491" t="str">
        <f t="shared" si="48"/>
        <v>80K</v>
      </c>
    </row>
    <row r="1492" spans="1:16" x14ac:dyDescent="0.35">
      <c r="A1492">
        <v>2016</v>
      </c>
      <c r="B1492" s="7" t="s">
        <v>10</v>
      </c>
      <c r="J1492" s="12">
        <v>40234.58</v>
      </c>
      <c r="K1492" s="5">
        <f t="shared" si="47"/>
        <v>40</v>
      </c>
      <c r="P1492" t="str">
        <f t="shared" si="48"/>
        <v>40K</v>
      </c>
    </row>
    <row r="1493" spans="1:16" x14ac:dyDescent="0.35">
      <c r="A1493">
        <v>2005</v>
      </c>
      <c r="B1493" s="6" t="s">
        <v>35</v>
      </c>
      <c r="J1493" s="13">
        <v>74394.34</v>
      </c>
      <c r="K1493" s="5">
        <f t="shared" si="47"/>
        <v>70</v>
      </c>
      <c r="P1493" t="str">
        <f t="shared" si="48"/>
        <v>70K</v>
      </c>
    </row>
    <row r="1494" spans="1:16" x14ac:dyDescent="0.35">
      <c r="A1494">
        <v>2004</v>
      </c>
      <c r="B1494" s="7" t="s">
        <v>25</v>
      </c>
      <c r="J1494" s="12">
        <v>44014.239999999998</v>
      </c>
      <c r="K1494" s="5">
        <f t="shared" si="47"/>
        <v>40</v>
      </c>
      <c r="P1494" t="str">
        <f t="shared" si="48"/>
        <v>40K</v>
      </c>
    </row>
    <row r="1495" spans="1:16" x14ac:dyDescent="0.35">
      <c r="A1495">
        <v>2007</v>
      </c>
      <c r="B1495" s="6" t="s">
        <v>29</v>
      </c>
      <c r="J1495" s="13">
        <v>31567.83</v>
      </c>
      <c r="K1495" s="5">
        <f t="shared" si="47"/>
        <v>30</v>
      </c>
      <c r="P1495" t="str">
        <f t="shared" si="48"/>
        <v>30K</v>
      </c>
    </row>
    <row r="1496" spans="1:16" x14ac:dyDescent="0.35">
      <c r="A1496">
        <v>2001</v>
      </c>
      <c r="B1496" s="7" t="s">
        <v>10</v>
      </c>
      <c r="J1496" s="12">
        <v>62923.78</v>
      </c>
      <c r="K1496" s="5">
        <f t="shared" si="47"/>
        <v>60</v>
      </c>
      <c r="P1496" t="str">
        <f t="shared" si="48"/>
        <v>60K</v>
      </c>
    </row>
    <row r="1497" spans="1:16" x14ac:dyDescent="0.35">
      <c r="A1497">
        <v>2015</v>
      </c>
      <c r="B1497" s="6" t="s">
        <v>23</v>
      </c>
      <c r="J1497" s="13">
        <v>70253.37</v>
      </c>
      <c r="K1497" s="5">
        <f t="shared" si="47"/>
        <v>70</v>
      </c>
      <c r="P1497" t="str">
        <f t="shared" si="48"/>
        <v>70K</v>
      </c>
    </row>
    <row r="1498" spans="1:16" x14ac:dyDescent="0.35">
      <c r="A1498">
        <v>2019</v>
      </c>
      <c r="B1498" s="7" t="s">
        <v>23</v>
      </c>
      <c r="J1498" s="12">
        <v>48632.89</v>
      </c>
      <c r="K1498" s="5">
        <f t="shared" si="47"/>
        <v>50</v>
      </c>
      <c r="P1498" t="str">
        <f t="shared" si="48"/>
        <v>50K</v>
      </c>
    </row>
    <row r="1499" spans="1:16" x14ac:dyDescent="0.35">
      <c r="A1499">
        <v>2023</v>
      </c>
      <c r="B1499" s="6" t="s">
        <v>23</v>
      </c>
      <c r="J1499" s="13">
        <v>58722.57</v>
      </c>
      <c r="K1499" s="5">
        <f t="shared" si="47"/>
        <v>60</v>
      </c>
      <c r="P1499" t="str">
        <f t="shared" si="48"/>
        <v>60K</v>
      </c>
    </row>
    <row r="1500" spans="1:16" x14ac:dyDescent="0.35">
      <c r="A1500">
        <v>2011</v>
      </c>
      <c r="B1500" s="7" t="s">
        <v>29</v>
      </c>
      <c r="J1500" s="12">
        <v>70936.28</v>
      </c>
      <c r="K1500" s="5">
        <f t="shared" si="47"/>
        <v>70</v>
      </c>
      <c r="P1500" t="str">
        <f t="shared" si="48"/>
        <v>70K</v>
      </c>
    </row>
    <row r="1501" spans="1:16" x14ac:dyDescent="0.35">
      <c r="A1501">
        <v>2005</v>
      </c>
      <c r="B1501" s="6" t="s">
        <v>29</v>
      </c>
      <c r="J1501" s="13">
        <v>77932.45</v>
      </c>
      <c r="K1501" s="5">
        <f t="shared" si="47"/>
        <v>80</v>
      </c>
      <c r="P1501" t="str">
        <f t="shared" si="48"/>
        <v>80K</v>
      </c>
    </row>
    <row r="1502" spans="1:16" x14ac:dyDescent="0.35">
      <c r="A1502">
        <v>2000</v>
      </c>
      <c r="B1502" s="7" t="s">
        <v>25</v>
      </c>
      <c r="J1502" s="12">
        <v>90079.29</v>
      </c>
      <c r="K1502" s="5">
        <f t="shared" si="47"/>
        <v>90</v>
      </c>
      <c r="P1502" t="str">
        <f t="shared" si="48"/>
        <v>90K</v>
      </c>
    </row>
    <row r="1503" spans="1:16" x14ac:dyDescent="0.35">
      <c r="A1503">
        <v>2003</v>
      </c>
      <c r="B1503" s="6" t="s">
        <v>35</v>
      </c>
      <c r="J1503" s="13">
        <v>38681.699999999997</v>
      </c>
      <c r="K1503" s="5">
        <f t="shared" si="47"/>
        <v>40</v>
      </c>
      <c r="P1503" t="str">
        <f t="shared" si="48"/>
        <v>40K</v>
      </c>
    </row>
    <row r="1504" spans="1:16" x14ac:dyDescent="0.35">
      <c r="A1504">
        <v>2016</v>
      </c>
      <c r="B1504" s="7" t="s">
        <v>25</v>
      </c>
      <c r="J1504" s="12">
        <v>95390.34</v>
      </c>
      <c r="K1504" s="5">
        <f t="shared" si="47"/>
        <v>100</v>
      </c>
      <c r="P1504" t="str">
        <f t="shared" si="48"/>
        <v>100K</v>
      </c>
    </row>
    <row r="1505" spans="1:16" x14ac:dyDescent="0.35">
      <c r="A1505">
        <v>2012</v>
      </c>
      <c r="B1505" s="6" t="s">
        <v>25</v>
      </c>
      <c r="J1505" s="13">
        <v>65541.58</v>
      </c>
      <c r="K1505" s="5">
        <f t="shared" si="47"/>
        <v>70</v>
      </c>
      <c r="P1505" t="str">
        <f t="shared" si="48"/>
        <v>70K</v>
      </c>
    </row>
    <row r="1506" spans="1:16" x14ac:dyDescent="0.35">
      <c r="A1506">
        <v>2017</v>
      </c>
      <c r="B1506" s="7" t="s">
        <v>29</v>
      </c>
      <c r="J1506" s="12">
        <v>79831.679999999993</v>
      </c>
      <c r="K1506" s="5">
        <f t="shared" si="47"/>
        <v>80</v>
      </c>
      <c r="P1506" t="str">
        <f t="shared" si="48"/>
        <v>80K</v>
      </c>
    </row>
    <row r="1507" spans="1:16" x14ac:dyDescent="0.35">
      <c r="A1507">
        <v>2004</v>
      </c>
      <c r="B1507" s="6" t="s">
        <v>23</v>
      </c>
      <c r="J1507" s="13">
        <v>71478.06</v>
      </c>
      <c r="K1507" s="5">
        <f t="shared" si="47"/>
        <v>70</v>
      </c>
      <c r="P1507" t="str">
        <f t="shared" si="48"/>
        <v>70K</v>
      </c>
    </row>
    <row r="1508" spans="1:16" x14ac:dyDescent="0.35">
      <c r="A1508">
        <v>2023</v>
      </c>
      <c r="B1508" s="7" t="s">
        <v>20</v>
      </c>
      <c r="J1508" s="12">
        <v>24529.31</v>
      </c>
      <c r="K1508" s="5">
        <f t="shared" si="47"/>
        <v>20</v>
      </c>
      <c r="P1508" t="str">
        <f t="shared" si="48"/>
        <v>20K</v>
      </c>
    </row>
    <row r="1509" spans="1:16" x14ac:dyDescent="0.35">
      <c r="A1509">
        <v>2023</v>
      </c>
      <c r="B1509" s="6" t="s">
        <v>35</v>
      </c>
      <c r="J1509" s="13">
        <v>11786.65</v>
      </c>
      <c r="K1509" s="5">
        <f t="shared" si="47"/>
        <v>10</v>
      </c>
      <c r="P1509" t="str">
        <f t="shared" si="48"/>
        <v>10K</v>
      </c>
    </row>
    <row r="1510" spans="1:16" x14ac:dyDescent="0.35">
      <c r="A1510">
        <v>2002</v>
      </c>
      <c r="B1510" s="7" t="s">
        <v>29</v>
      </c>
      <c r="J1510" s="12">
        <v>73997.210000000006</v>
      </c>
      <c r="K1510" s="5">
        <f t="shared" si="47"/>
        <v>70</v>
      </c>
      <c r="P1510" t="str">
        <f t="shared" si="48"/>
        <v>70K</v>
      </c>
    </row>
    <row r="1511" spans="1:16" x14ac:dyDescent="0.35">
      <c r="A1511">
        <v>2010</v>
      </c>
      <c r="B1511" s="6" t="s">
        <v>23</v>
      </c>
      <c r="J1511" s="13">
        <v>53550</v>
      </c>
      <c r="K1511" s="5">
        <f t="shared" si="47"/>
        <v>50</v>
      </c>
      <c r="P1511" t="str">
        <f t="shared" si="48"/>
        <v>50K</v>
      </c>
    </row>
    <row r="1512" spans="1:16" x14ac:dyDescent="0.35">
      <c r="A1512">
        <v>2012</v>
      </c>
      <c r="B1512" s="7" t="s">
        <v>10</v>
      </c>
      <c r="J1512" s="12">
        <v>71710.27</v>
      </c>
      <c r="K1512" s="5">
        <f t="shared" si="47"/>
        <v>70</v>
      </c>
      <c r="P1512" t="str">
        <f t="shared" si="48"/>
        <v>70K</v>
      </c>
    </row>
    <row r="1513" spans="1:16" x14ac:dyDescent="0.35">
      <c r="A1513">
        <v>2003</v>
      </c>
      <c r="B1513" s="6" t="s">
        <v>20</v>
      </c>
      <c r="J1513" s="13">
        <v>50300.07</v>
      </c>
      <c r="K1513" s="5">
        <f t="shared" si="47"/>
        <v>50</v>
      </c>
      <c r="P1513" t="str">
        <f t="shared" si="48"/>
        <v>50K</v>
      </c>
    </row>
    <row r="1514" spans="1:16" x14ac:dyDescent="0.35">
      <c r="A1514">
        <v>2013</v>
      </c>
      <c r="B1514" s="7" t="s">
        <v>20</v>
      </c>
      <c r="J1514" s="12">
        <v>34662.28</v>
      </c>
      <c r="K1514" s="5">
        <f t="shared" si="47"/>
        <v>30</v>
      </c>
      <c r="P1514" t="str">
        <f t="shared" si="48"/>
        <v>30K</v>
      </c>
    </row>
    <row r="1515" spans="1:16" x14ac:dyDescent="0.35">
      <c r="A1515">
        <v>2021</v>
      </c>
      <c r="B1515" s="6" t="s">
        <v>29</v>
      </c>
      <c r="J1515" s="13">
        <v>32076.7</v>
      </c>
      <c r="K1515" s="5">
        <f t="shared" si="47"/>
        <v>30</v>
      </c>
      <c r="P1515" t="str">
        <f t="shared" si="48"/>
        <v>30K</v>
      </c>
    </row>
    <row r="1516" spans="1:16" x14ac:dyDescent="0.35">
      <c r="A1516">
        <v>2010</v>
      </c>
      <c r="B1516" s="7" t="s">
        <v>27</v>
      </c>
      <c r="J1516" s="12">
        <v>74400.55</v>
      </c>
      <c r="K1516" s="5">
        <f t="shared" si="47"/>
        <v>70</v>
      </c>
      <c r="P1516" t="str">
        <f t="shared" si="48"/>
        <v>70K</v>
      </c>
    </row>
    <row r="1517" spans="1:16" x14ac:dyDescent="0.35">
      <c r="A1517">
        <v>2009</v>
      </c>
      <c r="B1517" s="6" t="s">
        <v>35</v>
      </c>
      <c r="J1517" s="13">
        <v>31294.11</v>
      </c>
      <c r="K1517" s="5">
        <f t="shared" si="47"/>
        <v>30</v>
      </c>
      <c r="P1517" t="str">
        <f t="shared" si="48"/>
        <v>30K</v>
      </c>
    </row>
    <row r="1518" spans="1:16" x14ac:dyDescent="0.35">
      <c r="A1518">
        <v>2018</v>
      </c>
      <c r="B1518" s="7" t="s">
        <v>20</v>
      </c>
      <c r="J1518" s="12">
        <v>72894.3</v>
      </c>
      <c r="K1518" s="5">
        <f t="shared" si="47"/>
        <v>70</v>
      </c>
      <c r="P1518" t="str">
        <f t="shared" si="48"/>
        <v>70K</v>
      </c>
    </row>
    <row r="1519" spans="1:16" x14ac:dyDescent="0.35">
      <c r="A1519">
        <v>2017</v>
      </c>
      <c r="B1519" s="6" t="s">
        <v>29</v>
      </c>
      <c r="J1519" s="13">
        <v>41476.21</v>
      </c>
      <c r="K1519" s="5">
        <f t="shared" si="47"/>
        <v>40</v>
      </c>
      <c r="P1519" t="str">
        <f t="shared" si="48"/>
        <v>40K</v>
      </c>
    </row>
    <row r="1520" spans="1:16" x14ac:dyDescent="0.35">
      <c r="A1520">
        <v>2005</v>
      </c>
      <c r="B1520" s="7" t="s">
        <v>29</v>
      </c>
      <c r="J1520" s="12">
        <v>78235.350000000006</v>
      </c>
      <c r="K1520" s="5">
        <f t="shared" si="47"/>
        <v>80</v>
      </c>
      <c r="P1520" t="str">
        <f t="shared" si="48"/>
        <v>80K</v>
      </c>
    </row>
    <row r="1521" spans="1:16" x14ac:dyDescent="0.35">
      <c r="A1521">
        <v>2014</v>
      </c>
      <c r="B1521" s="6" t="s">
        <v>23</v>
      </c>
      <c r="J1521" s="13">
        <v>18566.939999999999</v>
      </c>
      <c r="K1521" s="5">
        <f t="shared" si="47"/>
        <v>20</v>
      </c>
      <c r="P1521" t="str">
        <f t="shared" si="48"/>
        <v>20K</v>
      </c>
    </row>
    <row r="1522" spans="1:16" x14ac:dyDescent="0.35">
      <c r="A1522">
        <v>2020</v>
      </c>
      <c r="B1522" s="7" t="s">
        <v>10</v>
      </c>
      <c r="J1522" s="12">
        <v>24473.09</v>
      </c>
      <c r="K1522" s="5">
        <f t="shared" si="47"/>
        <v>20</v>
      </c>
      <c r="P1522" t="str">
        <f t="shared" si="48"/>
        <v>20K</v>
      </c>
    </row>
    <row r="1523" spans="1:16" x14ac:dyDescent="0.35">
      <c r="A1523">
        <v>2009</v>
      </c>
      <c r="B1523" s="6" t="s">
        <v>27</v>
      </c>
      <c r="J1523" s="13">
        <v>70161.600000000006</v>
      </c>
      <c r="K1523" s="5">
        <f t="shared" si="47"/>
        <v>70</v>
      </c>
      <c r="P1523" t="str">
        <f t="shared" si="48"/>
        <v>70K</v>
      </c>
    </row>
    <row r="1524" spans="1:16" x14ac:dyDescent="0.35">
      <c r="A1524">
        <v>2004</v>
      </c>
      <c r="B1524" s="7" t="s">
        <v>35</v>
      </c>
      <c r="J1524" s="12">
        <v>58221.96</v>
      </c>
      <c r="K1524" s="5">
        <f t="shared" si="47"/>
        <v>60</v>
      </c>
      <c r="P1524" t="str">
        <f t="shared" si="48"/>
        <v>60K</v>
      </c>
    </row>
    <row r="1525" spans="1:16" x14ac:dyDescent="0.35">
      <c r="A1525">
        <v>2004</v>
      </c>
      <c r="B1525" s="6" t="s">
        <v>25</v>
      </c>
      <c r="J1525" s="13">
        <v>24368.44</v>
      </c>
      <c r="K1525" s="5">
        <f t="shared" si="47"/>
        <v>20</v>
      </c>
      <c r="P1525" t="str">
        <f t="shared" si="48"/>
        <v>20K</v>
      </c>
    </row>
    <row r="1526" spans="1:16" x14ac:dyDescent="0.35">
      <c r="A1526">
        <v>2009</v>
      </c>
      <c r="B1526" s="7" t="s">
        <v>10</v>
      </c>
      <c r="J1526" s="12">
        <v>90768.57</v>
      </c>
      <c r="K1526" s="5">
        <f t="shared" si="47"/>
        <v>90</v>
      </c>
      <c r="P1526" t="str">
        <f t="shared" si="48"/>
        <v>90K</v>
      </c>
    </row>
    <row r="1527" spans="1:16" x14ac:dyDescent="0.35">
      <c r="A1527">
        <v>2004</v>
      </c>
      <c r="B1527" s="6" t="s">
        <v>10</v>
      </c>
      <c r="J1527" s="13">
        <v>31214.69</v>
      </c>
      <c r="K1527" s="5">
        <f t="shared" si="47"/>
        <v>30</v>
      </c>
      <c r="P1527" t="str">
        <f t="shared" si="48"/>
        <v>30K</v>
      </c>
    </row>
    <row r="1528" spans="1:16" x14ac:dyDescent="0.35">
      <c r="A1528">
        <v>2002</v>
      </c>
      <c r="B1528" s="7" t="s">
        <v>23</v>
      </c>
      <c r="J1528" s="12">
        <v>45001.78</v>
      </c>
      <c r="K1528" s="5">
        <f t="shared" si="47"/>
        <v>50</v>
      </c>
      <c r="P1528" t="str">
        <f t="shared" si="48"/>
        <v>50K</v>
      </c>
    </row>
    <row r="1529" spans="1:16" x14ac:dyDescent="0.35">
      <c r="A1529">
        <v>2022</v>
      </c>
      <c r="B1529" s="6" t="s">
        <v>20</v>
      </c>
      <c r="J1529" s="13">
        <v>24217.35</v>
      </c>
      <c r="K1529" s="5">
        <f t="shared" si="47"/>
        <v>20</v>
      </c>
      <c r="P1529" t="str">
        <f t="shared" si="48"/>
        <v>20K</v>
      </c>
    </row>
    <row r="1530" spans="1:16" x14ac:dyDescent="0.35">
      <c r="A1530">
        <v>2005</v>
      </c>
      <c r="B1530" s="7" t="s">
        <v>20</v>
      </c>
      <c r="J1530" s="12">
        <v>41862.620000000003</v>
      </c>
      <c r="K1530" s="5">
        <f t="shared" si="47"/>
        <v>40</v>
      </c>
      <c r="P1530" t="str">
        <f t="shared" si="48"/>
        <v>40K</v>
      </c>
    </row>
    <row r="1531" spans="1:16" x14ac:dyDescent="0.35">
      <c r="A1531">
        <v>2003</v>
      </c>
      <c r="B1531" s="6" t="s">
        <v>23</v>
      </c>
      <c r="J1531" s="13">
        <v>51706.44</v>
      </c>
      <c r="K1531" s="5">
        <f t="shared" si="47"/>
        <v>50</v>
      </c>
      <c r="P1531" t="str">
        <f t="shared" si="48"/>
        <v>50K</v>
      </c>
    </row>
    <row r="1532" spans="1:16" x14ac:dyDescent="0.35">
      <c r="A1532">
        <v>2017</v>
      </c>
      <c r="B1532" s="7" t="s">
        <v>29</v>
      </c>
      <c r="J1532" s="12">
        <v>33048.47</v>
      </c>
      <c r="K1532" s="5">
        <f t="shared" si="47"/>
        <v>30</v>
      </c>
      <c r="P1532" t="str">
        <f t="shared" si="48"/>
        <v>30K</v>
      </c>
    </row>
    <row r="1533" spans="1:16" x14ac:dyDescent="0.35">
      <c r="A1533">
        <v>2008</v>
      </c>
      <c r="B1533" s="6" t="s">
        <v>20</v>
      </c>
      <c r="J1533" s="13">
        <v>78063.899999999994</v>
      </c>
      <c r="K1533" s="5">
        <f t="shared" si="47"/>
        <v>80</v>
      </c>
      <c r="P1533" t="str">
        <f t="shared" si="48"/>
        <v>80K</v>
      </c>
    </row>
    <row r="1534" spans="1:16" x14ac:dyDescent="0.35">
      <c r="A1534">
        <v>2016</v>
      </c>
      <c r="B1534" s="7" t="s">
        <v>27</v>
      </c>
      <c r="J1534" s="12">
        <v>42423.63</v>
      </c>
      <c r="K1534" s="5">
        <f t="shared" si="47"/>
        <v>40</v>
      </c>
      <c r="P1534" t="str">
        <f t="shared" si="48"/>
        <v>40K</v>
      </c>
    </row>
    <row r="1535" spans="1:16" x14ac:dyDescent="0.35">
      <c r="A1535">
        <v>2012</v>
      </c>
      <c r="B1535" s="6" t="s">
        <v>35</v>
      </c>
      <c r="J1535" s="13">
        <v>74303.45</v>
      </c>
      <c r="K1535" s="5">
        <f t="shared" si="47"/>
        <v>70</v>
      </c>
      <c r="P1535" t="str">
        <f t="shared" si="48"/>
        <v>70K</v>
      </c>
    </row>
    <row r="1536" spans="1:16" x14ac:dyDescent="0.35">
      <c r="A1536">
        <v>2014</v>
      </c>
      <c r="B1536" s="7" t="s">
        <v>10</v>
      </c>
      <c r="J1536" s="12">
        <v>24671.86</v>
      </c>
      <c r="K1536" s="5">
        <f t="shared" si="47"/>
        <v>20</v>
      </c>
      <c r="P1536" t="str">
        <f t="shared" si="48"/>
        <v>20K</v>
      </c>
    </row>
    <row r="1537" spans="1:16" x14ac:dyDescent="0.35">
      <c r="A1537">
        <v>2019</v>
      </c>
      <c r="B1537" s="6" t="s">
        <v>10</v>
      </c>
      <c r="J1537" s="13">
        <v>40818.370000000003</v>
      </c>
      <c r="K1537" s="5">
        <f t="shared" si="47"/>
        <v>40</v>
      </c>
      <c r="P1537" t="str">
        <f t="shared" si="48"/>
        <v>40K</v>
      </c>
    </row>
    <row r="1538" spans="1:16" x14ac:dyDescent="0.35">
      <c r="A1538">
        <v>2016</v>
      </c>
      <c r="B1538" s="7" t="s">
        <v>27</v>
      </c>
      <c r="J1538" s="12">
        <v>5765.54</v>
      </c>
      <c r="K1538" s="5">
        <f t="shared" si="47"/>
        <v>10</v>
      </c>
      <c r="P1538" t="str">
        <f t="shared" si="48"/>
        <v>10K</v>
      </c>
    </row>
    <row r="1539" spans="1:16" x14ac:dyDescent="0.35">
      <c r="A1539">
        <v>2012</v>
      </c>
      <c r="B1539" s="6" t="s">
        <v>20</v>
      </c>
      <c r="J1539" s="13">
        <v>77070.570000000007</v>
      </c>
      <c r="K1539" s="5">
        <f t="shared" ref="K1539:K1602" si="49">ROUND(J1539/10000,0)*10</f>
        <v>80</v>
      </c>
      <c r="P1539" t="str">
        <f t="shared" ref="P1539:P1602" si="50">TEXT(ROUND(J1539/10000,0)*10,"0") &amp; "K"</f>
        <v>80K</v>
      </c>
    </row>
    <row r="1540" spans="1:16" x14ac:dyDescent="0.35">
      <c r="A1540">
        <v>2015</v>
      </c>
      <c r="B1540" s="7" t="s">
        <v>10</v>
      </c>
      <c r="J1540" s="12">
        <v>64459.23</v>
      </c>
      <c r="K1540" s="5">
        <f t="shared" si="49"/>
        <v>60</v>
      </c>
      <c r="P1540" t="str">
        <f t="shared" si="50"/>
        <v>60K</v>
      </c>
    </row>
    <row r="1541" spans="1:16" x14ac:dyDescent="0.35">
      <c r="A1541">
        <v>2021</v>
      </c>
      <c r="B1541" s="6" t="s">
        <v>25</v>
      </c>
      <c r="J1541" s="13">
        <v>82693.22</v>
      </c>
      <c r="K1541" s="5">
        <f t="shared" si="49"/>
        <v>80</v>
      </c>
      <c r="P1541" t="str">
        <f t="shared" si="50"/>
        <v>80K</v>
      </c>
    </row>
    <row r="1542" spans="1:16" x14ac:dyDescent="0.35">
      <c r="A1542">
        <v>2003</v>
      </c>
      <c r="B1542" s="7" t="s">
        <v>35</v>
      </c>
      <c r="J1542" s="12">
        <v>48283.02</v>
      </c>
      <c r="K1542" s="5">
        <f t="shared" si="49"/>
        <v>50</v>
      </c>
      <c r="P1542" t="str">
        <f t="shared" si="50"/>
        <v>50K</v>
      </c>
    </row>
    <row r="1543" spans="1:16" x14ac:dyDescent="0.35">
      <c r="A1543">
        <v>2004</v>
      </c>
      <c r="B1543" s="6" t="s">
        <v>35</v>
      </c>
      <c r="J1543" s="13">
        <v>80975.360000000001</v>
      </c>
      <c r="K1543" s="5">
        <f t="shared" si="49"/>
        <v>80</v>
      </c>
      <c r="P1543" t="str">
        <f t="shared" si="50"/>
        <v>80K</v>
      </c>
    </row>
    <row r="1544" spans="1:16" x14ac:dyDescent="0.35">
      <c r="A1544">
        <v>2004</v>
      </c>
      <c r="B1544" s="7" t="s">
        <v>10</v>
      </c>
      <c r="J1544" s="12">
        <v>66520.34</v>
      </c>
      <c r="K1544" s="5">
        <f t="shared" si="49"/>
        <v>70</v>
      </c>
      <c r="P1544" t="str">
        <f t="shared" si="50"/>
        <v>70K</v>
      </c>
    </row>
    <row r="1545" spans="1:16" x14ac:dyDescent="0.35">
      <c r="A1545">
        <v>2008</v>
      </c>
      <c r="B1545" s="6" t="s">
        <v>23</v>
      </c>
      <c r="J1545" s="13">
        <v>5343.23</v>
      </c>
      <c r="K1545" s="5">
        <f t="shared" si="49"/>
        <v>10</v>
      </c>
      <c r="P1545" t="str">
        <f t="shared" si="50"/>
        <v>10K</v>
      </c>
    </row>
    <row r="1546" spans="1:16" x14ac:dyDescent="0.35">
      <c r="A1546">
        <v>2016</v>
      </c>
      <c r="B1546" s="7" t="s">
        <v>10</v>
      </c>
      <c r="J1546" s="12">
        <v>29100.959999999999</v>
      </c>
      <c r="K1546" s="5">
        <f t="shared" si="49"/>
        <v>30</v>
      </c>
      <c r="P1546" t="str">
        <f t="shared" si="50"/>
        <v>30K</v>
      </c>
    </row>
    <row r="1547" spans="1:16" x14ac:dyDescent="0.35">
      <c r="A1547">
        <v>2012</v>
      </c>
      <c r="B1547" s="6" t="s">
        <v>23</v>
      </c>
      <c r="J1547" s="13">
        <v>51919.68</v>
      </c>
      <c r="K1547" s="5">
        <f t="shared" si="49"/>
        <v>50</v>
      </c>
      <c r="P1547" t="str">
        <f t="shared" si="50"/>
        <v>50K</v>
      </c>
    </row>
    <row r="1548" spans="1:16" x14ac:dyDescent="0.35">
      <c r="A1548">
        <v>2001</v>
      </c>
      <c r="B1548" s="7" t="s">
        <v>10</v>
      </c>
      <c r="J1548" s="12">
        <v>63775.3</v>
      </c>
      <c r="K1548" s="5">
        <f t="shared" si="49"/>
        <v>60</v>
      </c>
      <c r="P1548" t="str">
        <f t="shared" si="50"/>
        <v>60K</v>
      </c>
    </row>
    <row r="1549" spans="1:16" x14ac:dyDescent="0.35">
      <c r="A1549">
        <v>2012</v>
      </c>
      <c r="B1549" s="6" t="s">
        <v>25</v>
      </c>
      <c r="J1549" s="13">
        <v>11231.13</v>
      </c>
      <c r="K1549" s="5">
        <f t="shared" si="49"/>
        <v>10</v>
      </c>
      <c r="P1549" t="str">
        <f t="shared" si="50"/>
        <v>10K</v>
      </c>
    </row>
    <row r="1550" spans="1:16" x14ac:dyDescent="0.35">
      <c r="A1550">
        <v>2021</v>
      </c>
      <c r="B1550" s="7" t="s">
        <v>29</v>
      </c>
      <c r="J1550" s="12">
        <v>71982.59</v>
      </c>
      <c r="K1550" s="5">
        <f t="shared" si="49"/>
        <v>70</v>
      </c>
      <c r="P1550" t="str">
        <f t="shared" si="50"/>
        <v>70K</v>
      </c>
    </row>
    <row r="1551" spans="1:16" x14ac:dyDescent="0.35">
      <c r="A1551">
        <v>2020</v>
      </c>
      <c r="B1551" s="6" t="s">
        <v>35</v>
      </c>
      <c r="J1551" s="13">
        <v>56635.93</v>
      </c>
      <c r="K1551" s="5">
        <f t="shared" si="49"/>
        <v>60</v>
      </c>
      <c r="P1551" t="str">
        <f t="shared" si="50"/>
        <v>60K</v>
      </c>
    </row>
    <row r="1552" spans="1:16" x14ac:dyDescent="0.35">
      <c r="A1552">
        <v>2022</v>
      </c>
      <c r="B1552" s="7" t="s">
        <v>10</v>
      </c>
      <c r="J1552" s="12">
        <v>54949.03</v>
      </c>
      <c r="K1552" s="5">
        <f t="shared" si="49"/>
        <v>50</v>
      </c>
      <c r="P1552" t="str">
        <f t="shared" si="50"/>
        <v>50K</v>
      </c>
    </row>
    <row r="1553" spans="1:16" x14ac:dyDescent="0.35">
      <c r="A1553">
        <v>2018</v>
      </c>
      <c r="B1553" s="6" t="s">
        <v>25</v>
      </c>
      <c r="J1553" s="13">
        <v>32744.33</v>
      </c>
      <c r="K1553" s="5">
        <f t="shared" si="49"/>
        <v>30</v>
      </c>
      <c r="P1553" t="str">
        <f t="shared" si="50"/>
        <v>30K</v>
      </c>
    </row>
    <row r="1554" spans="1:16" x14ac:dyDescent="0.35">
      <c r="A1554">
        <v>2002</v>
      </c>
      <c r="B1554" s="7" t="s">
        <v>23</v>
      </c>
      <c r="J1554" s="12">
        <v>61508.19</v>
      </c>
      <c r="K1554" s="5">
        <f t="shared" si="49"/>
        <v>60</v>
      </c>
      <c r="P1554" t="str">
        <f t="shared" si="50"/>
        <v>60K</v>
      </c>
    </row>
    <row r="1555" spans="1:16" x14ac:dyDescent="0.35">
      <c r="A1555">
        <v>2009</v>
      </c>
      <c r="B1555" s="6" t="s">
        <v>23</v>
      </c>
      <c r="J1555" s="13">
        <v>7611.82</v>
      </c>
      <c r="K1555" s="5">
        <f t="shared" si="49"/>
        <v>10</v>
      </c>
      <c r="P1555" t="str">
        <f t="shared" si="50"/>
        <v>10K</v>
      </c>
    </row>
    <row r="1556" spans="1:16" x14ac:dyDescent="0.35">
      <c r="A1556">
        <v>2001</v>
      </c>
      <c r="B1556" s="7" t="s">
        <v>35</v>
      </c>
      <c r="J1556" s="12">
        <v>11146.53</v>
      </c>
      <c r="K1556" s="5">
        <f t="shared" si="49"/>
        <v>10</v>
      </c>
      <c r="P1556" t="str">
        <f t="shared" si="50"/>
        <v>10K</v>
      </c>
    </row>
    <row r="1557" spans="1:16" x14ac:dyDescent="0.35">
      <c r="A1557">
        <v>2012</v>
      </c>
      <c r="B1557" s="6" t="s">
        <v>27</v>
      </c>
      <c r="J1557" s="13">
        <v>74717.66</v>
      </c>
      <c r="K1557" s="5">
        <f t="shared" si="49"/>
        <v>70</v>
      </c>
      <c r="P1557" t="str">
        <f t="shared" si="50"/>
        <v>70K</v>
      </c>
    </row>
    <row r="1558" spans="1:16" x14ac:dyDescent="0.35">
      <c r="A1558">
        <v>2018</v>
      </c>
      <c r="B1558" s="7" t="s">
        <v>10</v>
      </c>
      <c r="J1558" s="12">
        <v>35579.68</v>
      </c>
      <c r="K1558" s="5">
        <f t="shared" si="49"/>
        <v>40</v>
      </c>
      <c r="P1558" t="str">
        <f t="shared" si="50"/>
        <v>40K</v>
      </c>
    </row>
    <row r="1559" spans="1:16" x14ac:dyDescent="0.35">
      <c r="A1559">
        <v>2016</v>
      </c>
      <c r="B1559" s="6" t="s">
        <v>20</v>
      </c>
      <c r="J1559" s="13">
        <v>37961.870000000003</v>
      </c>
      <c r="K1559" s="5">
        <f t="shared" si="49"/>
        <v>40</v>
      </c>
      <c r="P1559" t="str">
        <f t="shared" si="50"/>
        <v>40K</v>
      </c>
    </row>
    <row r="1560" spans="1:16" x14ac:dyDescent="0.35">
      <c r="A1560">
        <v>2020</v>
      </c>
      <c r="B1560" s="7" t="s">
        <v>23</v>
      </c>
      <c r="J1560" s="12">
        <v>24796.59</v>
      </c>
      <c r="K1560" s="5">
        <f t="shared" si="49"/>
        <v>20</v>
      </c>
      <c r="P1560" t="str">
        <f t="shared" si="50"/>
        <v>20K</v>
      </c>
    </row>
    <row r="1561" spans="1:16" x14ac:dyDescent="0.35">
      <c r="A1561">
        <v>2013</v>
      </c>
      <c r="B1561" s="6" t="s">
        <v>29</v>
      </c>
      <c r="J1561" s="13">
        <v>47333.97</v>
      </c>
      <c r="K1561" s="5">
        <f t="shared" si="49"/>
        <v>50</v>
      </c>
      <c r="P1561" t="str">
        <f t="shared" si="50"/>
        <v>50K</v>
      </c>
    </row>
    <row r="1562" spans="1:16" x14ac:dyDescent="0.35">
      <c r="A1562">
        <v>2011</v>
      </c>
      <c r="B1562" s="7" t="s">
        <v>29</v>
      </c>
      <c r="J1562" s="12">
        <v>9939.3799999999992</v>
      </c>
      <c r="K1562" s="5">
        <f t="shared" si="49"/>
        <v>10</v>
      </c>
      <c r="P1562" t="str">
        <f t="shared" si="50"/>
        <v>10K</v>
      </c>
    </row>
    <row r="1563" spans="1:16" x14ac:dyDescent="0.35">
      <c r="A1563">
        <v>2020</v>
      </c>
      <c r="B1563" s="6" t="s">
        <v>23</v>
      </c>
      <c r="J1563" s="13">
        <v>33534.51</v>
      </c>
      <c r="K1563" s="5">
        <f t="shared" si="49"/>
        <v>30</v>
      </c>
      <c r="P1563" t="str">
        <f t="shared" si="50"/>
        <v>30K</v>
      </c>
    </row>
    <row r="1564" spans="1:16" x14ac:dyDescent="0.35">
      <c r="A1564">
        <v>2011</v>
      </c>
      <c r="B1564" s="7" t="s">
        <v>27</v>
      </c>
      <c r="J1564" s="12">
        <v>55076.77</v>
      </c>
      <c r="K1564" s="5">
        <f t="shared" si="49"/>
        <v>60</v>
      </c>
      <c r="P1564" t="str">
        <f t="shared" si="50"/>
        <v>60K</v>
      </c>
    </row>
    <row r="1565" spans="1:16" x14ac:dyDescent="0.35">
      <c r="A1565">
        <v>2010</v>
      </c>
      <c r="B1565" s="6" t="s">
        <v>27</v>
      </c>
      <c r="J1565" s="13">
        <v>49235.03</v>
      </c>
      <c r="K1565" s="5">
        <f t="shared" si="49"/>
        <v>50</v>
      </c>
      <c r="P1565" t="str">
        <f t="shared" si="50"/>
        <v>50K</v>
      </c>
    </row>
    <row r="1566" spans="1:16" x14ac:dyDescent="0.35">
      <c r="A1566">
        <v>2006</v>
      </c>
      <c r="B1566" s="7" t="s">
        <v>25</v>
      </c>
      <c r="J1566" s="12">
        <v>99968.62</v>
      </c>
      <c r="K1566" s="5">
        <f t="shared" si="49"/>
        <v>100</v>
      </c>
      <c r="P1566" t="str">
        <f t="shared" si="50"/>
        <v>100K</v>
      </c>
    </row>
    <row r="1567" spans="1:16" x14ac:dyDescent="0.35">
      <c r="A1567">
        <v>2003</v>
      </c>
      <c r="B1567" s="6" t="s">
        <v>29</v>
      </c>
      <c r="J1567" s="13">
        <v>41932.639999999999</v>
      </c>
      <c r="K1567" s="5">
        <f t="shared" si="49"/>
        <v>40</v>
      </c>
      <c r="P1567" t="str">
        <f t="shared" si="50"/>
        <v>40K</v>
      </c>
    </row>
    <row r="1568" spans="1:16" x14ac:dyDescent="0.35">
      <c r="A1568">
        <v>2018</v>
      </c>
      <c r="B1568" s="7" t="s">
        <v>25</v>
      </c>
      <c r="J1568" s="12">
        <v>41764.910000000003</v>
      </c>
      <c r="K1568" s="5">
        <f t="shared" si="49"/>
        <v>40</v>
      </c>
      <c r="P1568" t="str">
        <f t="shared" si="50"/>
        <v>40K</v>
      </c>
    </row>
    <row r="1569" spans="1:16" x14ac:dyDescent="0.35">
      <c r="A1569">
        <v>2000</v>
      </c>
      <c r="B1569" s="6" t="s">
        <v>29</v>
      </c>
      <c r="J1569" s="13">
        <v>52840.27</v>
      </c>
      <c r="K1569" s="5">
        <f t="shared" si="49"/>
        <v>50</v>
      </c>
      <c r="P1569" t="str">
        <f t="shared" si="50"/>
        <v>50K</v>
      </c>
    </row>
    <row r="1570" spans="1:16" x14ac:dyDescent="0.35">
      <c r="A1570">
        <v>2023</v>
      </c>
      <c r="B1570" s="7" t="s">
        <v>10</v>
      </c>
      <c r="J1570" s="12">
        <v>23078.799999999999</v>
      </c>
      <c r="K1570" s="5">
        <f t="shared" si="49"/>
        <v>20</v>
      </c>
      <c r="P1570" t="str">
        <f t="shared" si="50"/>
        <v>20K</v>
      </c>
    </row>
    <row r="1571" spans="1:16" x14ac:dyDescent="0.35">
      <c r="A1571">
        <v>2002</v>
      </c>
      <c r="B1571" s="6" t="s">
        <v>10</v>
      </c>
      <c r="J1571" s="13">
        <v>88248.92</v>
      </c>
      <c r="K1571" s="5">
        <f t="shared" si="49"/>
        <v>90</v>
      </c>
      <c r="P1571" t="str">
        <f t="shared" si="50"/>
        <v>90K</v>
      </c>
    </row>
    <row r="1572" spans="1:16" x14ac:dyDescent="0.35">
      <c r="A1572">
        <v>2012</v>
      </c>
      <c r="B1572" s="7" t="s">
        <v>20</v>
      </c>
      <c r="J1572" s="12">
        <v>59365.440000000002</v>
      </c>
      <c r="K1572" s="5">
        <f t="shared" si="49"/>
        <v>60</v>
      </c>
      <c r="P1572" t="str">
        <f t="shared" si="50"/>
        <v>60K</v>
      </c>
    </row>
    <row r="1573" spans="1:16" x14ac:dyDescent="0.35">
      <c r="A1573">
        <v>2014</v>
      </c>
      <c r="B1573" s="6" t="s">
        <v>10</v>
      </c>
      <c r="J1573" s="13">
        <v>23250.23</v>
      </c>
      <c r="K1573" s="5">
        <f t="shared" si="49"/>
        <v>20</v>
      </c>
      <c r="P1573" t="str">
        <f t="shared" si="50"/>
        <v>20K</v>
      </c>
    </row>
    <row r="1574" spans="1:16" x14ac:dyDescent="0.35">
      <c r="A1574">
        <v>2001</v>
      </c>
      <c r="B1574" s="7" t="s">
        <v>20</v>
      </c>
      <c r="J1574" s="12">
        <v>80376.95</v>
      </c>
      <c r="K1574" s="5">
        <f t="shared" si="49"/>
        <v>80</v>
      </c>
      <c r="P1574" t="str">
        <f t="shared" si="50"/>
        <v>80K</v>
      </c>
    </row>
    <row r="1575" spans="1:16" x14ac:dyDescent="0.35">
      <c r="A1575">
        <v>2010</v>
      </c>
      <c r="B1575" s="6" t="s">
        <v>10</v>
      </c>
      <c r="J1575" s="13">
        <v>8261.56</v>
      </c>
      <c r="K1575" s="5">
        <f t="shared" si="49"/>
        <v>10</v>
      </c>
      <c r="P1575" t="str">
        <f t="shared" si="50"/>
        <v>10K</v>
      </c>
    </row>
    <row r="1576" spans="1:16" x14ac:dyDescent="0.35">
      <c r="A1576">
        <v>2003</v>
      </c>
      <c r="B1576" s="7" t="s">
        <v>35</v>
      </c>
      <c r="J1576" s="12">
        <v>98343.6</v>
      </c>
      <c r="K1576" s="5">
        <f t="shared" si="49"/>
        <v>100</v>
      </c>
      <c r="P1576" t="str">
        <f t="shared" si="50"/>
        <v>100K</v>
      </c>
    </row>
    <row r="1577" spans="1:16" x14ac:dyDescent="0.35">
      <c r="A1577">
        <v>2018</v>
      </c>
      <c r="B1577" s="6" t="s">
        <v>10</v>
      </c>
      <c r="J1577" s="13">
        <v>87189.19</v>
      </c>
      <c r="K1577" s="5">
        <f t="shared" si="49"/>
        <v>90</v>
      </c>
      <c r="P1577" t="str">
        <f t="shared" si="50"/>
        <v>90K</v>
      </c>
    </row>
    <row r="1578" spans="1:16" x14ac:dyDescent="0.35">
      <c r="A1578">
        <v>2016</v>
      </c>
      <c r="B1578" s="7" t="s">
        <v>25</v>
      </c>
      <c r="J1578" s="12">
        <v>60065.75</v>
      </c>
      <c r="K1578" s="5">
        <f t="shared" si="49"/>
        <v>60</v>
      </c>
      <c r="P1578" t="str">
        <f t="shared" si="50"/>
        <v>60K</v>
      </c>
    </row>
    <row r="1579" spans="1:16" x14ac:dyDescent="0.35">
      <c r="A1579">
        <v>2002</v>
      </c>
      <c r="B1579" s="6" t="s">
        <v>23</v>
      </c>
      <c r="J1579" s="13">
        <v>15573.09</v>
      </c>
      <c r="K1579" s="5">
        <f t="shared" si="49"/>
        <v>20</v>
      </c>
      <c r="P1579" t="str">
        <f t="shared" si="50"/>
        <v>20K</v>
      </c>
    </row>
    <row r="1580" spans="1:16" x14ac:dyDescent="0.35">
      <c r="A1580">
        <v>2017</v>
      </c>
      <c r="B1580" s="7" t="s">
        <v>25</v>
      </c>
      <c r="J1580" s="12">
        <v>25450.91</v>
      </c>
      <c r="K1580" s="5">
        <f t="shared" si="49"/>
        <v>30</v>
      </c>
      <c r="P1580" t="str">
        <f t="shared" si="50"/>
        <v>30K</v>
      </c>
    </row>
    <row r="1581" spans="1:16" x14ac:dyDescent="0.35">
      <c r="A1581">
        <v>2007</v>
      </c>
      <c r="B1581" s="6" t="s">
        <v>23</v>
      </c>
      <c r="J1581" s="13">
        <v>31546.34</v>
      </c>
      <c r="K1581" s="5">
        <f t="shared" si="49"/>
        <v>30</v>
      </c>
      <c r="P1581" t="str">
        <f t="shared" si="50"/>
        <v>30K</v>
      </c>
    </row>
    <row r="1582" spans="1:16" x14ac:dyDescent="0.35">
      <c r="A1582">
        <v>2021</v>
      </c>
      <c r="B1582" s="7" t="s">
        <v>27</v>
      </c>
      <c r="J1582" s="12">
        <v>27898.02</v>
      </c>
      <c r="K1582" s="5">
        <f t="shared" si="49"/>
        <v>30</v>
      </c>
      <c r="P1582" t="str">
        <f t="shared" si="50"/>
        <v>30K</v>
      </c>
    </row>
    <row r="1583" spans="1:16" x14ac:dyDescent="0.35">
      <c r="A1583">
        <v>2023</v>
      </c>
      <c r="B1583" s="6" t="s">
        <v>25</v>
      </c>
      <c r="J1583" s="13">
        <v>52264.4</v>
      </c>
      <c r="K1583" s="5">
        <f t="shared" si="49"/>
        <v>50</v>
      </c>
      <c r="P1583" t="str">
        <f t="shared" si="50"/>
        <v>50K</v>
      </c>
    </row>
    <row r="1584" spans="1:16" x14ac:dyDescent="0.35">
      <c r="A1584">
        <v>2018</v>
      </c>
      <c r="B1584" s="7" t="s">
        <v>27</v>
      </c>
      <c r="J1584" s="12">
        <v>94733.24</v>
      </c>
      <c r="K1584" s="5">
        <f t="shared" si="49"/>
        <v>90</v>
      </c>
      <c r="P1584" t="str">
        <f t="shared" si="50"/>
        <v>90K</v>
      </c>
    </row>
    <row r="1585" spans="1:16" x14ac:dyDescent="0.35">
      <c r="A1585">
        <v>2004</v>
      </c>
      <c r="B1585" s="6" t="s">
        <v>20</v>
      </c>
      <c r="J1585" s="13">
        <v>47196.4</v>
      </c>
      <c r="K1585" s="5">
        <f t="shared" si="49"/>
        <v>50</v>
      </c>
      <c r="P1585" t="str">
        <f t="shared" si="50"/>
        <v>50K</v>
      </c>
    </row>
    <row r="1586" spans="1:16" x14ac:dyDescent="0.35">
      <c r="A1586">
        <v>2006</v>
      </c>
      <c r="B1586" s="7" t="s">
        <v>20</v>
      </c>
      <c r="J1586" s="12">
        <v>67848.63</v>
      </c>
      <c r="K1586" s="5">
        <f t="shared" si="49"/>
        <v>70</v>
      </c>
      <c r="P1586" t="str">
        <f t="shared" si="50"/>
        <v>70K</v>
      </c>
    </row>
    <row r="1587" spans="1:16" x14ac:dyDescent="0.35">
      <c r="A1587">
        <v>2020</v>
      </c>
      <c r="B1587" s="6" t="s">
        <v>35</v>
      </c>
      <c r="J1587" s="13">
        <v>70415.399999999994</v>
      </c>
      <c r="K1587" s="5">
        <f t="shared" si="49"/>
        <v>70</v>
      </c>
      <c r="P1587" t="str">
        <f t="shared" si="50"/>
        <v>70K</v>
      </c>
    </row>
    <row r="1588" spans="1:16" x14ac:dyDescent="0.35">
      <c r="A1588">
        <v>2007</v>
      </c>
      <c r="B1588" s="7" t="s">
        <v>10</v>
      </c>
      <c r="J1588" s="12">
        <v>87800.17</v>
      </c>
      <c r="K1588" s="5">
        <f t="shared" si="49"/>
        <v>90</v>
      </c>
      <c r="P1588" t="str">
        <f t="shared" si="50"/>
        <v>90K</v>
      </c>
    </row>
    <row r="1589" spans="1:16" x14ac:dyDescent="0.35">
      <c r="A1589">
        <v>2004</v>
      </c>
      <c r="B1589" s="6" t="s">
        <v>25</v>
      </c>
      <c r="J1589" s="13">
        <v>8213.02</v>
      </c>
      <c r="K1589" s="5">
        <f t="shared" si="49"/>
        <v>10</v>
      </c>
      <c r="P1589" t="str">
        <f t="shared" si="50"/>
        <v>10K</v>
      </c>
    </row>
    <row r="1590" spans="1:16" x14ac:dyDescent="0.35">
      <c r="A1590">
        <v>2016</v>
      </c>
      <c r="B1590" s="7" t="s">
        <v>27</v>
      </c>
      <c r="J1590" s="12">
        <v>43411.360000000001</v>
      </c>
      <c r="K1590" s="5">
        <f t="shared" si="49"/>
        <v>40</v>
      </c>
      <c r="P1590" t="str">
        <f t="shared" si="50"/>
        <v>40K</v>
      </c>
    </row>
    <row r="1591" spans="1:16" x14ac:dyDescent="0.35">
      <c r="A1591">
        <v>2004</v>
      </c>
      <c r="B1591" s="6" t="s">
        <v>23</v>
      </c>
      <c r="J1591" s="13">
        <v>79549.84</v>
      </c>
      <c r="K1591" s="5">
        <f t="shared" si="49"/>
        <v>80</v>
      </c>
      <c r="P1591" t="str">
        <f t="shared" si="50"/>
        <v>80K</v>
      </c>
    </row>
    <row r="1592" spans="1:16" x14ac:dyDescent="0.35">
      <c r="A1592">
        <v>2003</v>
      </c>
      <c r="B1592" s="7" t="s">
        <v>20</v>
      </c>
      <c r="J1592" s="12">
        <v>82412.37</v>
      </c>
      <c r="K1592" s="5">
        <f t="shared" si="49"/>
        <v>80</v>
      </c>
      <c r="P1592" t="str">
        <f t="shared" si="50"/>
        <v>80K</v>
      </c>
    </row>
    <row r="1593" spans="1:16" x14ac:dyDescent="0.35">
      <c r="A1593">
        <v>2021</v>
      </c>
      <c r="B1593" s="6" t="s">
        <v>10</v>
      </c>
      <c r="J1593" s="13">
        <v>93096.6</v>
      </c>
      <c r="K1593" s="5">
        <f t="shared" si="49"/>
        <v>90</v>
      </c>
      <c r="P1593" t="str">
        <f t="shared" si="50"/>
        <v>90K</v>
      </c>
    </row>
    <row r="1594" spans="1:16" x14ac:dyDescent="0.35">
      <c r="A1594">
        <v>2018</v>
      </c>
      <c r="B1594" s="7" t="s">
        <v>20</v>
      </c>
      <c r="J1594" s="12">
        <v>71765.460000000006</v>
      </c>
      <c r="K1594" s="5">
        <f t="shared" si="49"/>
        <v>70</v>
      </c>
      <c r="P1594" t="str">
        <f t="shared" si="50"/>
        <v>70K</v>
      </c>
    </row>
    <row r="1595" spans="1:16" x14ac:dyDescent="0.35">
      <c r="A1595">
        <v>2020</v>
      </c>
      <c r="B1595" s="6" t="s">
        <v>23</v>
      </c>
      <c r="J1595" s="13">
        <v>28289.62</v>
      </c>
      <c r="K1595" s="5">
        <f t="shared" si="49"/>
        <v>30</v>
      </c>
      <c r="P1595" t="str">
        <f t="shared" si="50"/>
        <v>30K</v>
      </c>
    </row>
    <row r="1596" spans="1:16" x14ac:dyDescent="0.35">
      <c r="A1596">
        <v>2001</v>
      </c>
      <c r="B1596" s="7" t="s">
        <v>10</v>
      </c>
      <c r="J1596" s="12">
        <v>53038.25</v>
      </c>
      <c r="K1596" s="5">
        <f t="shared" si="49"/>
        <v>50</v>
      </c>
      <c r="P1596" t="str">
        <f t="shared" si="50"/>
        <v>50K</v>
      </c>
    </row>
    <row r="1597" spans="1:16" x14ac:dyDescent="0.35">
      <c r="A1597">
        <v>2010</v>
      </c>
      <c r="B1597" s="6" t="s">
        <v>10</v>
      </c>
      <c r="J1597" s="13">
        <v>8072.8</v>
      </c>
      <c r="K1597" s="5">
        <f t="shared" si="49"/>
        <v>10</v>
      </c>
      <c r="P1597" t="str">
        <f t="shared" si="50"/>
        <v>10K</v>
      </c>
    </row>
    <row r="1598" spans="1:16" x14ac:dyDescent="0.35">
      <c r="A1598">
        <v>2021</v>
      </c>
      <c r="B1598" s="7" t="s">
        <v>27</v>
      </c>
      <c r="J1598" s="12">
        <v>66458.19</v>
      </c>
      <c r="K1598" s="5">
        <f t="shared" si="49"/>
        <v>70</v>
      </c>
      <c r="P1598" t="str">
        <f t="shared" si="50"/>
        <v>70K</v>
      </c>
    </row>
    <row r="1599" spans="1:16" x14ac:dyDescent="0.35">
      <c r="A1599">
        <v>2012</v>
      </c>
      <c r="B1599" s="6" t="s">
        <v>27</v>
      </c>
      <c r="J1599" s="13">
        <v>57658.05</v>
      </c>
      <c r="K1599" s="5">
        <f t="shared" si="49"/>
        <v>60</v>
      </c>
      <c r="P1599" t="str">
        <f t="shared" si="50"/>
        <v>60K</v>
      </c>
    </row>
    <row r="1600" spans="1:16" x14ac:dyDescent="0.35">
      <c r="A1600">
        <v>2014</v>
      </c>
      <c r="B1600" s="7" t="s">
        <v>25</v>
      </c>
      <c r="J1600" s="12">
        <v>68349.45</v>
      </c>
      <c r="K1600" s="5">
        <f t="shared" si="49"/>
        <v>70</v>
      </c>
      <c r="P1600" t="str">
        <f t="shared" si="50"/>
        <v>70K</v>
      </c>
    </row>
    <row r="1601" spans="1:16" x14ac:dyDescent="0.35">
      <c r="A1601">
        <v>2011</v>
      </c>
      <c r="B1601" s="6" t="s">
        <v>25</v>
      </c>
      <c r="J1601" s="13">
        <v>93363.35</v>
      </c>
      <c r="K1601" s="5">
        <f t="shared" si="49"/>
        <v>90</v>
      </c>
      <c r="P1601" t="str">
        <f t="shared" si="50"/>
        <v>90K</v>
      </c>
    </row>
    <row r="1602" spans="1:16" x14ac:dyDescent="0.35">
      <c r="A1602">
        <v>2021</v>
      </c>
      <c r="B1602" s="7" t="s">
        <v>29</v>
      </c>
      <c r="J1602" s="12">
        <v>70291.28</v>
      </c>
      <c r="K1602" s="5">
        <f t="shared" si="49"/>
        <v>70</v>
      </c>
      <c r="P1602" t="str">
        <f t="shared" si="50"/>
        <v>70K</v>
      </c>
    </row>
    <row r="1603" spans="1:16" x14ac:dyDescent="0.35">
      <c r="A1603">
        <v>2020</v>
      </c>
      <c r="B1603" s="6" t="s">
        <v>29</v>
      </c>
      <c r="J1603" s="13">
        <v>35442.74</v>
      </c>
      <c r="K1603" s="5">
        <f t="shared" ref="K1603:K1666" si="51">ROUND(J1603/10000,0)*10</f>
        <v>40</v>
      </c>
      <c r="P1603" t="str">
        <f t="shared" ref="P1603:P1666" si="52">TEXT(ROUND(J1603/10000,0)*10,"0") &amp; "K"</f>
        <v>40K</v>
      </c>
    </row>
    <row r="1604" spans="1:16" x14ac:dyDescent="0.35">
      <c r="A1604">
        <v>2021</v>
      </c>
      <c r="B1604" s="7" t="s">
        <v>35</v>
      </c>
      <c r="J1604" s="12">
        <v>23879.98</v>
      </c>
      <c r="K1604" s="5">
        <f t="shared" si="51"/>
        <v>20</v>
      </c>
      <c r="P1604" t="str">
        <f t="shared" si="52"/>
        <v>20K</v>
      </c>
    </row>
    <row r="1605" spans="1:16" x14ac:dyDescent="0.35">
      <c r="A1605">
        <v>2010</v>
      </c>
      <c r="B1605" s="6" t="s">
        <v>20</v>
      </c>
      <c r="J1605" s="13">
        <v>86190.44</v>
      </c>
      <c r="K1605" s="5">
        <f t="shared" si="51"/>
        <v>90</v>
      </c>
      <c r="P1605" t="str">
        <f t="shared" si="52"/>
        <v>90K</v>
      </c>
    </row>
    <row r="1606" spans="1:16" x14ac:dyDescent="0.35">
      <c r="A1606">
        <v>2006</v>
      </c>
      <c r="B1606" s="7" t="s">
        <v>25</v>
      </c>
      <c r="J1606" s="12">
        <v>23461.55</v>
      </c>
      <c r="K1606" s="5">
        <f t="shared" si="51"/>
        <v>20</v>
      </c>
      <c r="P1606" t="str">
        <f t="shared" si="52"/>
        <v>20K</v>
      </c>
    </row>
    <row r="1607" spans="1:16" x14ac:dyDescent="0.35">
      <c r="A1607">
        <v>2004</v>
      </c>
      <c r="B1607" s="6" t="s">
        <v>27</v>
      </c>
      <c r="J1607" s="13">
        <v>20352.91</v>
      </c>
      <c r="K1607" s="5">
        <f t="shared" si="51"/>
        <v>20</v>
      </c>
      <c r="P1607" t="str">
        <f t="shared" si="52"/>
        <v>20K</v>
      </c>
    </row>
    <row r="1608" spans="1:16" x14ac:dyDescent="0.35">
      <c r="A1608">
        <v>2016</v>
      </c>
      <c r="B1608" s="7" t="s">
        <v>23</v>
      </c>
      <c r="J1608" s="12">
        <v>24628.15</v>
      </c>
      <c r="K1608" s="5">
        <f t="shared" si="51"/>
        <v>20</v>
      </c>
      <c r="P1608" t="str">
        <f t="shared" si="52"/>
        <v>20K</v>
      </c>
    </row>
    <row r="1609" spans="1:16" x14ac:dyDescent="0.35">
      <c r="A1609">
        <v>2023</v>
      </c>
      <c r="B1609" s="6" t="s">
        <v>27</v>
      </c>
      <c r="J1609" s="13">
        <v>53339.88</v>
      </c>
      <c r="K1609" s="5">
        <f t="shared" si="51"/>
        <v>50</v>
      </c>
      <c r="P1609" t="str">
        <f t="shared" si="52"/>
        <v>50K</v>
      </c>
    </row>
    <row r="1610" spans="1:16" x14ac:dyDescent="0.35">
      <c r="A1610">
        <v>2019</v>
      </c>
      <c r="B1610" s="7" t="s">
        <v>20</v>
      </c>
      <c r="J1610" s="12">
        <v>16797.810000000001</v>
      </c>
      <c r="K1610" s="5">
        <f t="shared" si="51"/>
        <v>20</v>
      </c>
      <c r="P1610" t="str">
        <f t="shared" si="52"/>
        <v>20K</v>
      </c>
    </row>
    <row r="1611" spans="1:16" x14ac:dyDescent="0.35">
      <c r="A1611">
        <v>2008</v>
      </c>
      <c r="B1611" s="6" t="s">
        <v>29</v>
      </c>
      <c r="J1611" s="13">
        <v>94121.24</v>
      </c>
      <c r="K1611" s="5">
        <f t="shared" si="51"/>
        <v>90</v>
      </c>
      <c r="P1611" t="str">
        <f t="shared" si="52"/>
        <v>90K</v>
      </c>
    </row>
    <row r="1612" spans="1:16" x14ac:dyDescent="0.35">
      <c r="A1612">
        <v>2013</v>
      </c>
      <c r="B1612" s="7" t="s">
        <v>27</v>
      </c>
      <c r="J1612" s="12">
        <v>96794.1</v>
      </c>
      <c r="K1612" s="5">
        <f t="shared" si="51"/>
        <v>100</v>
      </c>
      <c r="P1612" t="str">
        <f t="shared" si="52"/>
        <v>100K</v>
      </c>
    </row>
    <row r="1613" spans="1:16" x14ac:dyDescent="0.35">
      <c r="A1613">
        <v>2011</v>
      </c>
      <c r="B1613" s="6" t="s">
        <v>35</v>
      </c>
      <c r="J1613" s="13">
        <v>97511.18</v>
      </c>
      <c r="K1613" s="5">
        <f t="shared" si="51"/>
        <v>100</v>
      </c>
      <c r="P1613" t="str">
        <f t="shared" si="52"/>
        <v>100K</v>
      </c>
    </row>
    <row r="1614" spans="1:16" x14ac:dyDescent="0.35">
      <c r="A1614">
        <v>2005</v>
      </c>
      <c r="B1614" s="7" t="s">
        <v>20</v>
      </c>
      <c r="J1614" s="12">
        <v>8716.86</v>
      </c>
      <c r="K1614" s="5">
        <f t="shared" si="51"/>
        <v>10</v>
      </c>
      <c r="P1614" t="str">
        <f t="shared" si="52"/>
        <v>10K</v>
      </c>
    </row>
    <row r="1615" spans="1:16" x14ac:dyDescent="0.35">
      <c r="A1615">
        <v>2016</v>
      </c>
      <c r="B1615" s="6" t="s">
        <v>29</v>
      </c>
      <c r="J1615" s="13">
        <v>94888.77</v>
      </c>
      <c r="K1615" s="5">
        <f t="shared" si="51"/>
        <v>90</v>
      </c>
      <c r="P1615" t="str">
        <f t="shared" si="52"/>
        <v>90K</v>
      </c>
    </row>
    <row r="1616" spans="1:16" x14ac:dyDescent="0.35">
      <c r="A1616">
        <v>2018</v>
      </c>
      <c r="B1616" s="7" t="s">
        <v>23</v>
      </c>
      <c r="J1616" s="12">
        <v>99754.42</v>
      </c>
      <c r="K1616" s="5">
        <f t="shared" si="51"/>
        <v>100</v>
      </c>
      <c r="P1616" t="str">
        <f t="shared" si="52"/>
        <v>100K</v>
      </c>
    </row>
    <row r="1617" spans="1:16" x14ac:dyDescent="0.35">
      <c r="A1617">
        <v>2018</v>
      </c>
      <c r="B1617" s="6" t="s">
        <v>29</v>
      </c>
      <c r="J1617" s="13">
        <v>94530.77</v>
      </c>
      <c r="K1617" s="5">
        <f t="shared" si="51"/>
        <v>90</v>
      </c>
      <c r="P1617" t="str">
        <f t="shared" si="52"/>
        <v>90K</v>
      </c>
    </row>
    <row r="1618" spans="1:16" x14ac:dyDescent="0.35">
      <c r="A1618">
        <v>2015</v>
      </c>
      <c r="B1618" s="7" t="s">
        <v>10</v>
      </c>
      <c r="J1618" s="12">
        <v>68739.199999999997</v>
      </c>
      <c r="K1618" s="5">
        <f t="shared" si="51"/>
        <v>70</v>
      </c>
      <c r="P1618" t="str">
        <f t="shared" si="52"/>
        <v>70K</v>
      </c>
    </row>
    <row r="1619" spans="1:16" x14ac:dyDescent="0.35">
      <c r="A1619">
        <v>2011</v>
      </c>
      <c r="B1619" s="6" t="s">
        <v>35</v>
      </c>
      <c r="J1619" s="13">
        <v>71616.86</v>
      </c>
      <c r="K1619" s="5">
        <f t="shared" si="51"/>
        <v>70</v>
      </c>
      <c r="P1619" t="str">
        <f t="shared" si="52"/>
        <v>70K</v>
      </c>
    </row>
    <row r="1620" spans="1:16" x14ac:dyDescent="0.35">
      <c r="A1620">
        <v>2011</v>
      </c>
      <c r="B1620" s="7" t="s">
        <v>20</v>
      </c>
      <c r="J1620" s="12">
        <v>16614.03</v>
      </c>
      <c r="K1620" s="5">
        <f t="shared" si="51"/>
        <v>20</v>
      </c>
      <c r="P1620" t="str">
        <f t="shared" si="52"/>
        <v>20K</v>
      </c>
    </row>
    <row r="1621" spans="1:16" x14ac:dyDescent="0.35">
      <c r="A1621">
        <v>2019</v>
      </c>
      <c r="B1621" s="6" t="s">
        <v>23</v>
      </c>
      <c r="J1621" s="13">
        <v>88058.22</v>
      </c>
      <c r="K1621" s="5">
        <f t="shared" si="51"/>
        <v>90</v>
      </c>
      <c r="P1621" t="str">
        <f t="shared" si="52"/>
        <v>90K</v>
      </c>
    </row>
    <row r="1622" spans="1:16" x14ac:dyDescent="0.35">
      <c r="A1622">
        <v>2005</v>
      </c>
      <c r="B1622" s="7" t="s">
        <v>35</v>
      </c>
      <c r="J1622" s="12">
        <v>10665.76</v>
      </c>
      <c r="K1622" s="5">
        <f t="shared" si="51"/>
        <v>10</v>
      </c>
      <c r="P1622" t="str">
        <f t="shared" si="52"/>
        <v>10K</v>
      </c>
    </row>
    <row r="1623" spans="1:16" x14ac:dyDescent="0.35">
      <c r="A1623">
        <v>2022</v>
      </c>
      <c r="B1623" s="6" t="s">
        <v>29</v>
      </c>
      <c r="J1623" s="13">
        <v>35184.400000000001</v>
      </c>
      <c r="K1623" s="5">
        <f t="shared" si="51"/>
        <v>40</v>
      </c>
      <c r="P1623" t="str">
        <f t="shared" si="52"/>
        <v>40K</v>
      </c>
    </row>
    <row r="1624" spans="1:16" x14ac:dyDescent="0.35">
      <c r="A1624">
        <v>2003</v>
      </c>
      <c r="B1624" s="7" t="s">
        <v>35</v>
      </c>
      <c r="J1624" s="12">
        <v>99159.41</v>
      </c>
      <c r="K1624" s="5">
        <f t="shared" si="51"/>
        <v>100</v>
      </c>
      <c r="P1624" t="str">
        <f t="shared" si="52"/>
        <v>100K</v>
      </c>
    </row>
    <row r="1625" spans="1:16" x14ac:dyDescent="0.35">
      <c r="A1625">
        <v>2005</v>
      </c>
      <c r="B1625" s="6" t="s">
        <v>20</v>
      </c>
      <c r="J1625" s="13">
        <v>45121.15</v>
      </c>
      <c r="K1625" s="5">
        <f t="shared" si="51"/>
        <v>50</v>
      </c>
      <c r="P1625" t="str">
        <f t="shared" si="52"/>
        <v>50K</v>
      </c>
    </row>
    <row r="1626" spans="1:16" x14ac:dyDescent="0.35">
      <c r="A1626">
        <v>2010</v>
      </c>
      <c r="B1626" s="7" t="s">
        <v>25</v>
      </c>
      <c r="J1626" s="12">
        <v>17459.84</v>
      </c>
      <c r="K1626" s="5">
        <f t="shared" si="51"/>
        <v>20</v>
      </c>
      <c r="P1626" t="str">
        <f t="shared" si="52"/>
        <v>20K</v>
      </c>
    </row>
    <row r="1627" spans="1:16" x14ac:dyDescent="0.35">
      <c r="A1627">
        <v>2000</v>
      </c>
      <c r="B1627" s="6" t="s">
        <v>35</v>
      </c>
      <c r="J1627" s="13">
        <v>97082.99</v>
      </c>
      <c r="K1627" s="5">
        <f t="shared" si="51"/>
        <v>100</v>
      </c>
      <c r="P1627" t="str">
        <f t="shared" si="52"/>
        <v>100K</v>
      </c>
    </row>
    <row r="1628" spans="1:16" x14ac:dyDescent="0.35">
      <c r="A1628">
        <v>2023</v>
      </c>
      <c r="B1628" s="7" t="s">
        <v>10</v>
      </c>
      <c r="J1628" s="12">
        <v>98493.27</v>
      </c>
      <c r="K1628" s="5">
        <f t="shared" si="51"/>
        <v>100</v>
      </c>
      <c r="P1628" t="str">
        <f t="shared" si="52"/>
        <v>100K</v>
      </c>
    </row>
    <row r="1629" spans="1:16" x14ac:dyDescent="0.35">
      <c r="A1629">
        <v>2022</v>
      </c>
      <c r="B1629" s="6" t="s">
        <v>35</v>
      </c>
      <c r="J1629" s="13">
        <v>22769.06</v>
      </c>
      <c r="K1629" s="5">
        <f t="shared" si="51"/>
        <v>20</v>
      </c>
      <c r="P1629" t="str">
        <f t="shared" si="52"/>
        <v>20K</v>
      </c>
    </row>
    <row r="1630" spans="1:16" x14ac:dyDescent="0.35">
      <c r="A1630">
        <v>2014</v>
      </c>
      <c r="B1630" s="7" t="s">
        <v>29</v>
      </c>
      <c r="J1630" s="12">
        <v>87156.36</v>
      </c>
      <c r="K1630" s="5">
        <f t="shared" si="51"/>
        <v>90</v>
      </c>
      <c r="P1630" t="str">
        <f t="shared" si="52"/>
        <v>90K</v>
      </c>
    </row>
    <row r="1631" spans="1:16" x14ac:dyDescent="0.35">
      <c r="A1631">
        <v>2010</v>
      </c>
      <c r="B1631" s="6" t="s">
        <v>29</v>
      </c>
      <c r="J1631" s="13">
        <v>42090.22</v>
      </c>
      <c r="K1631" s="5">
        <f t="shared" si="51"/>
        <v>40</v>
      </c>
      <c r="P1631" t="str">
        <f t="shared" si="52"/>
        <v>40K</v>
      </c>
    </row>
    <row r="1632" spans="1:16" x14ac:dyDescent="0.35">
      <c r="A1632">
        <v>2018</v>
      </c>
      <c r="B1632" s="7" t="s">
        <v>23</v>
      </c>
      <c r="J1632" s="12">
        <v>41230</v>
      </c>
      <c r="K1632" s="5">
        <f t="shared" si="51"/>
        <v>40</v>
      </c>
      <c r="P1632" t="str">
        <f t="shared" si="52"/>
        <v>40K</v>
      </c>
    </row>
    <row r="1633" spans="1:16" x14ac:dyDescent="0.35">
      <c r="A1633">
        <v>2017</v>
      </c>
      <c r="B1633" s="6" t="s">
        <v>29</v>
      </c>
      <c r="J1633" s="13">
        <v>29956.28</v>
      </c>
      <c r="K1633" s="5">
        <f t="shared" si="51"/>
        <v>30</v>
      </c>
      <c r="P1633" t="str">
        <f t="shared" si="52"/>
        <v>30K</v>
      </c>
    </row>
    <row r="1634" spans="1:16" x14ac:dyDescent="0.35">
      <c r="A1634">
        <v>2016</v>
      </c>
      <c r="B1634" s="7" t="s">
        <v>27</v>
      </c>
      <c r="J1634" s="12">
        <v>9247.48</v>
      </c>
      <c r="K1634" s="5">
        <f t="shared" si="51"/>
        <v>10</v>
      </c>
      <c r="P1634" t="str">
        <f t="shared" si="52"/>
        <v>10K</v>
      </c>
    </row>
    <row r="1635" spans="1:16" x14ac:dyDescent="0.35">
      <c r="A1635">
        <v>2018</v>
      </c>
      <c r="B1635" s="6" t="s">
        <v>20</v>
      </c>
      <c r="J1635" s="13">
        <v>30460.85</v>
      </c>
      <c r="K1635" s="5">
        <f t="shared" si="51"/>
        <v>30</v>
      </c>
      <c r="P1635" t="str">
        <f t="shared" si="52"/>
        <v>30K</v>
      </c>
    </row>
    <row r="1636" spans="1:16" x14ac:dyDescent="0.35">
      <c r="A1636">
        <v>2020</v>
      </c>
      <c r="B1636" s="7" t="s">
        <v>20</v>
      </c>
      <c r="J1636" s="12">
        <v>10108.81</v>
      </c>
      <c r="K1636" s="5">
        <f t="shared" si="51"/>
        <v>10</v>
      </c>
      <c r="P1636" t="str">
        <f t="shared" si="52"/>
        <v>10K</v>
      </c>
    </row>
    <row r="1637" spans="1:16" x14ac:dyDescent="0.35">
      <c r="A1637">
        <v>2013</v>
      </c>
      <c r="B1637" s="6" t="s">
        <v>25</v>
      </c>
      <c r="J1637" s="13">
        <v>92815.34</v>
      </c>
      <c r="K1637" s="5">
        <f t="shared" si="51"/>
        <v>90</v>
      </c>
      <c r="P1637" t="str">
        <f t="shared" si="52"/>
        <v>90K</v>
      </c>
    </row>
    <row r="1638" spans="1:16" x14ac:dyDescent="0.35">
      <c r="A1638">
        <v>2017</v>
      </c>
      <c r="B1638" s="7" t="s">
        <v>25</v>
      </c>
      <c r="J1638" s="12">
        <v>67863.460000000006</v>
      </c>
      <c r="K1638" s="5">
        <f t="shared" si="51"/>
        <v>70</v>
      </c>
      <c r="P1638" t="str">
        <f t="shared" si="52"/>
        <v>70K</v>
      </c>
    </row>
    <row r="1639" spans="1:16" x14ac:dyDescent="0.35">
      <c r="A1639">
        <v>2018</v>
      </c>
      <c r="B1639" s="6" t="s">
        <v>20</v>
      </c>
      <c r="J1639" s="13">
        <v>89229.15</v>
      </c>
      <c r="K1639" s="5">
        <f t="shared" si="51"/>
        <v>90</v>
      </c>
      <c r="P1639" t="str">
        <f t="shared" si="52"/>
        <v>90K</v>
      </c>
    </row>
    <row r="1640" spans="1:16" x14ac:dyDescent="0.35">
      <c r="A1640">
        <v>2014</v>
      </c>
      <c r="B1640" s="7" t="s">
        <v>10</v>
      </c>
      <c r="J1640" s="12">
        <v>73142.61</v>
      </c>
      <c r="K1640" s="5">
        <f t="shared" si="51"/>
        <v>70</v>
      </c>
      <c r="P1640" t="str">
        <f t="shared" si="52"/>
        <v>70K</v>
      </c>
    </row>
    <row r="1641" spans="1:16" x14ac:dyDescent="0.35">
      <c r="A1641">
        <v>2014</v>
      </c>
      <c r="B1641" s="6" t="s">
        <v>25</v>
      </c>
      <c r="J1641" s="13">
        <v>17472.25</v>
      </c>
      <c r="K1641" s="5">
        <f t="shared" si="51"/>
        <v>20</v>
      </c>
      <c r="P1641" t="str">
        <f t="shared" si="52"/>
        <v>20K</v>
      </c>
    </row>
    <row r="1642" spans="1:16" x14ac:dyDescent="0.35">
      <c r="A1642">
        <v>2003</v>
      </c>
      <c r="B1642" s="7" t="s">
        <v>23</v>
      </c>
      <c r="J1642" s="12">
        <v>94355.25</v>
      </c>
      <c r="K1642" s="5">
        <f t="shared" si="51"/>
        <v>90</v>
      </c>
      <c r="P1642" t="str">
        <f t="shared" si="52"/>
        <v>90K</v>
      </c>
    </row>
    <row r="1643" spans="1:16" x14ac:dyDescent="0.35">
      <c r="A1643">
        <v>2006</v>
      </c>
      <c r="B1643" s="6" t="s">
        <v>29</v>
      </c>
      <c r="J1643" s="13">
        <v>90489.84</v>
      </c>
      <c r="K1643" s="5">
        <f t="shared" si="51"/>
        <v>90</v>
      </c>
      <c r="P1643" t="str">
        <f t="shared" si="52"/>
        <v>90K</v>
      </c>
    </row>
    <row r="1644" spans="1:16" x14ac:dyDescent="0.35">
      <c r="A1644">
        <v>2012</v>
      </c>
      <c r="B1644" s="7" t="s">
        <v>20</v>
      </c>
      <c r="J1644" s="12">
        <v>38067.230000000003</v>
      </c>
      <c r="K1644" s="5">
        <f t="shared" si="51"/>
        <v>40</v>
      </c>
      <c r="P1644" t="str">
        <f t="shared" si="52"/>
        <v>40K</v>
      </c>
    </row>
    <row r="1645" spans="1:16" x14ac:dyDescent="0.35">
      <c r="A1645">
        <v>2002</v>
      </c>
      <c r="B1645" s="6" t="s">
        <v>25</v>
      </c>
      <c r="J1645" s="13">
        <v>15595.67</v>
      </c>
      <c r="K1645" s="5">
        <f t="shared" si="51"/>
        <v>20</v>
      </c>
      <c r="P1645" t="str">
        <f t="shared" si="52"/>
        <v>20K</v>
      </c>
    </row>
    <row r="1646" spans="1:16" x14ac:dyDescent="0.35">
      <c r="A1646">
        <v>2015</v>
      </c>
      <c r="B1646" s="7" t="s">
        <v>20</v>
      </c>
      <c r="J1646" s="12">
        <v>71894.7</v>
      </c>
      <c r="K1646" s="5">
        <f t="shared" si="51"/>
        <v>70</v>
      </c>
      <c r="P1646" t="str">
        <f t="shared" si="52"/>
        <v>70K</v>
      </c>
    </row>
    <row r="1647" spans="1:16" x14ac:dyDescent="0.35">
      <c r="A1647">
        <v>2008</v>
      </c>
      <c r="B1647" s="6" t="s">
        <v>27</v>
      </c>
      <c r="J1647" s="13">
        <v>74194.320000000007</v>
      </c>
      <c r="K1647" s="5">
        <f t="shared" si="51"/>
        <v>70</v>
      </c>
      <c r="P1647" t="str">
        <f t="shared" si="52"/>
        <v>70K</v>
      </c>
    </row>
    <row r="1648" spans="1:16" x14ac:dyDescent="0.35">
      <c r="A1648">
        <v>2007</v>
      </c>
      <c r="B1648" s="7" t="s">
        <v>35</v>
      </c>
      <c r="J1648" s="12">
        <v>90198.76</v>
      </c>
      <c r="K1648" s="5">
        <f t="shared" si="51"/>
        <v>90</v>
      </c>
      <c r="P1648" t="str">
        <f t="shared" si="52"/>
        <v>90K</v>
      </c>
    </row>
    <row r="1649" spans="1:16" x14ac:dyDescent="0.35">
      <c r="A1649">
        <v>2019</v>
      </c>
      <c r="B1649" s="6" t="s">
        <v>29</v>
      </c>
      <c r="J1649" s="13">
        <v>10002.299999999999</v>
      </c>
      <c r="K1649" s="5">
        <f t="shared" si="51"/>
        <v>10</v>
      </c>
      <c r="P1649" t="str">
        <f t="shared" si="52"/>
        <v>10K</v>
      </c>
    </row>
    <row r="1650" spans="1:16" x14ac:dyDescent="0.35">
      <c r="A1650">
        <v>2012</v>
      </c>
      <c r="B1650" s="7" t="s">
        <v>20</v>
      </c>
      <c r="J1650" s="12">
        <v>18461.86</v>
      </c>
      <c r="K1650" s="5">
        <f t="shared" si="51"/>
        <v>20</v>
      </c>
      <c r="P1650" t="str">
        <f t="shared" si="52"/>
        <v>20K</v>
      </c>
    </row>
    <row r="1651" spans="1:16" x14ac:dyDescent="0.35">
      <c r="A1651">
        <v>2016</v>
      </c>
      <c r="B1651" s="6" t="s">
        <v>35</v>
      </c>
      <c r="J1651" s="13">
        <v>61833.64</v>
      </c>
      <c r="K1651" s="5">
        <f t="shared" si="51"/>
        <v>60</v>
      </c>
      <c r="P1651" t="str">
        <f t="shared" si="52"/>
        <v>60K</v>
      </c>
    </row>
    <row r="1652" spans="1:16" x14ac:dyDescent="0.35">
      <c r="A1652">
        <v>2016</v>
      </c>
      <c r="B1652" s="7" t="s">
        <v>25</v>
      </c>
      <c r="J1652" s="12">
        <v>63817.5</v>
      </c>
      <c r="K1652" s="5">
        <f t="shared" si="51"/>
        <v>60</v>
      </c>
      <c r="P1652" t="str">
        <f t="shared" si="52"/>
        <v>60K</v>
      </c>
    </row>
    <row r="1653" spans="1:16" x14ac:dyDescent="0.35">
      <c r="A1653">
        <v>2016</v>
      </c>
      <c r="B1653" s="6" t="s">
        <v>35</v>
      </c>
      <c r="J1653" s="13">
        <v>8192.92</v>
      </c>
      <c r="K1653" s="5">
        <f t="shared" si="51"/>
        <v>10</v>
      </c>
      <c r="P1653" t="str">
        <f t="shared" si="52"/>
        <v>10K</v>
      </c>
    </row>
    <row r="1654" spans="1:16" x14ac:dyDescent="0.35">
      <c r="A1654">
        <v>2000</v>
      </c>
      <c r="B1654" s="7" t="s">
        <v>29</v>
      </c>
      <c r="J1654" s="12">
        <v>42708.54</v>
      </c>
      <c r="K1654" s="5">
        <f t="shared" si="51"/>
        <v>40</v>
      </c>
      <c r="P1654" t="str">
        <f t="shared" si="52"/>
        <v>40K</v>
      </c>
    </row>
    <row r="1655" spans="1:16" x14ac:dyDescent="0.35">
      <c r="A1655">
        <v>2007</v>
      </c>
      <c r="B1655" s="6" t="s">
        <v>20</v>
      </c>
      <c r="J1655" s="13">
        <v>60495.360000000001</v>
      </c>
      <c r="K1655" s="5">
        <f t="shared" si="51"/>
        <v>60</v>
      </c>
      <c r="P1655" t="str">
        <f t="shared" si="52"/>
        <v>60K</v>
      </c>
    </row>
    <row r="1656" spans="1:16" x14ac:dyDescent="0.35">
      <c r="A1656">
        <v>2018</v>
      </c>
      <c r="B1656" s="7" t="s">
        <v>27</v>
      </c>
      <c r="J1656" s="12">
        <v>75101.58</v>
      </c>
      <c r="K1656" s="5">
        <f t="shared" si="51"/>
        <v>80</v>
      </c>
      <c r="P1656" t="str">
        <f t="shared" si="52"/>
        <v>80K</v>
      </c>
    </row>
    <row r="1657" spans="1:16" x14ac:dyDescent="0.35">
      <c r="A1657">
        <v>2005</v>
      </c>
      <c r="B1657" s="6" t="s">
        <v>10</v>
      </c>
      <c r="J1657" s="13">
        <v>35034.32</v>
      </c>
      <c r="K1657" s="5">
        <f t="shared" si="51"/>
        <v>40</v>
      </c>
      <c r="P1657" t="str">
        <f t="shared" si="52"/>
        <v>40K</v>
      </c>
    </row>
    <row r="1658" spans="1:16" x14ac:dyDescent="0.35">
      <c r="A1658">
        <v>2002</v>
      </c>
      <c r="B1658" s="7" t="s">
        <v>25</v>
      </c>
      <c r="J1658" s="12">
        <v>50970.83</v>
      </c>
      <c r="K1658" s="5">
        <f t="shared" si="51"/>
        <v>50</v>
      </c>
      <c r="P1658" t="str">
        <f t="shared" si="52"/>
        <v>50K</v>
      </c>
    </row>
    <row r="1659" spans="1:16" x14ac:dyDescent="0.35">
      <c r="A1659">
        <v>2004</v>
      </c>
      <c r="B1659" s="6" t="s">
        <v>20</v>
      </c>
      <c r="J1659" s="13">
        <v>82335.210000000006</v>
      </c>
      <c r="K1659" s="5">
        <f t="shared" si="51"/>
        <v>80</v>
      </c>
      <c r="P1659" t="str">
        <f t="shared" si="52"/>
        <v>80K</v>
      </c>
    </row>
    <row r="1660" spans="1:16" x14ac:dyDescent="0.35">
      <c r="A1660">
        <v>2012</v>
      </c>
      <c r="B1660" s="7" t="s">
        <v>29</v>
      </c>
      <c r="J1660" s="12">
        <v>95620.03</v>
      </c>
      <c r="K1660" s="5">
        <f t="shared" si="51"/>
        <v>100</v>
      </c>
      <c r="P1660" t="str">
        <f t="shared" si="52"/>
        <v>100K</v>
      </c>
    </row>
    <row r="1661" spans="1:16" x14ac:dyDescent="0.35">
      <c r="A1661">
        <v>2014</v>
      </c>
      <c r="B1661" s="6" t="s">
        <v>25</v>
      </c>
      <c r="J1661" s="13">
        <v>26879.89</v>
      </c>
      <c r="K1661" s="5">
        <f t="shared" si="51"/>
        <v>30</v>
      </c>
      <c r="P1661" t="str">
        <f t="shared" si="52"/>
        <v>30K</v>
      </c>
    </row>
    <row r="1662" spans="1:16" x14ac:dyDescent="0.35">
      <c r="A1662">
        <v>2013</v>
      </c>
      <c r="B1662" s="7" t="s">
        <v>23</v>
      </c>
      <c r="J1662" s="12">
        <v>29039.01</v>
      </c>
      <c r="K1662" s="5">
        <f t="shared" si="51"/>
        <v>30</v>
      </c>
      <c r="P1662" t="str">
        <f t="shared" si="52"/>
        <v>30K</v>
      </c>
    </row>
    <row r="1663" spans="1:16" x14ac:dyDescent="0.35">
      <c r="A1663">
        <v>2022</v>
      </c>
      <c r="B1663" s="6" t="s">
        <v>35</v>
      </c>
      <c r="J1663" s="13">
        <v>94282.73</v>
      </c>
      <c r="K1663" s="5">
        <f t="shared" si="51"/>
        <v>90</v>
      </c>
      <c r="P1663" t="str">
        <f t="shared" si="52"/>
        <v>90K</v>
      </c>
    </row>
    <row r="1664" spans="1:16" x14ac:dyDescent="0.35">
      <c r="A1664">
        <v>2015</v>
      </c>
      <c r="B1664" s="7" t="s">
        <v>10</v>
      </c>
      <c r="J1664" s="12">
        <v>42611.56</v>
      </c>
      <c r="K1664" s="5">
        <f t="shared" si="51"/>
        <v>40</v>
      </c>
      <c r="P1664" t="str">
        <f t="shared" si="52"/>
        <v>40K</v>
      </c>
    </row>
    <row r="1665" spans="1:16" x14ac:dyDescent="0.35">
      <c r="A1665">
        <v>2017</v>
      </c>
      <c r="B1665" s="6" t="s">
        <v>29</v>
      </c>
      <c r="J1665" s="13">
        <v>73243.09</v>
      </c>
      <c r="K1665" s="5">
        <f t="shared" si="51"/>
        <v>70</v>
      </c>
      <c r="P1665" t="str">
        <f t="shared" si="52"/>
        <v>70K</v>
      </c>
    </row>
    <row r="1666" spans="1:16" x14ac:dyDescent="0.35">
      <c r="A1666">
        <v>2021</v>
      </c>
      <c r="B1666" s="7" t="s">
        <v>23</v>
      </c>
      <c r="J1666" s="12">
        <v>63165.2</v>
      </c>
      <c r="K1666" s="5">
        <f t="shared" si="51"/>
        <v>60</v>
      </c>
      <c r="P1666" t="str">
        <f t="shared" si="52"/>
        <v>60K</v>
      </c>
    </row>
    <row r="1667" spans="1:16" x14ac:dyDescent="0.35">
      <c r="A1667">
        <v>2021</v>
      </c>
      <c r="B1667" s="6" t="s">
        <v>20</v>
      </c>
      <c r="J1667" s="13">
        <v>32130.83</v>
      </c>
      <c r="K1667" s="5">
        <f t="shared" ref="K1667:K1730" si="53">ROUND(J1667/10000,0)*10</f>
        <v>30</v>
      </c>
      <c r="P1667" t="str">
        <f t="shared" ref="P1667:P1730" si="54">TEXT(ROUND(J1667/10000,0)*10,"0") &amp; "K"</f>
        <v>30K</v>
      </c>
    </row>
    <row r="1668" spans="1:16" x14ac:dyDescent="0.35">
      <c r="A1668">
        <v>2010</v>
      </c>
      <c r="B1668" s="7" t="s">
        <v>27</v>
      </c>
      <c r="J1668" s="12">
        <v>67088.41</v>
      </c>
      <c r="K1668" s="5">
        <f t="shared" si="53"/>
        <v>70</v>
      </c>
      <c r="P1668" t="str">
        <f t="shared" si="54"/>
        <v>70K</v>
      </c>
    </row>
    <row r="1669" spans="1:16" x14ac:dyDescent="0.35">
      <c r="A1669">
        <v>2002</v>
      </c>
      <c r="B1669" s="6" t="s">
        <v>25</v>
      </c>
      <c r="J1669" s="13">
        <v>67278.759999999995</v>
      </c>
      <c r="K1669" s="5">
        <f t="shared" si="53"/>
        <v>70</v>
      </c>
      <c r="P1669" t="str">
        <f t="shared" si="54"/>
        <v>70K</v>
      </c>
    </row>
    <row r="1670" spans="1:16" x14ac:dyDescent="0.35">
      <c r="A1670">
        <v>2021</v>
      </c>
      <c r="B1670" s="7" t="s">
        <v>35</v>
      </c>
      <c r="J1670" s="12">
        <v>61282.1</v>
      </c>
      <c r="K1670" s="5">
        <f t="shared" si="53"/>
        <v>60</v>
      </c>
      <c r="P1670" t="str">
        <f t="shared" si="54"/>
        <v>60K</v>
      </c>
    </row>
    <row r="1671" spans="1:16" x14ac:dyDescent="0.35">
      <c r="A1671">
        <v>2009</v>
      </c>
      <c r="B1671" s="6" t="s">
        <v>25</v>
      </c>
      <c r="J1671" s="13">
        <v>14467.78</v>
      </c>
      <c r="K1671" s="5">
        <f t="shared" si="53"/>
        <v>10</v>
      </c>
      <c r="P1671" t="str">
        <f t="shared" si="54"/>
        <v>10K</v>
      </c>
    </row>
    <row r="1672" spans="1:16" x14ac:dyDescent="0.35">
      <c r="A1672">
        <v>2009</v>
      </c>
      <c r="B1672" s="7" t="s">
        <v>10</v>
      </c>
      <c r="J1672" s="12">
        <v>99541.32</v>
      </c>
      <c r="K1672" s="5">
        <f t="shared" si="53"/>
        <v>100</v>
      </c>
      <c r="P1672" t="str">
        <f t="shared" si="54"/>
        <v>100K</v>
      </c>
    </row>
    <row r="1673" spans="1:16" x14ac:dyDescent="0.35">
      <c r="A1673">
        <v>2020</v>
      </c>
      <c r="B1673" s="6" t="s">
        <v>20</v>
      </c>
      <c r="J1673" s="13">
        <v>43039.56</v>
      </c>
      <c r="K1673" s="5">
        <f t="shared" si="53"/>
        <v>40</v>
      </c>
      <c r="P1673" t="str">
        <f t="shared" si="54"/>
        <v>40K</v>
      </c>
    </row>
    <row r="1674" spans="1:16" x14ac:dyDescent="0.35">
      <c r="A1674">
        <v>2015</v>
      </c>
      <c r="B1674" s="7" t="s">
        <v>25</v>
      </c>
      <c r="J1674" s="12">
        <v>65633.84</v>
      </c>
      <c r="K1674" s="5">
        <f t="shared" si="53"/>
        <v>70</v>
      </c>
      <c r="P1674" t="str">
        <f t="shared" si="54"/>
        <v>70K</v>
      </c>
    </row>
    <row r="1675" spans="1:16" x14ac:dyDescent="0.35">
      <c r="A1675">
        <v>2011</v>
      </c>
      <c r="B1675" s="6" t="s">
        <v>35</v>
      </c>
      <c r="J1675" s="13">
        <v>89147.36</v>
      </c>
      <c r="K1675" s="5">
        <f t="shared" si="53"/>
        <v>90</v>
      </c>
      <c r="P1675" t="str">
        <f t="shared" si="54"/>
        <v>90K</v>
      </c>
    </row>
    <row r="1676" spans="1:16" x14ac:dyDescent="0.35">
      <c r="A1676">
        <v>2001</v>
      </c>
      <c r="B1676" s="7" t="s">
        <v>20</v>
      </c>
      <c r="J1676" s="12">
        <v>45212.41</v>
      </c>
      <c r="K1676" s="5">
        <f t="shared" si="53"/>
        <v>50</v>
      </c>
      <c r="P1676" t="str">
        <f t="shared" si="54"/>
        <v>50K</v>
      </c>
    </row>
    <row r="1677" spans="1:16" x14ac:dyDescent="0.35">
      <c r="A1677">
        <v>2008</v>
      </c>
      <c r="B1677" s="6" t="s">
        <v>25</v>
      </c>
      <c r="J1677" s="13">
        <v>78522.880000000005</v>
      </c>
      <c r="K1677" s="5">
        <f t="shared" si="53"/>
        <v>80</v>
      </c>
      <c r="P1677" t="str">
        <f t="shared" si="54"/>
        <v>80K</v>
      </c>
    </row>
    <row r="1678" spans="1:16" x14ac:dyDescent="0.35">
      <c r="A1678">
        <v>2023</v>
      </c>
      <c r="B1678" s="7" t="s">
        <v>27</v>
      </c>
      <c r="J1678" s="12">
        <v>97323.32</v>
      </c>
      <c r="K1678" s="5">
        <f t="shared" si="53"/>
        <v>100</v>
      </c>
      <c r="P1678" t="str">
        <f t="shared" si="54"/>
        <v>100K</v>
      </c>
    </row>
    <row r="1679" spans="1:16" x14ac:dyDescent="0.35">
      <c r="A1679">
        <v>2002</v>
      </c>
      <c r="B1679" s="6" t="s">
        <v>29</v>
      </c>
      <c r="J1679" s="13">
        <v>39098.800000000003</v>
      </c>
      <c r="K1679" s="5">
        <f t="shared" si="53"/>
        <v>40</v>
      </c>
      <c r="P1679" t="str">
        <f t="shared" si="54"/>
        <v>40K</v>
      </c>
    </row>
    <row r="1680" spans="1:16" x14ac:dyDescent="0.35">
      <c r="A1680">
        <v>2023</v>
      </c>
      <c r="B1680" s="7" t="s">
        <v>20</v>
      </c>
      <c r="J1680" s="12">
        <v>43500.61</v>
      </c>
      <c r="K1680" s="5">
        <f t="shared" si="53"/>
        <v>40</v>
      </c>
      <c r="P1680" t="str">
        <f t="shared" si="54"/>
        <v>40K</v>
      </c>
    </row>
    <row r="1681" spans="1:16" x14ac:dyDescent="0.35">
      <c r="A1681">
        <v>2014</v>
      </c>
      <c r="B1681" s="6" t="s">
        <v>29</v>
      </c>
      <c r="J1681" s="13">
        <v>91029.73</v>
      </c>
      <c r="K1681" s="5">
        <f t="shared" si="53"/>
        <v>90</v>
      </c>
      <c r="P1681" t="str">
        <f t="shared" si="54"/>
        <v>90K</v>
      </c>
    </row>
    <row r="1682" spans="1:16" x14ac:dyDescent="0.35">
      <c r="A1682">
        <v>2002</v>
      </c>
      <c r="B1682" s="7" t="s">
        <v>20</v>
      </c>
      <c r="J1682" s="12">
        <v>20166.07</v>
      </c>
      <c r="K1682" s="5">
        <f t="shared" si="53"/>
        <v>20</v>
      </c>
      <c r="P1682" t="str">
        <f t="shared" si="54"/>
        <v>20K</v>
      </c>
    </row>
    <row r="1683" spans="1:16" x14ac:dyDescent="0.35">
      <c r="A1683">
        <v>2018</v>
      </c>
      <c r="B1683" s="6" t="s">
        <v>27</v>
      </c>
      <c r="J1683" s="13">
        <v>7716.51</v>
      </c>
      <c r="K1683" s="5">
        <f t="shared" si="53"/>
        <v>10</v>
      </c>
      <c r="P1683" t="str">
        <f t="shared" si="54"/>
        <v>10K</v>
      </c>
    </row>
    <row r="1684" spans="1:16" x14ac:dyDescent="0.35">
      <c r="A1684">
        <v>2017</v>
      </c>
      <c r="B1684" s="7" t="s">
        <v>29</v>
      </c>
      <c r="J1684" s="12">
        <v>91344.46</v>
      </c>
      <c r="K1684" s="5">
        <f t="shared" si="53"/>
        <v>90</v>
      </c>
      <c r="P1684" t="str">
        <f t="shared" si="54"/>
        <v>90K</v>
      </c>
    </row>
    <row r="1685" spans="1:16" x14ac:dyDescent="0.35">
      <c r="A1685">
        <v>2007</v>
      </c>
      <c r="B1685" s="6" t="s">
        <v>23</v>
      </c>
      <c r="J1685" s="13">
        <v>83051.199999999997</v>
      </c>
      <c r="K1685" s="5">
        <f t="shared" si="53"/>
        <v>80</v>
      </c>
      <c r="P1685" t="str">
        <f t="shared" si="54"/>
        <v>80K</v>
      </c>
    </row>
    <row r="1686" spans="1:16" x14ac:dyDescent="0.35">
      <c r="A1686">
        <v>2016</v>
      </c>
      <c r="B1686" s="7" t="s">
        <v>35</v>
      </c>
      <c r="J1686" s="12">
        <v>97395.39</v>
      </c>
      <c r="K1686" s="5">
        <f t="shared" si="53"/>
        <v>100</v>
      </c>
      <c r="P1686" t="str">
        <f t="shared" si="54"/>
        <v>100K</v>
      </c>
    </row>
    <row r="1687" spans="1:16" x14ac:dyDescent="0.35">
      <c r="A1687">
        <v>2007</v>
      </c>
      <c r="B1687" s="6" t="s">
        <v>23</v>
      </c>
      <c r="J1687" s="13">
        <v>10532.59</v>
      </c>
      <c r="K1687" s="5">
        <f t="shared" si="53"/>
        <v>10</v>
      </c>
      <c r="P1687" t="str">
        <f t="shared" si="54"/>
        <v>10K</v>
      </c>
    </row>
    <row r="1688" spans="1:16" x14ac:dyDescent="0.35">
      <c r="A1688">
        <v>2006</v>
      </c>
      <c r="B1688" s="7" t="s">
        <v>25</v>
      </c>
      <c r="J1688" s="12">
        <v>19836.849999999999</v>
      </c>
      <c r="K1688" s="5">
        <f t="shared" si="53"/>
        <v>20</v>
      </c>
      <c r="P1688" t="str">
        <f t="shared" si="54"/>
        <v>20K</v>
      </c>
    </row>
    <row r="1689" spans="1:16" x14ac:dyDescent="0.35">
      <c r="A1689">
        <v>2006</v>
      </c>
      <c r="B1689" s="6" t="s">
        <v>27</v>
      </c>
      <c r="J1689" s="13">
        <v>15004.69</v>
      </c>
      <c r="K1689" s="5">
        <f t="shared" si="53"/>
        <v>20</v>
      </c>
      <c r="P1689" t="str">
        <f t="shared" si="54"/>
        <v>20K</v>
      </c>
    </row>
    <row r="1690" spans="1:16" x14ac:dyDescent="0.35">
      <c r="A1690">
        <v>2002</v>
      </c>
      <c r="B1690" s="7" t="s">
        <v>23</v>
      </c>
      <c r="J1690" s="12">
        <v>69924.53</v>
      </c>
      <c r="K1690" s="5">
        <f t="shared" si="53"/>
        <v>70</v>
      </c>
      <c r="P1690" t="str">
        <f t="shared" si="54"/>
        <v>70K</v>
      </c>
    </row>
    <row r="1691" spans="1:16" x14ac:dyDescent="0.35">
      <c r="A1691">
        <v>2000</v>
      </c>
      <c r="B1691" s="6" t="s">
        <v>20</v>
      </c>
      <c r="J1691" s="13">
        <v>62570.96</v>
      </c>
      <c r="K1691" s="5">
        <f t="shared" si="53"/>
        <v>60</v>
      </c>
      <c r="P1691" t="str">
        <f t="shared" si="54"/>
        <v>60K</v>
      </c>
    </row>
    <row r="1692" spans="1:16" x14ac:dyDescent="0.35">
      <c r="A1692">
        <v>2003</v>
      </c>
      <c r="B1692" s="7" t="s">
        <v>25</v>
      </c>
      <c r="J1692" s="12">
        <v>39136.839999999997</v>
      </c>
      <c r="K1692" s="5">
        <f t="shared" si="53"/>
        <v>40</v>
      </c>
      <c r="P1692" t="str">
        <f t="shared" si="54"/>
        <v>40K</v>
      </c>
    </row>
    <row r="1693" spans="1:16" x14ac:dyDescent="0.35">
      <c r="A1693">
        <v>2004</v>
      </c>
      <c r="B1693" s="6" t="s">
        <v>25</v>
      </c>
      <c r="J1693" s="13">
        <v>10455.23</v>
      </c>
      <c r="K1693" s="5">
        <f t="shared" si="53"/>
        <v>10</v>
      </c>
      <c r="P1693" t="str">
        <f t="shared" si="54"/>
        <v>10K</v>
      </c>
    </row>
    <row r="1694" spans="1:16" x14ac:dyDescent="0.35">
      <c r="A1694">
        <v>2000</v>
      </c>
      <c r="B1694" s="7" t="s">
        <v>23</v>
      </c>
      <c r="J1694" s="12">
        <v>65767.89</v>
      </c>
      <c r="K1694" s="5">
        <f t="shared" si="53"/>
        <v>70</v>
      </c>
      <c r="P1694" t="str">
        <f t="shared" si="54"/>
        <v>70K</v>
      </c>
    </row>
    <row r="1695" spans="1:16" x14ac:dyDescent="0.35">
      <c r="A1695">
        <v>2014</v>
      </c>
      <c r="B1695" s="6" t="s">
        <v>23</v>
      </c>
      <c r="J1695" s="13">
        <v>59161.45</v>
      </c>
      <c r="K1695" s="5">
        <f t="shared" si="53"/>
        <v>60</v>
      </c>
      <c r="P1695" t="str">
        <f t="shared" si="54"/>
        <v>60K</v>
      </c>
    </row>
    <row r="1696" spans="1:16" x14ac:dyDescent="0.35">
      <c r="A1696">
        <v>2004</v>
      </c>
      <c r="B1696" s="7" t="s">
        <v>27</v>
      </c>
      <c r="J1696" s="12">
        <v>15725.81</v>
      </c>
      <c r="K1696" s="5">
        <f t="shared" si="53"/>
        <v>20</v>
      </c>
      <c r="P1696" t="str">
        <f t="shared" si="54"/>
        <v>20K</v>
      </c>
    </row>
    <row r="1697" spans="1:16" x14ac:dyDescent="0.35">
      <c r="A1697">
        <v>2012</v>
      </c>
      <c r="B1697" s="6" t="s">
        <v>35</v>
      </c>
      <c r="J1697" s="13">
        <v>91346.42</v>
      </c>
      <c r="K1697" s="5">
        <f t="shared" si="53"/>
        <v>90</v>
      </c>
      <c r="P1697" t="str">
        <f t="shared" si="54"/>
        <v>90K</v>
      </c>
    </row>
    <row r="1698" spans="1:16" x14ac:dyDescent="0.35">
      <c r="A1698">
        <v>2007</v>
      </c>
      <c r="B1698" s="7" t="s">
        <v>23</v>
      </c>
      <c r="J1698" s="12">
        <v>23900.22</v>
      </c>
      <c r="K1698" s="5">
        <f t="shared" si="53"/>
        <v>20</v>
      </c>
      <c r="P1698" t="str">
        <f t="shared" si="54"/>
        <v>20K</v>
      </c>
    </row>
    <row r="1699" spans="1:16" x14ac:dyDescent="0.35">
      <c r="A1699">
        <v>2007</v>
      </c>
      <c r="B1699" s="6" t="s">
        <v>10</v>
      </c>
      <c r="J1699" s="13">
        <v>75633.37</v>
      </c>
      <c r="K1699" s="5">
        <f t="shared" si="53"/>
        <v>80</v>
      </c>
      <c r="P1699" t="str">
        <f t="shared" si="54"/>
        <v>80K</v>
      </c>
    </row>
    <row r="1700" spans="1:16" x14ac:dyDescent="0.35">
      <c r="A1700">
        <v>2004</v>
      </c>
      <c r="B1700" s="7" t="s">
        <v>23</v>
      </c>
      <c r="J1700" s="12">
        <v>89082.21</v>
      </c>
      <c r="K1700" s="5">
        <f t="shared" si="53"/>
        <v>90</v>
      </c>
      <c r="P1700" t="str">
        <f t="shared" si="54"/>
        <v>90K</v>
      </c>
    </row>
    <row r="1701" spans="1:16" x14ac:dyDescent="0.35">
      <c r="A1701">
        <v>2008</v>
      </c>
      <c r="B1701" s="6" t="s">
        <v>29</v>
      </c>
      <c r="J1701" s="13">
        <v>60050.12</v>
      </c>
      <c r="K1701" s="5">
        <f t="shared" si="53"/>
        <v>60</v>
      </c>
      <c r="P1701" t="str">
        <f t="shared" si="54"/>
        <v>60K</v>
      </c>
    </row>
    <row r="1702" spans="1:16" x14ac:dyDescent="0.35">
      <c r="A1702">
        <v>2000</v>
      </c>
      <c r="B1702" s="7" t="s">
        <v>20</v>
      </c>
      <c r="J1702" s="12">
        <v>28450.65</v>
      </c>
      <c r="K1702" s="5">
        <f t="shared" si="53"/>
        <v>30</v>
      </c>
      <c r="P1702" t="str">
        <f t="shared" si="54"/>
        <v>30K</v>
      </c>
    </row>
    <row r="1703" spans="1:16" x14ac:dyDescent="0.35">
      <c r="A1703">
        <v>2003</v>
      </c>
      <c r="B1703" s="6" t="s">
        <v>10</v>
      </c>
      <c r="J1703" s="13">
        <v>34378.61</v>
      </c>
      <c r="K1703" s="5">
        <f t="shared" si="53"/>
        <v>30</v>
      </c>
      <c r="P1703" t="str">
        <f t="shared" si="54"/>
        <v>30K</v>
      </c>
    </row>
    <row r="1704" spans="1:16" x14ac:dyDescent="0.35">
      <c r="A1704">
        <v>2002</v>
      </c>
      <c r="B1704" s="7" t="s">
        <v>10</v>
      </c>
      <c r="J1704" s="12">
        <v>89146.02</v>
      </c>
      <c r="K1704" s="5">
        <f t="shared" si="53"/>
        <v>90</v>
      </c>
      <c r="P1704" t="str">
        <f t="shared" si="54"/>
        <v>90K</v>
      </c>
    </row>
    <row r="1705" spans="1:16" x14ac:dyDescent="0.35">
      <c r="A1705">
        <v>2001</v>
      </c>
      <c r="B1705" s="6" t="s">
        <v>29</v>
      </c>
      <c r="J1705" s="13">
        <v>33334.43</v>
      </c>
      <c r="K1705" s="5">
        <f t="shared" si="53"/>
        <v>30</v>
      </c>
      <c r="P1705" t="str">
        <f t="shared" si="54"/>
        <v>30K</v>
      </c>
    </row>
    <row r="1706" spans="1:16" x14ac:dyDescent="0.35">
      <c r="A1706">
        <v>2007</v>
      </c>
      <c r="B1706" s="7" t="s">
        <v>29</v>
      </c>
      <c r="J1706" s="12">
        <v>75888.100000000006</v>
      </c>
      <c r="K1706" s="5">
        <f t="shared" si="53"/>
        <v>80</v>
      </c>
      <c r="P1706" t="str">
        <f t="shared" si="54"/>
        <v>80K</v>
      </c>
    </row>
    <row r="1707" spans="1:16" x14ac:dyDescent="0.35">
      <c r="A1707">
        <v>2022</v>
      </c>
      <c r="B1707" s="6" t="s">
        <v>25</v>
      </c>
      <c r="J1707" s="13">
        <v>99065.7</v>
      </c>
      <c r="K1707" s="5">
        <f t="shared" si="53"/>
        <v>100</v>
      </c>
      <c r="P1707" t="str">
        <f t="shared" si="54"/>
        <v>100K</v>
      </c>
    </row>
    <row r="1708" spans="1:16" x14ac:dyDescent="0.35">
      <c r="A1708">
        <v>2008</v>
      </c>
      <c r="B1708" s="7" t="s">
        <v>35</v>
      </c>
      <c r="J1708" s="12">
        <v>99982.59</v>
      </c>
      <c r="K1708" s="5">
        <f t="shared" si="53"/>
        <v>100</v>
      </c>
      <c r="P1708" t="str">
        <f t="shared" si="54"/>
        <v>100K</v>
      </c>
    </row>
    <row r="1709" spans="1:16" x14ac:dyDescent="0.35">
      <c r="A1709">
        <v>2001</v>
      </c>
      <c r="B1709" s="6" t="s">
        <v>20</v>
      </c>
      <c r="J1709" s="13">
        <v>55680.58</v>
      </c>
      <c r="K1709" s="5">
        <f t="shared" si="53"/>
        <v>60</v>
      </c>
      <c r="P1709" t="str">
        <f t="shared" si="54"/>
        <v>60K</v>
      </c>
    </row>
    <row r="1710" spans="1:16" x14ac:dyDescent="0.35">
      <c r="A1710">
        <v>2013</v>
      </c>
      <c r="B1710" s="7" t="s">
        <v>27</v>
      </c>
      <c r="J1710" s="12">
        <v>83522.8</v>
      </c>
      <c r="K1710" s="5">
        <f t="shared" si="53"/>
        <v>80</v>
      </c>
      <c r="P1710" t="str">
        <f t="shared" si="54"/>
        <v>80K</v>
      </c>
    </row>
    <row r="1711" spans="1:16" x14ac:dyDescent="0.35">
      <c r="A1711">
        <v>2013</v>
      </c>
      <c r="B1711" s="6" t="s">
        <v>10</v>
      </c>
      <c r="J1711" s="13">
        <v>99073.74</v>
      </c>
      <c r="K1711" s="5">
        <f t="shared" si="53"/>
        <v>100</v>
      </c>
      <c r="P1711" t="str">
        <f t="shared" si="54"/>
        <v>100K</v>
      </c>
    </row>
    <row r="1712" spans="1:16" x14ac:dyDescent="0.35">
      <c r="A1712">
        <v>2003</v>
      </c>
      <c r="B1712" s="7" t="s">
        <v>27</v>
      </c>
      <c r="J1712" s="12">
        <v>40593.919999999998</v>
      </c>
      <c r="K1712" s="5">
        <f t="shared" si="53"/>
        <v>40</v>
      </c>
      <c r="P1712" t="str">
        <f t="shared" si="54"/>
        <v>40K</v>
      </c>
    </row>
    <row r="1713" spans="1:16" x14ac:dyDescent="0.35">
      <c r="A1713">
        <v>2005</v>
      </c>
      <c r="B1713" s="6" t="s">
        <v>23</v>
      </c>
      <c r="J1713" s="13">
        <v>28978.91</v>
      </c>
      <c r="K1713" s="5">
        <f t="shared" si="53"/>
        <v>30</v>
      </c>
      <c r="P1713" t="str">
        <f t="shared" si="54"/>
        <v>30K</v>
      </c>
    </row>
    <row r="1714" spans="1:16" x14ac:dyDescent="0.35">
      <c r="A1714">
        <v>2010</v>
      </c>
      <c r="B1714" s="7" t="s">
        <v>23</v>
      </c>
      <c r="J1714" s="12">
        <v>15852.17</v>
      </c>
      <c r="K1714" s="5">
        <f t="shared" si="53"/>
        <v>20</v>
      </c>
      <c r="P1714" t="str">
        <f t="shared" si="54"/>
        <v>20K</v>
      </c>
    </row>
    <row r="1715" spans="1:16" x14ac:dyDescent="0.35">
      <c r="A1715">
        <v>2002</v>
      </c>
      <c r="B1715" s="6" t="s">
        <v>27</v>
      </c>
      <c r="J1715" s="13">
        <v>18385.47</v>
      </c>
      <c r="K1715" s="5">
        <f t="shared" si="53"/>
        <v>20</v>
      </c>
      <c r="P1715" t="str">
        <f t="shared" si="54"/>
        <v>20K</v>
      </c>
    </row>
    <row r="1716" spans="1:16" x14ac:dyDescent="0.35">
      <c r="A1716">
        <v>2007</v>
      </c>
      <c r="B1716" s="7" t="s">
        <v>23</v>
      </c>
      <c r="J1716" s="12">
        <v>86087.85</v>
      </c>
      <c r="K1716" s="5">
        <f t="shared" si="53"/>
        <v>90</v>
      </c>
      <c r="P1716" t="str">
        <f t="shared" si="54"/>
        <v>90K</v>
      </c>
    </row>
    <row r="1717" spans="1:16" x14ac:dyDescent="0.35">
      <c r="A1717">
        <v>2002</v>
      </c>
      <c r="B1717" s="6" t="s">
        <v>35</v>
      </c>
      <c r="J1717" s="13">
        <v>60928.69</v>
      </c>
      <c r="K1717" s="5">
        <f t="shared" si="53"/>
        <v>60</v>
      </c>
      <c r="P1717" t="str">
        <f t="shared" si="54"/>
        <v>60K</v>
      </c>
    </row>
    <row r="1718" spans="1:16" x14ac:dyDescent="0.35">
      <c r="A1718">
        <v>2013</v>
      </c>
      <c r="B1718" s="7" t="s">
        <v>29</v>
      </c>
      <c r="J1718" s="12">
        <v>88002.37</v>
      </c>
      <c r="K1718" s="5">
        <f t="shared" si="53"/>
        <v>90</v>
      </c>
      <c r="P1718" t="str">
        <f t="shared" si="54"/>
        <v>90K</v>
      </c>
    </row>
    <row r="1719" spans="1:16" x14ac:dyDescent="0.35">
      <c r="A1719">
        <v>2012</v>
      </c>
      <c r="B1719" s="6" t="s">
        <v>23</v>
      </c>
      <c r="J1719" s="13">
        <v>79998.23</v>
      </c>
      <c r="K1719" s="5">
        <f t="shared" si="53"/>
        <v>80</v>
      </c>
      <c r="P1719" t="str">
        <f t="shared" si="54"/>
        <v>80K</v>
      </c>
    </row>
    <row r="1720" spans="1:16" x14ac:dyDescent="0.35">
      <c r="A1720">
        <v>2012</v>
      </c>
      <c r="B1720" s="7" t="s">
        <v>25</v>
      </c>
      <c r="J1720" s="12">
        <v>69005.740000000005</v>
      </c>
      <c r="K1720" s="5">
        <f t="shared" si="53"/>
        <v>70</v>
      </c>
      <c r="P1720" t="str">
        <f t="shared" si="54"/>
        <v>70K</v>
      </c>
    </row>
    <row r="1721" spans="1:16" x14ac:dyDescent="0.35">
      <c r="A1721">
        <v>2001</v>
      </c>
      <c r="B1721" s="6" t="s">
        <v>23</v>
      </c>
      <c r="J1721" s="13">
        <v>62884.66</v>
      </c>
      <c r="K1721" s="5">
        <f t="shared" si="53"/>
        <v>60</v>
      </c>
      <c r="P1721" t="str">
        <f t="shared" si="54"/>
        <v>60K</v>
      </c>
    </row>
    <row r="1722" spans="1:16" x14ac:dyDescent="0.35">
      <c r="A1722">
        <v>2012</v>
      </c>
      <c r="B1722" s="7" t="s">
        <v>20</v>
      </c>
      <c r="J1722" s="12">
        <v>9592.2000000000007</v>
      </c>
      <c r="K1722" s="5">
        <f t="shared" si="53"/>
        <v>10</v>
      </c>
      <c r="P1722" t="str">
        <f t="shared" si="54"/>
        <v>10K</v>
      </c>
    </row>
    <row r="1723" spans="1:16" x14ac:dyDescent="0.35">
      <c r="A1723">
        <v>2018</v>
      </c>
      <c r="B1723" s="6" t="s">
        <v>35</v>
      </c>
      <c r="J1723" s="13">
        <v>87866.14</v>
      </c>
      <c r="K1723" s="5">
        <f t="shared" si="53"/>
        <v>90</v>
      </c>
      <c r="P1723" t="str">
        <f t="shared" si="54"/>
        <v>90K</v>
      </c>
    </row>
    <row r="1724" spans="1:16" x14ac:dyDescent="0.35">
      <c r="A1724">
        <v>2005</v>
      </c>
      <c r="B1724" s="7" t="s">
        <v>20</v>
      </c>
      <c r="J1724" s="12">
        <v>44695</v>
      </c>
      <c r="K1724" s="5">
        <f t="shared" si="53"/>
        <v>40</v>
      </c>
      <c r="P1724" t="str">
        <f t="shared" si="54"/>
        <v>40K</v>
      </c>
    </row>
    <row r="1725" spans="1:16" x14ac:dyDescent="0.35">
      <c r="A1725">
        <v>2015</v>
      </c>
      <c r="B1725" s="6" t="s">
        <v>20</v>
      </c>
      <c r="J1725" s="13">
        <v>58179.75</v>
      </c>
      <c r="K1725" s="5">
        <f t="shared" si="53"/>
        <v>60</v>
      </c>
      <c r="P1725" t="str">
        <f t="shared" si="54"/>
        <v>60K</v>
      </c>
    </row>
    <row r="1726" spans="1:16" x14ac:dyDescent="0.35">
      <c r="A1726">
        <v>2001</v>
      </c>
      <c r="B1726" s="7" t="s">
        <v>25</v>
      </c>
      <c r="J1726" s="12">
        <v>7085.58</v>
      </c>
      <c r="K1726" s="5">
        <f t="shared" si="53"/>
        <v>10</v>
      </c>
      <c r="P1726" t="str">
        <f t="shared" si="54"/>
        <v>10K</v>
      </c>
    </row>
    <row r="1727" spans="1:16" x14ac:dyDescent="0.35">
      <c r="A1727">
        <v>2007</v>
      </c>
      <c r="B1727" s="6" t="s">
        <v>35</v>
      </c>
      <c r="J1727" s="13">
        <v>93926.98</v>
      </c>
      <c r="K1727" s="5">
        <f t="shared" si="53"/>
        <v>90</v>
      </c>
      <c r="P1727" t="str">
        <f t="shared" si="54"/>
        <v>90K</v>
      </c>
    </row>
    <row r="1728" spans="1:16" x14ac:dyDescent="0.35">
      <c r="A1728">
        <v>2016</v>
      </c>
      <c r="B1728" s="7" t="s">
        <v>35</v>
      </c>
      <c r="J1728" s="12">
        <v>90760.34</v>
      </c>
      <c r="K1728" s="5">
        <f t="shared" si="53"/>
        <v>90</v>
      </c>
      <c r="P1728" t="str">
        <f t="shared" si="54"/>
        <v>90K</v>
      </c>
    </row>
    <row r="1729" spans="1:16" x14ac:dyDescent="0.35">
      <c r="A1729">
        <v>2022</v>
      </c>
      <c r="B1729" s="6" t="s">
        <v>35</v>
      </c>
      <c r="J1729" s="13">
        <v>56611.41</v>
      </c>
      <c r="K1729" s="5">
        <f t="shared" si="53"/>
        <v>60</v>
      </c>
      <c r="P1729" t="str">
        <f t="shared" si="54"/>
        <v>60K</v>
      </c>
    </row>
    <row r="1730" spans="1:16" x14ac:dyDescent="0.35">
      <c r="A1730">
        <v>2001</v>
      </c>
      <c r="B1730" s="7" t="s">
        <v>35</v>
      </c>
      <c r="J1730" s="12">
        <v>59844.61</v>
      </c>
      <c r="K1730" s="5">
        <f t="shared" si="53"/>
        <v>60</v>
      </c>
      <c r="P1730" t="str">
        <f t="shared" si="54"/>
        <v>60K</v>
      </c>
    </row>
    <row r="1731" spans="1:16" x14ac:dyDescent="0.35">
      <c r="A1731">
        <v>2009</v>
      </c>
      <c r="B1731" s="6" t="s">
        <v>35</v>
      </c>
      <c r="J1731" s="13">
        <v>71976.639999999999</v>
      </c>
      <c r="K1731" s="5">
        <f t="shared" ref="K1731:K1794" si="55">ROUND(J1731/10000,0)*10</f>
        <v>70</v>
      </c>
      <c r="P1731" t="str">
        <f t="shared" ref="P1731:P1794" si="56">TEXT(ROUND(J1731/10000,0)*10,"0") &amp; "K"</f>
        <v>70K</v>
      </c>
    </row>
    <row r="1732" spans="1:16" x14ac:dyDescent="0.35">
      <c r="A1732">
        <v>2015</v>
      </c>
      <c r="B1732" s="7" t="s">
        <v>25</v>
      </c>
      <c r="J1732" s="12">
        <v>30146.02</v>
      </c>
      <c r="K1732" s="5">
        <f t="shared" si="55"/>
        <v>30</v>
      </c>
      <c r="P1732" t="str">
        <f t="shared" si="56"/>
        <v>30K</v>
      </c>
    </row>
    <row r="1733" spans="1:16" x14ac:dyDescent="0.35">
      <c r="A1733">
        <v>2005</v>
      </c>
      <c r="B1733" s="6" t="s">
        <v>23</v>
      </c>
      <c r="J1733" s="13">
        <v>26081.98</v>
      </c>
      <c r="K1733" s="5">
        <f t="shared" si="55"/>
        <v>30</v>
      </c>
      <c r="P1733" t="str">
        <f t="shared" si="56"/>
        <v>30K</v>
      </c>
    </row>
    <row r="1734" spans="1:16" x14ac:dyDescent="0.35">
      <c r="A1734">
        <v>2001</v>
      </c>
      <c r="B1734" s="7" t="s">
        <v>20</v>
      </c>
      <c r="J1734" s="12">
        <v>69032.179999999993</v>
      </c>
      <c r="K1734" s="5">
        <f t="shared" si="55"/>
        <v>70</v>
      </c>
      <c r="P1734" t="str">
        <f t="shared" si="56"/>
        <v>70K</v>
      </c>
    </row>
    <row r="1735" spans="1:16" x14ac:dyDescent="0.35">
      <c r="A1735">
        <v>2001</v>
      </c>
      <c r="B1735" s="6" t="s">
        <v>35</v>
      </c>
      <c r="J1735" s="13">
        <v>14920.13</v>
      </c>
      <c r="K1735" s="5">
        <f t="shared" si="55"/>
        <v>10</v>
      </c>
      <c r="P1735" t="str">
        <f t="shared" si="56"/>
        <v>10K</v>
      </c>
    </row>
    <row r="1736" spans="1:16" x14ac:dyDescent="0.35">
      <c r="A1736">
        <v>2012</v>
      </c>
      <c r="B1736" s="7" t="s">
        <v>10</v>
      </c>
      <c r="J1736" s="12">
        <v>48135.89</v>
      </c>
      <c r="K1736" s="5">
        <f t="shared" si="55"/>
        <v>50</v>
      </c>
      <c r="P1736" t="str">
        <f t="shared" si="56"/>
        <v>50K</v>
      </c>
    </row>
    <row r="1737" spans="1:16" x14ac:dyDescent="0.35">
      <c r="A1737">
        <v>2023</v>
      </c>
      <c r="B1737" s="6" t="s">
        <v>23</v>
      </c>
      <c r="J1737" s="13">
        <v>51812.24</v>
      </c>
      <c r="K1737" s="5">
        <f t="shared" si="55"/>
        <v>50</v>
      </c>
      <c r="P1737" t="str">
        <f t="shared" si="56"/>
        <v>50K</v>
      </c>
    </row>
    <row r="1738" spans="1:16" x14ac:dyDescent="0.35">
      <c r="A1738">
        <v>2014</v>
      </c>
      <c r="B1738" s="7" t="s">
        <v>23</v>
      </c>
      <c r="J1738" s="12">
        <v>41227.01</v>
      </c>
      <c r="K1738" s="5">
        <f t="shared" si="55"/>
        <v>40</v>
      </c>
      <c r="P1738" t="str">
        <f t="shared" si="56"/>
        <v>40K</v>
      </c>
    </row>
    <row r="1739" spans="1:16" x14ac:dyDescent="0.35">
      <c r="A1739">
        <v>2001</v>
      </c>
      <c r="B1739" s="6" t="s">
        <v>20</v>
      </c>
      <c r="J1739" s="13">
        <v>22600.48</v>
      </c>
      <c r="K1739" s="5">
        <f t="shared" si="55"/>
        <v>20</v>
      </c>
      <c r="P1739" t="str">
        <f t="shared" si="56"/>
        <v>20K</v>
      </c>
    </row>
    <row r="1740" spans="1:16" x14ac:dyDescent="0.35">
      <c r="A1740">
        <v>2006</v>
      </c>
      <c r="B1740" s="7" t="s">
        <v>25</v>
      </c>
      <c r="J1740" s="12">
        <v>38755.050000000003</v>
      </c>
      <c r="K1740" s="5">
        <f t="shared" si="55"/>
        <v>40</v>
      </c>
      <c r="P1740" t="str">
        <f t="shared" si="56"/>
        <v>40K</v>
      </c>
    </row>
    <row r="1741" spans="1:16" x14ac:dyDescent="0.35">
      <c r="A1741">
        <v>2002</v>
      </c>
      <c r="B1741" s="6" t="s">
        <v>27</v>
      </c>
      <c r="J1741" s="13">
        <v>37067.94</v>
      </c>
      <c r="K1741" s="5">
        <f t="shared" si="55"/>
        <v>40</v>
      </c>
      <c r="P1741" t="str">
        <f t="shared" si="56"/>
        <v>40K</v>
      </c>
    </row>
    <row r="1742" spans="1:16" x14ac:dyDescent="0.35">
      <c r="A1742">
        <v>2007</v>
      </c>
      <c r="B1742" s="7" t="s">
        <v>27</v>
      </c>
      <c r="J1742" s="12">
        <v>52430.239999999998</v>
      </c>
      <c r="K1742" s="5">
        <f t="shared" si="55"/>
        <v>50</v>
      </c>
      <c r="P1742" t="str">
        <f t="shared" si="56"/>
        <v>50K</v>
      </c>
    </row>
    <row r="1743" spans="1:16" x14ac:dyDescent="0.35">
      <c r="A1743">
        <v>2022</v>
      </c>
      <c r="B1743" s="6" t="s">
        <v>23</v>
      </c>
      <c r="J1743" s="13">
        <v>69094.679999999993</v>
      </c>
      <c r="K1743" s="5">
        <f t="shared" si="55"/>
        <v>70</v>
      </c>
      <c r="P1743" t="str">
        <f t="shared" si="56"/>
        <v>70K</v>
      </c>
    </row>
    <row r="1744" spans="1:16" x14ac:dyDescent="0.35">
      <c r="A1744">
        <v>2013</v>
      </c>
      <c r="B1744" s="7" t="s">
        <v>29</v>
      </c>
      <c r="J1744" s="12">
        <v>96982.34</v>
      </c>
      <c r="K1744" s="5">
        <f t="shared" si="55"/>
        <v>100</v>
      </c>
      <c r="P1744" t="str">
        <f t="shared" si="56"/>
        <v>100K</v>
      </c>
    </row>
    <row r="1745" spans="1:16" x14ac:dyDescent="0.35">
      <c r="A1745">
        <v>2023</v>
      </c>
      <c r="B1745" s="6" t="s">
        <v>29</v>
      </c>
      <c r="J1745" s="13">
        <v>18695.509999999998</v>
      </c>
      <c r="K1745" s="5">
        <f t="shared" si="55"/>
        <v>20</v>
      </c>
      <c r="P1745" t="str">
        <f t="shared" si="56"/>
        <v>20K</v>
      </c>
    </row>
    <row r="1746" spans="1:16" x14ac:dyDescent="0.35">
      <c r="A1746">
        <v>2022</v>
      </c>
      <c r="B1746" s="7" t="s">
        <v>20</v>
      </c>
      <c r="J1746" s="12">
        <v>87936.63</v>
      </c>
      <c r="K1746" s="5">
        <f t="shared" si="55"/>
        <v>90</v>
      </c>
      <c r="P1746" t="str">
        <f t="shared" si="56"/>
        <v>90K</v>
      </c>
    </row>
    <row r="1747" spans="1:16" x14ac:dyDescent="0.35">
      <c r="A1747">
        <v>2021</v>
      </c>
      <c r="B1747" s="6" t="s">
        <v>27</v>
      </c>
      <c r="J1747" s="13">
        <v>31996.91</v>
      </c>
      <c r="K1747" s="5">
        <f t="shared" si="55"/>
        <v>30</v>
      </c>
      <c r="P1747" t="str">
        <f t="shared" si="56"/>
        <v>30K</v>
      </c>
    </row>
    <row r="1748" spans="1:16" x14ac:dyDescent="0.35">
      <c r="A1748">
        <v>2006</v>
      </c>
      <c r="B1748" s="7" t="s">
        <v>23</v>
      </c>
      <c r="J1748" s="12">
        <v>61180.41</v>
      </c>
      <c r="K1748" s="5">
        <f t="shared" si="55"/>
        <v>60</v>
      </c>
      <c r="P1748" t="str">
        <f t="shared" si="56"/>
        <v>60K</v>
      </c>
    </row>
    <row r="1749" spans="1:16" x14ac:dyDescent="0.35">
      <c r="A1749">
        <v>2020</v>
      </c>
      <c r="B1749" s="6" t="s">
        <v>25</v>
      </c>
      <c r="J1749" s="13">
        <v>56940.01</v>
      </c>
      <c r="K1749" s="5">
        <f t="shared" si="55"/>
        <v>60</v>
      </c>
      <c r="P1749" t="str">
        <f t="shared" si="56"/>
        <v>60K</v>
      </c>
    </row>
    <row r="1750" spans="1:16" x14ac:dyDescent="0.35">
      <c r="A1750">
        <v>2006</v>
      </c>
      <c r="B1750" s="7" t="s">
        <v>27</v>
      </c>
      <c r="J1750" s="12">
        <v>57910.1</v>
      </c>
      <c r="K1750" s="5">
        <f t="shared" si="55"/>
        <v>60</v>
      </c>
      <c r="P1750" t="str">
        <f t="shared" si="56"/>
        <v>60K</v>
      </c>
    </row>
    <row r="1751" spans="1:16" x14ac:dyDescent="0.35">
      <c r="A1751">
        <v>2000</v>
      </c>
      <c r="B1751" s="6" t="s">
        <v>23</v>
      </c>
      <c r="J1751" s="13">
        <v>73719.070000000007</v>
      </c>
      <c r="K1751" s="5">
        <f t="shared" si="55"/>
        <v>70</v>
      </c>
      <c r="P1751" t="str">
        <f t="shared" si="56"/>
        <v>70K</v>
      </c>
    </row>
    <row r="1752" spans="1:16" x14ac:dyDescent="0.35">
      <c r="A1752">
        <v>2016</v>
      </c>
      <c r="B1752" s="7" t="s">
        <v>23</v>
      </c>
      <c r="J1752" s="12">
        <v>41260.39</v>
      </c>
      <c r="K1752" s="5">
        <f t="shared" si="55"/>
        <v>40</v>
      </c>
      <c r="P1752" t="str">
        <f t="shared" si="56"/>
        <v>40K</v>
      </c>
    </row>
    <row r="1753" spans="1:16" x14ac:dyDescent="0.35">
      <c r="A1753">
        <v>2008</v>
      </c>
      <c r="B1753" s="6" t="s">
        <v>35</v>
      </c>
      <c r="J1753" s="13">
        <v>35314.5</v>
      </c>
      <c r="K1753" s="5">
        <f t="shared" si="55"/>
        <v>40</v>
      </c>
      <c r="P1753" t="str">
        <f t="shared" si="56"/>
        <v>40K</v>
      </c>
    </row>
    <row r="1754" spans="1:16" x14ac:dyDescent="0.35">
      <c r="A1754">
        <v>2020</v>
      </c>
      <c r="B1754" s="7" t="s">
        <v>25</v>
      </c>
      <c r="J1754" s="12">
        <v>86019.28</v>
      </c>
      <c r="K1754" s="5">
        <f t="shared" si="55"/>
        <v>90</v>
      </c>
      <c r="P1754" t="str">
        <f t="shared" si="56"/>
        <v>90K</v>
      </c>
    </row>
    <row r="1755" spans="1:16" x14ac:dyDescent="0.35">
      <c r="A1755">
        <v>2012</v>
      </c>
      <c r="B1755" s="6" t="s">
        <v>35</v>
      </c>
      <c r="J1755" s="13">
        <v>25909.03</v>
      </c>
      <c r="K1755" s="5">
        <f t="shared" si="55"/>
        <v>30</v>
      </c>
      <c r="P1755" t="str">
        <f t="shared" si="56"/>
        <v>30K</v>
      </c>
    </row>
    <row r="1756" spans="1:16" x14ac:dyDescent="0.35">
      <c r="A1756">
        <v>2020</v>
      </c>
      <c r="B1756" s="7" t="s">
        <v>20</v>
      </c>
      <c r="J1756" s="12">
        <v>22123.37</v>
      </c>
      <c r="K1756" s="5">
        <f t="shared" si="55"/>
        <v>20</v>
      </c>
      <c r="P1756" t="str">
        <f t="shared" si="56"/>
        <v>20K</v>
      </c>
    </row>
    <row r="1757" spans="1:16" x14ac:dyDescent="0.35">
      <c r="A1757">
        <v>2018</v>
      </c>
      <c r="B1757" s="6" t="s">
        <v>35</v>
      </c>
      <c r="J1757" s="13">
        <v>6482.71</v>
      </c>
      <c r="K1757" s="5">
        <f t="shared" si="55"/>
        <v>10</v>
      </c>
      <c r="P1757" t="str">
        <f t="shared" si="56"/>
        <v>10K</v>
      </c>
    </row>
    <row r="1758" spans="1:16" x14ac:dyDescent="0.35">
      <c r="A1758">
        <v>2020</v>
      </c>
      <c r="B1758" s="7" t="s">
        <v>10</v>
      </c>
      <c r="J1758" s="12">
        <v>25004.89</v>
      </c>
      <c r="K1758" s="5">
        <f t="shared" si="55"/>
        <v>30</v>
      </c>
      <c r="P1758" t="str">
        <f t="shared" si="56"/>
        <v>30K</v>
      </c>
    </row>
    <row r="1759" spans="1:16" x14ac:dyDescent="0.35">
      <c r="A1759">
        <v>2018</v>
      </c>
      <c r="B1759" s="6" t="s">
        <v>35</v>
      </c>
      <c r="J1759" s="13">
        <v>54260.49</v>
      </c>
      <c r="K1759" s="5">
        <f t="shared" si="55"/>
        <v>50</v>
      </c>
      <c r="P1759" t="str">
        <f t="shared" si="56"/>
        <v>50K</v>
      </c>
    </row>
    <row r="1760" spans="1:16" x14ac:dyDescent="0.35">
      <c r="A1760">
        <v>2021</v>
      </c>
      <c r="B1760" s="7" t="s">
        <v>10</v>
      </c>
      <c r="J1760" s="12">
        <v>56158.34</v>
      </c>
      <c r="K1760" s="5">
        <f t="shared" si="55"/>
        <v>60</v>
      </c>
      <c r="P1760" t="str">
        <f t="shared" si="56"/>
        <v>60K</v>
      </c>
    </row>
    <row r="1761" spans="1:16" x14ac:dyDescent="0.35">
      <c r="A1761">
        <v>2016</v>
      </c>
      <c r="B1761" s="6" t="s">
        <v>27</v>
      </c>
      <c r="J1761" s="13">
        <v>29169.95</v>
      </c>
      <c r="K1761" s="5">
        <f t="shared" si="55"/>
        <v>30</v>
      </c>
      <c r="P1761" t="str">
        <f t="shared" si="56"/>
        <v>30K</v>
      </c>
    </row>
    <row r="1762" spans="1:16" x14ac:dyDescent="0.35">
      <c r="A1762">
        <v>2022</v>
      </c>
      <c r="B1762" s="7" t="s">
        <v>29</v>
      </c>
      <c r="J1762" s="12">
        <v>11866.05</v>
      </c>
      <c r="K1762" s="5">
        <f t="shared" si="55"/>
        <v>10</v>
      </c>
      <c r="P1762" t="str">
        <f t="shared" si="56"/>
        <v>10K</v>
      </c>
    </row>
    <row r="1763" spans="1:16" x14ac:dyDescent="0.35">
      <c r="A1763">
        <v>2022</v>
      </c>
      <c r="B1763" s="6" t="s">
        <v>23</v>
      </c>
      <c r="J1763" s="13">
        <v>75740.88</v>
      </c>
      <c r="K1763" s="5">
        <f t="shared" si="55"/>
        <v>80</v>
      </c>
      <c r="P1763" t="str">
        <f t="shared" si="56"/>
        <v>80K</v>
      </c>
    </row>
    <row r="1764" spans="1:16" x14ac:dyDescent="0.35">
      <c r="A1764">
        <v>2009</v>
      </c>
      <c r="B1764" s="7" t="s">
        <v>10</v>
      </c>
      <c r="J1764" s="12">
        <v>77007.66</v>
      </c>
      <c r="K1764" s="5">
        <f t="shared" si="55"/>
        <v>80</v>
      </c>
      <c r="P1764" t="str">
        <f t="shared" si="56"/>
        <v>80K</v>
      </c>
    </row>
    <row r="1765" spans="1:16" x14ac:dyDescent="0.35">
      <c r="A1765">
        <v>2009</v>
      </c>
      <c r="B1765" s="6" t="s">
        <v>25</v>
      </c>
      <c r="J1765" s="13">
        <v>99794.46</v>
      </c>
      <c r="K1765" s="5">
        <f t="shared" si="55"/>
        <v>100</v>
      </c>
      <c r="P1765" t="str">
        <f t="shared" si="56"/>
        <v>100K</v>
      </c>
    </row>
    <row r="1766" spans="1:16" x14ac:dyDescent="0.35">
      <c r="A1766">
        <v>2003</v>
      </c>
      <c r="B1766" s="7" t="s">
        <v>35</v>
      </c>
      <c r="J1766" s="12">
        <v>90502.81</v>
      </c>
      <c r="K1766" s="5">
        <f t="shared" si="55"/>
        <v>90</v>
      </c>
      <c r="P1766" t="str">
        <f t="shared" si="56"/>
        <v>90K</v>
      </c>
    </row>
    <row r="1767" spans="1:16" x14ac:dyDescent="0.35">
      <c r="A1767">
        <v>2007</v>
      </c>
      <c r="B1767" s="6" t="s">
        <v>10</v>
      </c>
      <c r="J1767" s="13">
        <v>92975.9</v>
      </c>
      <c r="K1767" s="5">
        <f t="shared" si="55"/>
        <v>90</v>
      </c>
      <c r="P1767" t="str">
        <f t="shared" si="56"/>
        <v>90K</v>
      </c>
    </row>
    <row r="1768" spans="1:16" x14ac:dyDescent="0.35">
      <c r="A1768">
        <v>2021</v>
      </c>
      <c r="B1768" s="7" t="s">
        <v>25</v>
      </c>
      <c r="J1768" s="12">
        <v>80829.36</v>
      </c>
      <c r="K1768" s="5">
        <f t="shared" si="55"/>
        <v>80</v>
      </c>
      <c r="P1768" t="str">
        <f t="shared" si="56"/>
        <v>80K</v>
      </c>
    </row>
    <row r="1769" spans="1:16" x14ac:dyDescent="0.35">
      <c r="A1769">
        <v>2019</v>
      </c>
      <c r="B1769" s="6" t="s">
        <v>29</v>
      </c>
      <c r="J1769" s="13">
        <v>63472.77</v>
      </c>
      <c r="K1769" s="5">
        <f t="shared" si="55"/>
        <v>60</v>
      </c>
      <c r="P1769" t="str">
        <f t="shared" si="56"/>
        <v>60K</v>
      </c>
    </row>
    <row r="1770" spans="1:16" x14ac:dyDescent="0.35">
      <c r="A1770">
        <v>2019</v>
      </c>
      <c r="B1770" s="7" t="s">
        <v>29</v>
      </c>
      <c r="J1770" s="12">
        <v>17211.87</v>
      </c>
      <c r="K1770" s="5">
        <f t="shared" si="55"/>
        <v>20</v>
      </c>
      <c r="P1770" t="str">
        <f t="shared" si="56"/>
        <v>20K</v>
      </c>
    </row>
    <row r="1771" spans="1:16" x14ac:dyDescent="0.35">
      <c r="A1771">
        <v>2017</v>
      </c>
      <c r="B1771" s="6" t="s">
        <v>35</v>
      </c>
      <c r="J1771" s="13">
        <v>64119.76</v>
      </c>
      <c r="K1771" s="5">
        <f t="shared" si="55"/>
        <v>60</v>
      </c>
      <c r="P1771" t="str">
        <f t="shared" si="56"/>
        <v>60K</v>
      </c>
    </row>
    <row r="1772" spans="1:16" x14ac:dyDescent="0.35">
      <c r="A1772">
        <v>2013</v>
      </c>
      <c r="B1772" s="7" t="s">
        <v>20</v>
      </c>
      <c r="J1772" s="12">
        <v>10315.81</v>
      </c>
      <c r="K1772" s="5">
        <f t="shared" si="55"/>
        <v>10</v>
      </c>
      <c r="P1772" t="str">
        <f t="shared" si="56"/>
        <v>10K</v>
      </c>
    </row>
    <row r="1773" spans="1:16" x14ac:dyDescent="0.35">
      <c r="A1773">
        <v>2017</v>
      </c>
      <c r="B1773" s="6" t="s">
        <v>35</v>
      </c>
      <c r="J1773" s="13">
        <v>89103.42</v>
      </c>
      <c r="K1773" s="5">
        <f t="shared" si="55"/>
        <v>90</v>
      </c>
      <c r="P1773" t="str">
        <f t="shared" si="56"/>
        <v>90K</v>
      </c>
    </row>
    <row r="1774" spans="1:16" x14ac:dyDescent="0.35">
      <c r="A1774">
        <v>2013</v>
      </c>
      <c r="B1774" s="7" t="s">
        <v>27</v>
      </c>
      <c r="J1774" s="12">
        <v>50773.03</v>
      </c>
      <c r="K1774" s="5">
        <f t="shared" si="55"/>
        <v>50</v>
      </c>
      <c r="P1774" t="str">
        <f t="shared" si="56"/>
        <v>50K</v>
      </c>
    </row>
    <row r="1775" spans="1:16" x14ac:dyDescent="0.35">
      <c r="A1775">
        <v>2019</v>
      </c>
      <c r="B1775" s="6" t="s">
        <v>10</v>
      </c>
      <c r="J1775" s="13">
        <v>71259.92</v>
      </c>
      <c r="K1775" s="5">
        <f t="shared" si="55"/>
        <v>70</v>
      </c>
      <c r="P1775" t="str">
        <f t="shared" si="56"/>
        <v>70K</v>
      </c>
    </row>
    <row r="1776" spans="1:16" x14ac:dyDescent="0.35">
      <c r="A1776">
        <v>2020</v>
      </c>
      <c r="B1776" s="7" t="s">
        <v>23</v>
      </c>
      <c r="J1776" s="12">
        <v>9963.15</v>
      </c>
      <c r="K1776" s="5">
        <f t="shared" si="55"/>
        <v>10</v>
      </c>
      <c r="P1776" t="str">
        <f t="shared" si="56"/>
        <v>10K</v>
      </c>
    </row>
    <row r="1777" spans="1:16" x14ac:dyDescent="0.35">
      <c r="A1777">
        <v>2023</v>
      </c>
      <c r="B1777" s="6" t="s">
        <v>20</v>
      </c>
      <c r="J1777" s="13">
        <v>55753.599999999999</v>
      </c>
      <c r="K1777" s="5">
        <f t="shared" si="55"/>
        <v>60</v>
      </c>
      <c r="P1777" t="str">
        <f t="shared" si="56"/>
        <v>60K</v>
      </c>
    </row>
    <row r="1778" spans="1:16" x14ac:dyDescent="0.35">
      <c r="A1778">
        <v>2014</v>
      </c>
      <c r="B1778" s="7" t="s">
        <v>35</v>
      </c>
      <c r="J1778" s="12">
        <v>33620.019999999997</v>
      </c>
      <c r="K1778" s="5">
        <f t="shared" si="55"/>
        <v>30</v>
      </c>
      <c r="P1778" t="str">
        <f t="shared" si="56"/>
        <v>30K</v>
      </c>
    </row>
    <row r="1779" spans="1:16" x14ac:dyDescent="0.35">
      <c r="A1779">
        <v>2021</v>
      </c>
      <c r="B1779" s="6" t="s">
        <v>25</v>
      </c>
      <c r="J1779" s="13">
        <v>32071.99</v>
      </c>
      <c r="K1779" s="5">
        <f t="shared" si="55"/>
        <v>30</v>
      </c>
      <c r="P1779" t="str">
        <f t="shared" si="56"/>
        <v>30K</v>
      </c>
    </row>
    <row r="1780" spans="1:16" x14ac:dyDescent="0.35">
      <c r="A1780">
        <v>2003</v>
      </c>
      <c r="B1780" s="7" t="s">
        <v>20</v>
      </c>
      <c r="J1780" s="12">
        <v>42017.31</v>
      </c>
      <c r="K1780" s="5">
        <f t="shared" si="55"/>
        <v>40</v>
      </c>
      <c r="P1780" t="str">
        <f t="shared" si="56"/>
        <v>40K</v>
      </c>
    </row>
    <row r="1781" spans="1:16" x14ac:dyDescent="0.35">
      <c r="A1781">
        <v>2012</v>
      </c>
      <c r="B1781" s="6" t="s">
        <v>10</v>
      </c>
      <c r="J1781" s="13">
        <v>5060.75</v>
      </c>
      <c r="K1781" s="5">
        <f t="shared" si="55"/>
        <v>10</v>
      </c>
      <c r="P1781" t="str">
        <f t="shared" si="56"/>
        <v>10K</v>
      </c>
    </row>
    <row r="1782" spans="1:16" x14ac:dyDescent="0.35">
      <c r="A1782">
        <v>2022</v>
      </c>
      <c r="B1782" s="7" t="s">
        <v>20</v>
      </c>
      <c r="J1782" s="12">
        <v>49332.78</v>
      </c>
      <c r="K1782" s="5">
        <f t="shared" si="55"/>
        <v>50</v>
      </c>
      <c r="P1782" t="str">
        <f t="shared" si="56"/>
        <v>50K</v>
      </c>
    </row>
    <row r="1783" spans="1:16" x14ac:dyDescent="0.35">
      <c r="A1783">
        <v>2007</v>
      </c>
      <c r="B1783" s="6" t="s">
        <v>10</v>
      </c>
      <c r="J1783" s="13">
        <v>51223.83</v>
      </c>
      <c r="K1783" s="5">
        <f t="shared" si="55"/>
        <v>50</v>
      </c>
      <c r="P1783" t="str">
        <f t="shared" si="56"/>
        <v>50K</v>
      </c>
    </row>
    <row r="1784" spans="1:16" x14ac:dyDescent="0.35">
      <c r="A1784">
        <v>2017</v>
      </c>
      <c r="B1784" s="7" t="s">
        <v>35</v>
      </c>
      <c r="J1784" s="12">
        <v>86997.440000000002</v>
      </c>
      <c r="K1784" s="5">
        <f t="shared" si="55"/>
        <v>90</v>
      </c>
      <c r="P1784" t="str">
        <f t="shared" si="56"/>
        <v>90K</v>
      </c>
    </row>
    <row r="1785" spans="1:16" x14ac:dyDescent="0.35">
      <c r="A1785">
        <v>2011</v>
      </c>
      <c r="B1785" s="6" t="s">
        <v>10</v>
      </c>
      <c r="J1785" s="13">
        <v>47609.93</v>
      </c>
      <c r="K1785" s="5">
        <f t="shared" si="55"/>
        <v>50</v>
      </c>
      <c r="P1785" t="str">
        <f t="shared" si="56"/>
        <v>50K</v>
      </c>
    </row>
    <row r="1786" spans="1:16" x14ac:dyDescent="0.35">
      <c r="A1786">
        <v>2022</v>
      </c>
      <c r="B1786" s="7" t="s">
        <v>20</v>
      </c>
      <c r="J1786" s="12">
        <v>39537.85</v>
      </c>
      <c r="K1786" s="5">
        <f t="shared" si="55"/>
        <v>40</v>
      </c>
      <c r="P1786" t="str">
        <f t="shared" si="56"/>
        <v>40K</v>
      </c>
    </row>
    <row r="1787" spans="1:16" x14ac:dyDescent="0.35">
      <c r="A1787">
        <v>2013</v>
      </c>
      <c r="B1787" s="6" t="s">
        <v>25</v>
      </c>
      <c r="J1787" s="13">
        <v>99500.97</v>
      </c>
      <c r="K1787" s="5">
        <f t="shared" si="55"/>
        <v>100</v>
      </c>
      <c r="P1787" t="str">
        <f t="shared" si="56"/>
        <v>100K</v>
      </c>
    </row>
    <row r="1788" spans="1:16" x14ac:dyDescent="0.35">
      <c r="A1788">
        <v>2001</v>
      </c>
      <c r="B1788" s="7" t="s">
        <v>29</v>
      </c>
      <c r="J1788" s="12">
        <v>59265.27</v>
      </c>
      <c r="K1788" s="5">
        <f t="shared" si="55"/>
        <v>60</v>
      </c>
      <c r="P1788" t="str">
        <f t="shared" si="56"/>
        <v>60K</v>
      </c>
    </row>
    <row r="1789" spans="1:16" x14ac:dyDescent="0.35">
      <c r="A1789">
        <v>2017</v>
      </c>
      <c r="B1789" s="6" t="s">
        <v>20</v>
      </c>
      <c r="J1789" s="13">
        <v>49898.25</v>
      </c>
      <c r="K1789" s="5">
        <f t="shared" si="55"/>
        <v>50</v>
      </c>
      <c r="P1789" t="str">
        <f t="shared" si="56"/>
        <v>50K</v>
      </c>
    </row>
    <row r="1790" spans="1:16" x14ac:dyDescent="0.35">
      <c r="A1790">
        <v>2023</v>
      </c>
      <c r="B1790" s="7" t="s">
        <v>10</v>
      </c>
      <c r="J1790" s="12">
        <v>52113.9</v>
      </c>
      <c r="K1790" s="5">
        <f t="shared" si="55"/>
        <v>50</v>
      </c>
      <c r="P1790" t="str">
        <f t="shared" si="56"/>
        <v>50K</v>
      </c>
    </row>
    <row r="1791" spans="1:16" x14ac:dyDescent="0.35">
      <c r="A1791">
        <v>2001</v>
      </c>
      <c r="B1791" s="6" t="s">
        <v>29</v>
      </c>
      <c r="J1791" s="13">
        <v>81872.22</v>
      </c>
      <c r="K1791" s="5">
        <f t="shared" si="55"/>
        <v>80</v>
      </c>
      <c r="P1791" t="str">
        <f t="shared" si="56"/>
        <v>80K</v>
      </c>
    </row>
    <row r="1792" spans="1:16" x14ac:dyDescent="0.35">
      <c r="A1792">
        <v>2010</v>
      </c>
      <c r="B1792" s="7" t="s">
        <v>10</v>
      </c>
      <c r="J1792" s="12">
        <v>37364.26</v>
      </c>
      <c r="K1792" s="5">
        <f t="shared" si="55"/>
        <v>40</v>
      </c>
      <c r="P1792" t="str">
        <f t="shared" si="56"/>
        <v>40K</v>
      </c>
    </row>
    <row r="1793" spans="1:16" x14ac:dyDescent="0.35">
      <c r="A1793">
        <v>2008</v>
      </c>
      <c r="B1793" s="6" t="s">
        <v>25</v>
      </c>
      <c r="J1793" s="13">
        <v>41970.239999999998</v>
      </c>
      <c r="K1793" s="5">
        <f t="shared" si="55"/>
        <v>40</v>
      </c>
      <c r="P1793" t="str">
        <f t="shared" si="56"/>
        <v>40K</v>
      </c>
    </row>
    <row r="1794" spans="1:16" x14ac:dyDescent="0.35">
      <c r="A1794">
        <v>2011</v>
      </c>
      <c r="B1794" s="7" t="s">
        <v>10</v>
      </c>
      <c r="J1794" s="12">
        <v>76807.97</v>
      </c>
      <c r="K1794" s="5">
        <f t="shared" si="55"/>
        <v>80</v>
      </c>
      <c r="P1794" t="str">
        <f t="shared" si="56"/>
        <v>80K</v>
      </c>
    </row>
    <row r="1795" spans="1:16" x14ac:dyDescent="0.35">
      <c r="A1795">
        <v>2016</v>
      </c>
      <c r="B1795" s="6" t="s">
        <v>35</v>
      </c>
      <c r="J1795" s="13">
        <v>11933.46</v>
      </c>
      <c r="K1795" s="5">
        <f t="shared" ref="K1795:K1858" si="57">ROUND(J1795/10000,0)*10</f>
        <v>10</v>
      </c>
      <c r="P1795" t="str">
        <f t="shared" ref="P1795:P1858" si="58">TEXT(ROUND(J1795/10000,0)*10,"0") &amp; "K"</f>
        <v>10K</v>
      </c>
    </row>
    <row r="1796" spans="1:16" x14ac:dyDescent="0.35">
      <c r="A1796">
        <v>2014</v>
      </c>
      <c r="B1796" s="7" t="s">
        <v>23</v>
      </c>
      <c r="J1796" s="12">
        <v>87191.07</v>
      </c>
      <c r="K1796" s="5">
        <f t="shared" si="57"/>
        <v>90</v>
      </c>
      <c r="P1796" t="str">
        <f t="shared" si="58"/>
        <v>90K</v>
      </c>
    </row>
    <row r="1797" spans="1:16" x14ac:dyDescent="0.35">
      <c r="A1797">
        <v>2016</v>
      </c>
      <c r="B1797" s="6" t="s">
        <v>20</v>
      </c>
      <c r="J1797" s="13">
        <v>45869.26</v>
      </c>
      <c r="K1797" s="5">
        <f t="shared" si="57"/>
        <v>50</v>
      </c>
      <c r="P1797" t="str">
        <f t="shared" si="58"/>
        <v>50K</v>
      </c>
    </row>
    <row r="1798" spans="1:16" x14ac:dyDescent="0.35">
      <c r="A1798">
        <v>2017</v>
      </c>
      <c r="B1798" s="7" t="s">
        <v>23</v>
      </c>
      <c r="J1798" s="12">
        <v>60222.83</v>
      </c>
      <c r="K1798" s="5">
        <f t="shared" si="57"/>
        <v>60</v>
      </c>
      <c r="P1798" t="str">
        <f t="shared" si="58"/>
        <v>60K</v>
      </c>
    </row>
    <row r="1799" spans="1:16" x14ac:dyDescent="0.35">
      <c r="A1799">
        <v>2021</v>
      </c>
      <c r="B1799" s="6" t="s">
        <v>10</v>
      </c>
      <c r="J1799" s="13">
        <v>76960.240000000005</v>
      </c>
      <c r="K1799" s="5">
        <f t="shared" si="57"/>
        <v>80</v>
      </c>
      <c r="P1799" t="str">
        <f t="shared" si="58"/>
        <v>80K</v>
      </c>
    </row>
    <row r="1800" spans="1:16" x14ac:dyDescent="0.35">
      <c r="A1800">
        <v>2005</v>
      </c>
      <c r="B1800" s="7" t="s">
        <v>25</v>
      </c>
      <c r="J1800" s="12">
        <v>30274.93</v>
      </c>
      <c r="K1800" s="5">
        <f t="shared" si="57"/>
        <v>30</v>
      </c>
      <c r="P1800" t="str">
        <f t="shared" si="58"/>
        <v>30K</v>
      </c>
    </row>
    <row r="1801" spans="1:16" x14ac:dyDescent="0.35">
      <c r="A1801">
        <v>2016</v>
      </c>
      <c r="B1801" s="6" t="s">
        <v>20</v>
      </c>
      <c r="J1801" s="13">
        <v>89579.85</v>
      </c>
      <c r="K1801" s="5">
        <f t="shared" si="57"/>
        <v>90</v>
      </c>
      <c r="P1801" t="str">
        <f t="shared" si="58"/>
        <v>90K</v>
      </c>
    </row>
    <row r="1802" spans="1:16" x14ac:dyDescent="0.35">
      <c r="A1802">
        <v>2022</v>
      </c>
      <c r="B1802" s="7" t="s">
        <v>10</v>
      </c>
      <c r="J1802" s="12">
        <v>98026.37</v>
      </c>
      <c r="K1802" s="5">
        <f t="shared" si="57"/>
        <v>100</v>
      </c>
      <c r="P1802" t="str">
        <f t="shared" si="58"/>
        <v>100K</v>
      </c>
    </row>
    <row r="1803" spans="1:16" x14ac:dyDescent="0.35">
      <c r="A1803">
        <v>2023</v>
      </c>
      <c r="B1803" s="6" t="s">
        <v>29</v>
      </c>
      <c r="J1803" s="13">
        <v>51956.06</v>
      </c>
      <c r="K1803" s="5">
        <f t="shared" si="57"/>
        <v>50</v>
      </c>
      <c r="P1803" t="str">
        <f t="shared" si="58"/>
        <v>50K</v>
      </c>
    </row>
    <row r="1804" spans="1:16" x14ac:dyDescent="0.35">
      <c r="A1804">
        <v>2017</v>
      </c>
      <c r="B1804" s="7" t="s">
        <v>27</v>
      </c>
      <c r="J1804" s="12">
        <v>94009.05</v>
      </c>
      <c r="K1804" s="5">
        <f t="shared" si="57"/>
        <v>90</v>
      </c>
      <c r="P1804" t="str">
        <f t="shared" si="58"/>
        <v>90K</v>
      </c>
    </row>
    <row r="1805" spans="1:16" x14ac:dyDescent="0.35">
      <c r="A1805">
        <v>2007</v>
      </c>
      <c r="B1805" s="6" t="s">
        <v>10</v>
      </c>
      <c r="J1805" s="13">
        <v>5107.22</v>
      </c>
      <c r="K1805" s="5">
        <f t="shared" si="57"/>
        <v>10</v>
      </c>
      <c r="P1805" t="str">
        <f t="shared" si="58"/>
        <v>10K</v>
      </c>
    </row>
    <row r="1806" spans="1:16" x14ac:dyDescent="0.35">
      <c r="A1806">
        <v>2008</v>
      </c>
      <c r="B1806" s="7" t="s">
        <v>23</v>
      </c>
      <c r="J1806" s="12">
        <v>89952.59</v>
      </c>
      <c r="K1806" s="5">
        <f t="shared" si="57"/>
        <v>90</v>
      </c>
      <c r="P1806" t="str">
        <f t="shared" si="58"/>
        <v>90K</v>
      </c>
    </row>
    <row r="1807" spans="1:16" x14ac:dyDescent="0.35">
      <c r="A1807">
        <v>2005</v>
      </c>
      <c r="B1807" s="6" t="s">
        <v>20</v>
      </c>
      <c r="J1807" s="13">
        <v>34549.31</v>
      </c>
      <c r="K1807" s="5">
        <f t="shared" si="57"/>
        <v>30</v>
      </c>
      <c r="P1807" t="str">
        <f t="shared" si="58"/>
        <v>30K</v>
      </c>
    </row>
    <row r="1808" spans="1:16" x14ac:dyDescent="0.35">
      <c r="A1808">
        <v>2004</v>
      </c>
      <c r="B1808" s="7" t="s">
        <v>23</v>
      </c>
      <c r="J1808" s="12">
        <v>34592.07</v>
      </c>
      <c r="K1808" s="5">
        <f t="shared" si="57"/>
        <v>30</v>
      </c>
      <c r="P1808" t="str">
        <f t="shared" si="58"/>
        <v>30K</v>
      </c>
    </row>
    <row r="1809" spans="1:16" x14ac:dyDescent="0.35">
      <c r="A1809">
        <v>2011</v>
      </c>
      <c r="B1809" s="6" t="s">
        <v>20</v>
      </c>
      <c r="J1809" s="13">
        <v>26668.44</v>
      </c>
      <c r="K1809" s="5">
        <f t="shared" si="57"/>
        <v>30</v>
      </c>
      <c r="P1809" t="str">
        <f t="shared" si="58"/>
        <v>30K</v>
      </c>
    </row>
    <row r="1810" spans="1:16" x14ac:dyDescent="0.35">
      <c r="A1810">
        <v>2010</v>
      </c>
      <c r="B1810" s="7" t="s">
        <v>10</v>
      </c>
      <c r="J1810" s="12">
        <v>35116.32</v>
      </c>
      <c r="K1810" s="5">
        <f t="shared" si="57"/>
        <v>40</v>
      </c>
      <c r="P1810" t="str">
        <f t="shared" si="58"/>
        <v>40K</v>
      </c>
    </row>
    <row r="1811" spans="1:16" x14ac:dyDescent="0.35">
      <c r="A1811">
        <v>2000</v>
      </c>
      <c r="B1811" s="6" t="s">
        <v>35</v>
      </c>
      <c r="J1811" s="13">
        <v>25281.040000000001</v>
      </c>
      <c r="K1811" s="5">
        <f t="shared" si="57"/>
        <v>30</v>
      </c>
      <c r="P1811" t="str">
        <f t="shared" si="58"/>
        <v>30K</v>
      </c>
    </row>
    <row r="1812" spans="1:16" x14ac:dyDescent="0.35">
      <c r="A1812">
        <v>2010</v>
      </c>
      <c r="B1812" s="7" t="s">
        <v>29</v>
      </c>
      <c r="J1812" s="12">
        <v>91057.57</v>
      </c>
      <c r="K1812" s="5">
        <f t="shared" si="57"/>
        <v>90</v>
      </c>
      <c r="P1812" t="str">
        <f t="shared" si="58"/>
        <v>90K</v>
      </c>
    </row>
    <row r="1813" spans="1:16" x14ac:dyDescent="0.35">
      <c r="A1813">
        <v>2018</v>
      </c>
      <c r="B1813" s="6" t="s">
        <v>10</v>
      </c>
      <c r="J1813" s="13">
        <v>90407.25</v>
      </c>
      <c r="K1813" s="5">
        <f t="shared" si="57"/>
        <v>90</v>
      </c>
      <c r="P1813" t="str">
        <f t="shared" si="58"/>
        <v>90K</v>
      </c>
    </row>
    <row r="1814" spans="1:16" x14ac:dyDescent="0.35">
      <c r="A1814">
        <v>2008</v>
      </c>
      <c r="B1814" s="7" t="s">
        <v>23</v>
      </c>
      <c r="J1814" s="12">
        <v>14710.07</v>
      </c>
      <c r="K1814" s="5">
        <f t="shared" si="57"/>
        <v>10</v>
      </c>
      <c r="P1814" t="str">
        <f t="shared" si="58"/>
        <v>10K</v>
      </c>
    </row>
    <row r="1815" spans="1:16" x14ac:dyDescent="0.35">
      <c r="A1815">
        <v>2001</v>
      </c>
      <c r="B1815" s="6" t="s">
        <v>27</v>
      </c>
      <c r="J1815" s="13">
        <v>18571.55</v>
      </c>
      <c r="K1815" s="5">
        <f t="shared" si="57"/>
        <v>20</v>
      </c>
      <c r="P1815" t="str">
        <f t="shared" si="58"/>
        <v>20K</v>
      </c>
    </row>
    <row r="1816" spans="1:16" x14ac:dyDescent="0.35">
      <c r="A1816">
        <v>2011</v>
      </c>
      <c r="B1816" s="7" t="s">
        <v>27</v>
      </c>
      <c r="J1816" s="12">
        <v>86891.77</v>
      </c>
      <c r="K1816" s="5">
        <f t="shared" si="57"/>
        <v>90</v>
      </c>
      <c r="P1816" t="str">
        <f t="shared" si="58"/>
        <v>90K</v>
      </c>
    </row>
    <row r="1817" spans="1:16" x14ac:dyDescent="0.35">
      <c r="A1817">
        <v>2003</v>
      </c>
      <c r="B1817" s="6" t="s">
        <v>25</v>
      </c>
      <c r="J1817" s="13">
        <v>42899.09</v>
      </c>
      <c r="K1817" s="5">
        <f t="shared" si="57"/>
        <v>40</v>
      </c>
      <c r="P1817" t="str">
        <f t="shared" si="58"/>
        <v>40K</v>
      </c>
    </row>
    <row r="1818" spans="1:16" x14ac:dyDescent="0.35">
      <c r="A1818">
        <v>2003</v>
      </c>
      <c r="B1818" s="7" t="s">
        <v>20</v>
      </c>
      <c r="J1818" s="12">
        <v>21080.81</v>
      </c>
      <c r="K1818" s="5">
        <f t="shared" si="57"/>
        <v>20</v>
      </c>
      <c r="P1818" t="str">
        <f t="shared" si="58"/>
        <v>20K</v>
      </c>
    </row>
    <row r="1819" spans="1:16" x14ac:dyDescent="0.35">
      <c r="A1819">
        <v>2017</v>
      </c>
      <c r="B1819" s="6" t="s">
        <v>23</v>
      </c>
      <c r="J1819" s="13">
        <v>53513.59</v>
      </c>
      <c r="K1819" s="5">
        <f t="shared" si="57"/>
        <v>50</v>
      </c>
      <c r="P1819" t="str">
        <f t="shared" si="58"/>
        <v>50K</v>
      </c>
    </row>
    <row r="1820" spans="1:16" x14ac:dyDescent="0.35">
      <c r="A1820">
        <v>2014</v>
      </c>
      <c r="B1820" s="7" t="s">
        <v>25</v>
      </c>
      <c r="J1820" s="12">
        <v>44583.46</v>
      </c>
      <c r="K1820" s="5">
        <f t="shared" si="57"/>
        <v>40</v>
      </c>
      <c r="P1820" t="str">
        <f t="shared" si="58"/>
        <v>40K</v>
      </c>
    </row>
    <row r="1821" spans="1:16" x14ac:dyDescent="0.35">
      <c r="A1821">
        <v>2018</v>
      </c>
      <c r="B1821" s="6" t="s">
        <v>23</v>
      </c>
      <c r="J1821" s="13">
        <v>25820.35</v>
      </c>
      <c r="K1821" s="5">
        <f t="shared" si="57"/>
        <v>30</v>
      </c>
      <c r="P1821" t="str">
        <f t="shared" si="58"/>
        <v>30K</v>
      </c>
    </row>
    <row r="1822" spans="1:16" x14ac:dyDescent="0.35">
      <c r="A1822">
        <v>2012</v>
      </c>
      <c r="B1822" s="7" t="s">
        <v>20</v>
      </c>
      <c r="J1822" s="12">
        <v>73471.460000000006</v>
      </c>
      <c r="K1822" s="5">
        <f t="shared" si="57"/>
        <v>70</v>
      </c>
      <c r="P1822" t="str">
        <f t="shared" si="58"/>
        <v>70K</v>
      </c>
    </row>
    <row r="1823" spans="1:16" x14ac:dyDescent="0.35">
      <c r="A1823">
        <v>2018</v>
      </c>
      <c r="B1823" s="6" t="s">
        <v>10</v>
      </c>
      <c r="J1823" s="13">
        <v>64972.480000000003</v>
      </c>
      <c r="K1823" s="5">
        <f t="shared" si="57"/>
        <v>60</v>
      </c>
      <c r="P1823" t="str">
        <f t="shared" si="58"/>
        <v>60K</v>
      </c>
    </row>
    <row r="1824" spans="1:16" x14ac:dyDescent="0.35">
      <c r="A1824">
        <v>2016</v>
      </c>
      <c r="B1824" s="7" t="s">
        <v>10</v>
      </c>
      <c r="J1824" s="12">
        <v>14467.85</v>
      </c>
      <c r="K1824" s="5">
        <f t="shared" si="57"/>
        <v>10</v>
      </c>
      <c r="P1824" t="str">
        <f t="shared" si="58"/>
        <v>10K</v>
      </c>
    </row>
    <row r="1825" spans="1:16" x14ac:dyDescent="0.35">
      <c r="A1825">
        <v>2005</v>
      </c>
      <c r="B1825" s="6" t="s">
        <v>27</v>
      </c>
      <c r="J1825" s="13">
        <v>92911.74</v>
      </c>
      <c r="K1825" s="5">
        <f t="shared" si="57"/>
        <v>90</v>
      </c>
      <c r="P1825" t="str">
        <f t="shared" si="58"/>
        <v>90K</v>
      </c>
    </row>
    <row r="1826" spans="1:16" x14ac:dyDescent="0.35">
      <c r="A1826">
        <v>2015</v>
      </c>
      <c r="B1826" s="7" t="s">
        <v>10</v>
      </c>
      <c r="J1826" s="12">
        <v>58054.65</v>
      </c>
      <c r="K1826" s="5">
        <f t="shared" si="57"/>
        <v>60</v>
      </c>
      <c r="P1826" t="str">
        <f t="shared" si="58"/>
        <v>60K</v>
      </c>
    </row>
    <row r="1827" spans="1:16" x14ac:dyDescent="0.35">
      <c r="A1827">
        <v>2023</v>
      </c>
      <c r="B1827" s="6" t="s">
        <v>10</v>
      </c>
      <c r="J1827" s="13">
        <v>28769.43</v>
      </c>
      <c r="K1827" s="5">
        <f t="shared" si="57"/>
        <v>30</v>
      </c>
      <c r="P1827" t="str">
        <f t="shared" si="58"/>
        <v>30K</v>
      </c>
    </row>
    <row r="1828" spans="1:16" x14ac:dyDescent="0.35">
      <c r="A1828">
        <v>2011</v>
      </c>
      <c r="B1828" s="7" t="s">
        <v>35</v>
      </c>
      <c r="J1828" s="12">
        <v>24597.72</v>
      </c>
      <c r="K1828" s="5">
        <f t="shared" si="57"/>
        <v>20</v>
      </c>
      <c r="P1828" t="str">
        <f t="shared" si="58"/>
        <v>20K</v>
      </c>
    </row>
    <row r="1829" spans="1:16" x14ac:dyDescent="0.35">
      <c r="A1829">
        <v>2018</v>
      </c>
      <c r="B1829" s="6" t="s">
        <v>27</v>
      </c>
      <c r="J1829" s="13">
        <v>17915.060000000001</v>
      </c>
      <c r="K1829" s="5">
        <f t="shared" si="57"/>
        <v>20</v>
      </c>
      <c r="P1829" t="str">
        <f t="shared" si="58"/>
        <v>20K</v>
      </c>
    </row>
    <row r="1830" spans="1:16" x14ac:dyDescent="0.35">
      <c r="A1830">
        <v>2004</v>
      </c>
      <c r="B1830" s="7" t="s">
        <v>25</v>
      </c>
      <c r="J1830" s="12">
        <v>45340.55</v>
      </c>
      <c r="K1830" s="5">
        <f t="shared" si="57"/>
        <v>50</v>
      </c>
      <c r="P1830" t="str">
        <f t="shared" si="58"/>
        <v>50K</v>
      </c>
    </row>
    <row r="1831" spans="1:16" x14ac:dyDescent="0.35">
      <c r="A1831">
        <v>2016</v>
      </c>
      <c r="B1831" s="6" t="s">
        <v>29</v>
      </c>
      <c r="J1831" s="13">
        <v>17876.400000000001</v>
      </c>
      <c r="K1831" s="5">
        <f t="shared" si="57"/>
        <v>20</v>
      </c>
      <c r="P1831" t="str">
        <f t="shared" si="58"/>
        <v>20K</v>
      </c>
    </row>
    <row r="1832" spans="1:16" x14ac:dyDescent="0.35">
      <c r="A1832">
        <v>2022</v>
      </c>
      <c r="B1832" s="7" t="s">
        <v>35</v>
      </c>
      <c r="J1832" s="12">
        <v>44502.559999999998</v>
      </c>
      <c r="K1832" s="5">
        <f t="shared" si="57"/>
        <v>40</v>
      </c>
      <c r="P1832" t="str">
        <f t="shared" si="58"/>
        <v>40K</v>
      </c>
    </row>
    <row r="1833" spans="1:16" x14ac:dyDescent="0.35">
      <c r="A1833">
        <v>2000</v>
      </c>
      <c r="B1833" s="6" t="s">
        <v>25</v>
      </c>
      <c r="J1833" s="13">
        <v>19133.189999999999</v>
      </c>
      <c r="K1833" s="5">
        <f t="shared" si="57"/>
        <v>20</v>
      </c>
      <c r="P1833" t="str">
        <f t="shared" si="58"/>
        <v>20K</v>
      </c>
    </row>
    <row r="1834" spans="1:16" x14ac:dyDescent="0.35">
      <c r="A1834">
        <v>2023</v>
      </c>
      <c r="B1834" s="7" t="s">
        <v>20</v>
      </c>
      <c r="J1834" s="12">
        <v>67396.710000000006</v>
      </c>
      <c r="K1834" s="5">
        <f t="shared" si="57"/>
        <v>70</v>
      </c>
      <c r="P1834" t="str">
        <f t="shared" si="58"/>
        <v>70K</v>
      </c>
    </row>
    <row r="1835" spans="1:16" x14ac:dyDescent="0.35">
      <c r="A1835">
        <v>2022</v>
      </c>
      <c r="B1835" s="6" t="s">
        <v>35</v>
      </c>
      <c r="J1835" s="13">
        <v>79597.990000000005</v>
      </c>
      <c r="K1835" s="5">
        <f t="shared" si="57"/>
        <v>80</v>
      </c>
      <c r="P1835" t="str">
        <f t="shared" si="58"/>
        <v>80K</v>
      </c>
    </row>
    <row r="1836" spans="1:16" x14ac:dyDescent="0.35">
      <c r="A1836">
        <v>2009</v>
      </c>
      <c r="B1836" s="7" t="s">
        <v>25</v>
      </c>
      <c r="J1836" s="12">
        <v>57204.66</v>
      </c>
      <c r="K1836" s="5">
        <f t="shared" si="57"/>
        <v>60</v>
      </c>
      <c r="P1836" t="str">
        <f t="shared" si="58"/>
        <v>60K</v>
      </c>
    </row>
    <row r="1837" spans="1:16" x14ac:dyDescent="0.35">
      <c r="A1837">
        <v>2014</v>
      </c>
      <c r="B1837" s="6" t="s">
        <v>20</v>
      </c>
      <c r="J1837" s="13">
        <v>69605.399999999994</v>
      </c>
      <c r="K1837" s="5">
        <f t="shared" si="57"/>
        <v>70</v>
      </c>
      <c r="P1837" t="str">
        <f t="shared" si="58"/>
        <v>70K</v>
      </c>
    </row>
    <row r="1838" spans="1:16" x14ac:dyDescent="0.35">
      <c r="A1838">
        <v>2022</v>
      </c>
      <c r="B1838" s="7" t="s">
        <v>27</v>
      </c>
      <c r="J1838" s="12">
        <v>94145.98</v>
      </c>
      <c r="K1838" s="5">
        <f t="shared" si="57"/>
        <v>90</v>
      </c>
      <c r="P1838" t="str">
        <f t="shared" si="58"/>
        <v>90K</v>
      </c>
    </row>
    <row r="1839" spans="1:16" x14ac:dyDescent="0.35">
      <c r="A1839">
        <v>2020</v>
      </c>
      <c r="B1839" s="6" t="s">
        <v>29</v>
      </c>
      <c r="J1839" s="13">
        <v>65645.3</v>
      </c>
      <c r="K1839" s="5">
        <f t="shared" si="57"/>
        <v>70</v>
      </c>
      <c r="P1839" t="str">
        <f t="shared" si="58"/>
        <v>70K</v>
      </c>
    </row>
    <row r="1840" spans="1:16" x14ac:dyDescent="0.35">
      <c r="A1840">
        <v>2020</v>
      </c>
      <c r="B1840" s="7" t="s">
        <v>20</v>
      </c>
      <c r="J1840" s="12">
        <v>39595.03</v>
      </c>
      <c r="K1840" s="5">
        <f t="shared" si="57"/>
        <v>40</v>
      </c>
      <c r="P1840" t="str">
        <f t="shared" si="58"/>
        <v>40K</v>
      </c>
    </row>
    <row r="1841" spans="1:16" x14ac:dyDescent="0.35">
      <c r="A1841">
        <v>2010</v>
      </c>
      <c r="B1841" s="6" t="s">
        <v>10</v>
      </c>
      <c r="J1841" s="13">
        <v>47700.62</v>
      </c>
      <c r="K1841" s="5">
        <f t="shared" si="57"/>
        <v>50</v>
      </c>
      <c r="P1841" t="str">
        <f t="shared" si="58"/>
        <v>50K</v>
      </c>
    </row>
    <row r="1842" spans="1:16" x14ac:dyDescent="0.35">
      <c r="A1842">
        <v>2012</v>
      </c>
      <c r="B1842" s="7" t="s">
        <v>23</v>
      </c>
      <c r="J1842" s="12">
        <v>86749.9</v>
      </c>
      <c r="K1842" s="5">
        <f t="shared" si="57"/>
        <v>90</v>
      </c>
      <c r="P1842" t="str">
        <f t="shared" si="58"/>
        <v>90K</v>
      </c>
    </row>
    <row r="1843" spans="1:16" x14ac:dyDescent="0.35">
      <c r="A1843">
        <v>2004</v>
      </c>
      <c r="B1843" s="6" t="s">
        <v>20</v>
      </c>
      <c r="J1843" s="13">
        <v>17418.43</v>
      </c>
      <c r="K1843" s="5">
        <f t="shared" si="57"/>
        <v>20</v>
      </c>
      <c r="P1843" t="str">
        <f t="shared" si="58"/>
        <v>20K</v>
      </c>
    </row>
    <row r="1844" spans="1:16" x14ac:dyDescent="0.35">
      <c r="A1844">
        <v>2000</v>
      </c>
      <c r="B1844" s="7" t="s">
        <v>20</v>
      </c>
      <c r="J1844" s="12">
        <v>35945.019999999997</v>
      </c>
      <c r="K1844" s="5">
        <f t="shared" si="57"/>
        <v>40</v>
      </c>
      <c r="P1844" t="str">
        <f t="shared" si="58"/>
        <v>40K</v>
      </c>
    </row>
    <row r="1845" spans="1:16" x14ac:dyDescent="0.35">
      <c r="A1845">
        <v>2023</v>
      </c>
      <c r="B1845" s="6" t="s">
        <v>29</v>
      </c>
      <c r="J1845" s="13">
        <v>59841.61</v>
      </c>
      <c r="K1845" s="5">
        <f t="shared" si="57"/>
        <v>60</v>
      </c>
      <c r="P1845" t="str">
        <f t="shared" si="58"/>
        <v>60K</v>
      </c>
    </row>
    <row r="1846" spans="1:16" x14ac:dyDescent="0.35">
      <c r="A1846">
        <v>2011</v>
      </c>
      <c r="B1846" s="7" t="s">
        <v>23</v>
      </c>
      <c r="J1846" s="12">
        <v>69257.009999999995</v>
      </c>
      <c r="K1846" s="5">
        <f t="shared" si="57"/>
        <v>70</v>
      </c>
      <c r="P1846" t="str">
        <f t="shared" si="58"/>
        <v>70K</v>
      </c>
    </row>
    <row r="1847" spans="1:16" x14ac:dyDescent="0.35">
      <c r="A1847">
        <v>2010</v>
      </c>
      <c r="B1847" s="6" t="s">
        <v>10</v>
      </c>
      <c r="J1847" s="13">
        <v>77532.41</v>
      </c>
      <c r="K1847" s="5">
        <f t="shared" si="57"/>
        <v>80</v>
      </c>
      <c r="P1847" t="str">
        <f t="shared" si="58"/>
        <v>80K</v>
      </c>
    </row>
    <row r="1848" spans="1:16" x14ac:dyDescent="0.35">
      <c r="A1848">
        <v>2016</v>
      </c>
      <c r="B1848" s="7" t="s">
        <v>25</v>
      </c>
      <c r="J1848" s="12">
        <v>35229.65</v>
      </c>
      <c r="K1848" s="5">
        <f t="shared" si="57"/>
        <v>40</v>
      </c>
      <c r="P1848" t="str">
        <f t="shared" si="58"/>
        <v>40K</v>
      </c>
    </row>
    <row r="1849" spans="1:16" x14ac:dyDescent="0.35">
      <c r="A1849">
        <v>2003</v>
      </c>
      <c r="B1849" s="6" t="s">
        <v>25</v>
      </c>
      <c r="J1849" s="13">
        <v>18856.62</v>
      </c>
      <c r="K1849" s="5">
        <f t="shared" si="57"/>
        <v>20</v>
      </c>
      <c r="P1849" t="str">
        <f t="shared" si="58"/>
        <v>20K</v>
      </c>
    </row>
    <row r="1850" spans="1:16" x14ac:dyDescent="0.35">
      <c r="A1850">
        <v>2014</v>
      </c>
      <c r="B1850" s="7" t="s">
        <v>20</v>
      </c>
      <c r="J1850" s="12">
        <v>95709.72</v>
      </c>
      <c r="K1850" s="5">
        <f t="shared" si="57"/>
        <v>100</v>
      </c>
      <c r="P1850" t="str">
        <f t="shared" si="58"/>
        <v>100K</v>
      </c>
    </row>
    <row r="1851" spans="1:16" x14ac:dyDescent="0.35">
      <c r="A1851">
        <v>2008</v>
      </c>
      <c r="B1851" s="6" t="s">
        <v>23</v>
      </c>
      <c r="J1851" s="13">
        <v>12257.26</v>
      </c>
      <c r="K1851" s="5">
        <f t="shared" si="57"/>
        <v>10</v>
      </c>
      <c r="P1851" t="str">
        <f t="shared" si="58"/>
        <v>10K</v>
      </c>
    </row>
    <row r="1852" spans="1:16" x14ac:dyDescent="0.35">
      <c r="A1852">
        <v>2020</v>
      </c>
      <c r="B1852" s="7" t="s">
        <v>23</v>
      </c>
      <c r="J1852" s="12">
        <v>14101.51</v>
      </c>
      <c r="K1852" s="5">
        <f t="shared" si="57"/>
        <v>10</v>
      </c>
      <c r="P1852" t="str">
        <f t="shared" si="58"/>
        <v>10K</v>
      </c>
    </row>
    <row r="1853" spans="1:16" x14ac:dyDescent="0.35">
      <c r="A1853">
        <v>2019</v>
      </c>
      <c r="B1853" s="6" t="s">
        <v>10</v>
      </c>
      <c r="J1853" s="13">
        <v>52019.54</v>
      </c>
      <c r="K1853" s="5">
        <f t="shared" si="57"/>
        <v>50</v>
      </c>
      <c r="P1853" t="str">
        <f t="shared" si="58"/>
        <v>50K</v>
      </c>
    </row>
    <row r="1854" spans="1:16" x14ac:dyDescent="0.35">
      <c r="A1854">
        <v>2018</v>
      </c>
      <c r="B1854" s="7" t="s">
        <v>29</v>
      </c>
      <c r="J1854" s="12">
        <v>82830.75</v>
      </c>
      <c r="K1854" s="5">
        <f t="shared" si="57"/>
        <v>80</v>
      </c>
      <c r="P1854" t="str">
        <f t="shared" si="58"/>
        <v>80K</v>
      </c>
    </row>
    <row r="1855" spans="1:16" x14ac:dyDescent="0.35">
      <c r="A1855">
        <v>2018</v>
      </c>
      <c r="B1855" s="6" t="s">
        <v>27</v>
      </c>
      <c r="J1855" s="13">
        <v>78577.89</v>
      </c>
      <c r="K1855" s="5">
        <f t="shared" si="57"/>
        <v>80</v>
      </c>
      <c r="P1855" t="str">
        <f t="shared" si="58"/>
        <v>80K</v>
      </c>
    </row>
    <row r="1856" spans="1:16" x14ac:dyDescent="0.35">
      <c r="A1856">
        <v>2011</v>
      </c>
      <c r="B1856" s="7" t="s">
        <v>25</v>
      </c>
      <c r="J1856" s="12">
        <v>94081.43</v>
      </c>
      <c r="K1856" s="5">
        <f t="shared" si="57"/>
        <v>90</v>
      </c>
      <c r="P1856" t="str">
        <f t="shared" si="58"/>
        <v>90K</v>
      </c>
    </row>
    <row r="1857" spans="1:16" x14ac:dyDescent="0.35">
      <c r="A1857">
        <v>2004</v>
      </c>
      <c r="B1857" s="6" t="s">
        <v>29</v>
      </c>
      <c r="J1857" s="13">
        <v>18452.240000000002</v>
      </c>
      <c r="K1857" s="5">
        <f t="shared" si="57"/>
        <v>20</v>
      </c>
      <c r="P1857" t="str">
        <f t="shared" si="58"/>
        <v>20K</v>
      </c>
    </row>
    <row r="1858" spans="1:16" x14ac:dyDescent="0.35">
      <c r="A1858">
        <v>2009</v>
      </c>
      <c r="B1858" s="7" t="s">
        <v>35</v>
      </c>
      <c r="J1858" s="12">
        <v>40694.089999999997</v>
      </c>
      <c r="K1858" s="5">
        <f t="shared" si="57"/>
        <v>40</v>
      </c>
      <c r="P1858" t="str">
        <f t="shared" si="58"/>
        <v>40K</v>
      </c>
    </row>
    <row r="1859" spans="1:16" x14ac:dyDescent="0.35">
      <c r="A1859">
        <v>2016</v>
      </c>
      <c r="B1859" s="6" t="s">
        <v>25</v>
      </c>
      <c r="J1859" s="13">
        <v>31803.5</v>
      </c>
      <c r="K1859" s="5">
        <f t="shared" ref="K1859:K1922" si="59">ROUND(J1859/10000,0)*10</f>
        <v>30</v>
      </c>
      <c r="P1859" t="str">
        <f t="shared" ref="P1859:P1922" si="60">TEXT(ROUND(J1859/10000,0)*10,"0") &amp; "K"</f>
        <v>30K</v>
      </c>
    </row>
    <row r="1860" spans="1:16" x14ac:dyDescent="0.35">
      <c r="A1860">
        <v>2004</v>
      </c>
      <c r="B1860" s="7" t="s">
        <v>29</v>
      </c>
      <c r="J1860" s="12">
        <v>86782.66</v>
      </c>
      <c r="K1860" s="5">
        <f t="shared" si="59"/>
        <v>90</v>
      </c>
      <c r="P1860" t="str">
        <f t="shared" si="60"/>
        <v>90K</v>
      </c>
    </row>
    <row r="1861" spans="1:16" x14ac:dyDescent="0.35">
      <c r="A1861">
        <v>2021</v>
      </c>
      <c r="B1861" s="6" t="s">
        <v>25</v>
      </c>
      <c r="J1861" s="13">
        <v>51393.69</v>
      </c>
      <c r="K1861" s="5">
        <f t="shared" si="59"/>
        <v>50</v>
      </c>
      <c r="P1861" t="str">
        <f t="shared" si="60"/>
        <v>50K</v>
      </c>
    </row>
    <row r="1862" spans="1:16" x14ac:dyDescent="0.35">
      <c r="A1862">
        <v>2015</v>
      </c>
      <c r="B1862" s="7" t="s">
        <v>27</v>
      </c>
      <c r="J1862" s="12">
        <v>7550.55</v>
      </c>
      <c r="K1862" s="5">
        <f t="shared" si="59"/>
        <v>10</v>
      </c>
      <c r="P1862" t="str">
        <f t="shared" si="60"/>
        <v>10K</v>
      </c>
    </row>
    <row r="1863" spans="1:16" x14ac:dyDescent="0.35">
      <c r="A1863">
        <v>2006</v>
      </c>
      <c r="B1863" s="6" t="s">
        <v>35</v>
      </c>
      <c r="J1863" s="13">
        <v>72256.62</v>
      </c>
      <c r="K1863" s="5">
        <f t="shared" si="59"/>
        <v>70</v>
      </c>
      <c r="P1863" t="str">
        <f t="shared" si="60"/>
        <v>70K</v>
      </c>
    </row>
    <row r="1864" spans="1:16" x14ac:dyDescent="0.35">
      <c r="A1864">
        <v>2008</v>
      </c>
      <c r="B1864" s="7" t="s">
        <v>27</v>
      </c>
      <c r="J1864" s="12">
        <v>41926.32</v>
      </c>
      <c r="K1864" s="5">
        <f t="shared" si="59"/>
        <v>40</v>
      </c>
      <c r="P1864" t="str">
        <f t="shared" si="60"/>
        <v>40K</v>
      </c>
    </row>
    <row r="1865" spans="1:16" x14ac:dyDescent="0.35">
      <c r="A1865">
        <v>2002</v>
      </c>
      <c r="B1865" s="6" t="s">
        <v>10</v>
      </c>
      <c r="J1865" s="13">
        <v>55458.94</v>
      </c>
      <c r="K1865" s="5">
        <f t="shared" si="59"/>
        <v>60</v>
      </c>
      <c r="P1865" t="str">
        <f t="shared" si="60"/>
        <v>60K</v>
      </c>
    </row>
    <row r="1866" spans="1:16" x14ac:dyDescent="0.35">
      <c r="A1866">
        <v>2014</v>
      </c>
      <c r="B1866" s="7" t="s">
        <v>35</v>
      </c>
      <c r="J1866" s="12">
        <v>89909.81</v>
      </c>
      <c r="K1866" s="5">
        <f t="shared" si="59"/>
        <v>90</v>
      </c>
      <c r="P1866" t="str">
        <f t="shared" si="60"/>
        <v>90K</v>
      </c>
    </row>
    <row r="1867" spans="1:16" x14ac:dyDescent="0.35">
      <c r="A1867">
        <v>2015</v>
      </c>
      <c r="B1867" s="6" t="s">
        <v>20</v>
      </c>
      <c r="J1867" s="13">
        <v>29390.09</v>
      </c>
      <c r="K1867" s="5">
        <f t="shared" si="59"/>
        <v>30</v>
      </c>
      <c r="P1867" t="str">
        <f t="shared" si="60"/>
        <v>30K</v>
      </c>
    </row>
    <row r="1868" spans="1:16" x14ac:dyDescent="0.35">
      <c r="A1868">
        <v>2017</v>
      </c>
      <c r="B1868" s="7" t="s">
        <v>29</v>
      </c>
      <c r="J1868" s="12">
        <v>27825.14</v>
      </c>
      <c r="K1868" s="5">
        <f t="shared" si="59"/>
        <v>30</v>
      </c>
      <c r="P1868" t="str">
        <f t="shared" si="60"/>
        <v>30K</v>
      </c>
    </row>
    <row r="1869" spans="1:16" x14ac:dyDescent="0.35">
      <c r="A1869">
        <v>2013</v>
      </c>
      <c r="B1869" s="6" t="s">
        <v>35</v>
      </c>
      <c r="J1869" s="13">
        <v>30003.29</v>
      </c>
      <c r="K1869" s="5">
        <f t="shared" si="59"/>
        <v>30</v>
      </c>
      <c r="P1869" t="str">
        <f t="shared" si="60"/>
        <v>30K</v>
      </c>
    </row>
    <row r="1870" spans="1:16" x14ac:dyDescent="0.35">
      <c r="A1870">
        <v>2002</v>
      </c>
      <c r="B1870" s="7" t="s">
        <v>10</v>
      </c>
      <c r="J1870" s="12">
        <v>37120.26</v>
      </c>
      <c r="K1870" s="5">
        <f t="shared" si="59"/>
        <v>40</v>
      </c>
      <c r="P1870" t="str">
        <f t="shared" si="60"/>
        <v>40K</v>
      </c>
    </row>
    <row r="1871" spans="1:16" x14ac:dyDescent="0.35">
      <c r="A1871">
        <v>2011</v>
      </c>
      <c r="B1871" s="6" t="s">
        <v>10</v>
      </c>
      <c r="J1871" s="13">
        <v>15198.63</v>
      </c>
      <c r="K1871" s="5">
        <f t="shared" si="59"/>
        <v>20</v>
      </c>
      <c r="P1871" t="str">
        <f t="shared" si="60"/>
        <v>20K</v>
      </c>
    </row>
    <row r="1872" spans="1:16" x14ac:dyDescent="0.35">
      <c r="A1872">
        <v>2008</v>
      </c>
      <c r="B1872" s="7" t="s">
        <v>27</v>
      </c>
      <c r="J1872" s="12">
        <v>71235.87</v>
      </c>
      <c r="K1872" s="5">
        <f t="shared" si="59"/>
        <v>70</v>
      </c>
      <c r="P1872" t="str">
        <f t="shared" si="60"/>
        <v>70K</v>
      </c>
    </row>
    <row r="1873" spans="1:16" x14ac:dyDescent="0.35">
      <c r="A1873">
        <v>2006</v>
      </c>
      <c r="B1873" s="6" t="s">
        <v>25</v>
      </c>
      <c r="J1873" s="13">
        <v>24702.880000000001</v>
      </c>
      <c r="K1873" s="5">
        <f t="shared" si="59"/>
        <v>20</v>
      </c>
      <c r="P1873" t="str">
        <f t="shared" si="60"/>
        <v>20K</v>
      </c>
    </row>
    <row r="1874" spans="1:16" x14ac:dyDescent="0.35">
      <c r="A1874">
        <v>2008</v>
      </c>
      <c r="B1874" s="7" t="s">
        <v>35</v>
      </c>
      <c r="J1874" s="12">
        <v>92983.85</v>
      </c>
      <c r="K1874" s="5">
        <f t="shared" si="59"/>
        <v>90</v>
      </c>
      <c r="P1874" t="str">
        <f t="shared" si="60"/>
        <v>90K</v>
      </c>
    </row>
    <row r="1875" spans="1:16" x14ac:dyDescent="0.35">
      <c r="A1875">
        <v>2012</v>
      </c>
      <c r="B1875" s="6" t="s">
        <v>29</v>
      </c>
      <c r="J1875" s="13">
        <v>25490.2</v>
      </c>
      <c r="K1875" s="5">
        <f t="shared" si="59"/>
        <v>30</v>
      </c>
      <c r="P1875" t="str">
        <f t="shared" si="60"/>
        <v>30K</v>
      </c>
    </row>
    <row r="1876" spans="1:16" x14ac:dyDescent="0.35">
      <c r="A1876">
        <v>2017</v>
      </c>
      <c r="B1876" s="7" t="s">
        <v>35</v>
      </c>
      <c r="J1876" s="12">
        <v>29285.99</v>
      </c>
      <c r="K1876" s="5">
        <f t="shared" si="59"/>
        <v>30</v>
      </c>
      <c r="P1876" t="str">
        <f t="shared" si="60"/>
        <v>30K</v>
      </c>
    </row>
    <row r="1877" spans="1:16" x14ac:dyDescent="0.35">
      <c r="A1877">
        <v>2004</v>
      </c>
      <c r="B1877" s="6" t="s">
        <v>23</v>
      </c>
      <c r="J1877" s="13">
        <v>33216.92</v>
      </c>
      <c r="K1877" s="5">
        <f t="shared" si="59"/>
        <v>30</v>
      </c>
      <c r="P1877" t="str">
        <f t="shared" si="60"/>
        <v>30K</v>
      </c>
    </row>
    <row r="1878" spans="1:16" x14ac:dyDescent="0.35">
      <c r="A1878">
        <v>2012</v>
      </c>
      <c r="B1878" s="7" t="s">
        <v>25</v>
      </c>
      <c r="J1878" s="12">
        <v>78011.12</v>
      </c>
      <c r="K1878" s="5">
        <f t="shared" si="59"/>
        <v>80</v>
      </c>
      <c r="P1878" t="str">
        <f t="shared" si="60"/>
        <v>80K</v>
      </c>
    </row>
    <row r="1879" spans="1:16" x14ac:dyDescent="0.35">
      <c r="A1879">
        <v>2003</v>
      </c>
      <c r="B1879" s="6" t="s">
        <v>29</v>
      </c>
      <c r="J1879" s="13">
        <v>45622.62</v>
      </c>
      <c r="K1879" s="5">
        <f t="shared" si="59"/>
        <v>50</v>
      </c>
      <c r="P1879" t="str">
        <f t="shared" si="60"/>
        <v>50K</v>
      </c>
    </row>
    <row r="1880" spans="1:16" x14ac:dyDescent="0.35">
      <c r="A1880">
        <v>2001</v>
      </c>
      <c r="B1880" s="7" t="s">
        <v>29</v>
      </c>
      <c r="J1880" s="12">
        <v>82836.789999999994</v>
      </c>
      <c r="K1880" s="5">
        <f t="shared" si="59"/>
        <v>80</v>
      </c>
      <c r="P1880" t="str">
        <f t="shared" si="60"/>
        <v>80K</v>
      </c>
    </row>
    <row r="1881" spans="1:16" x14ac:dyDescent="0.35">
      <c r="A1881">
        <v>2015</v>
      </c>
      <c r="B1881" s="6" t="s">
        <v>20</v>
      </c>
      <c r="J1881" s="13">
        <v>79561.100000000006</v>
      </c>
      <c r="K1881" s="5">
        <f t="shared" si="59"/>
        <v>80</v>
      </c>
      <c r="P1881" t="str">
        <f t="shared" si="60"/>
        <v>80K</v>
      </c>
    </row>
    <row r="1882" spans="1:16" x14ac:dyDescent="0.35">
      <c r="A1882">
        <v>2008</v>
      </c>
      <c r="B1882" s="7" t="s">
        <v>27</v>
      </c>
      <c r="J1882" s="12">
        <v>93301.59</v>
      </c>
      <c r="K1882" s="5">
        <f t="shared" si="59"/>
        <v>90</v>
      </c>
      <c r="P1882" t="str">
        <f t="shared" si="60"/>
        <v>90K</v>
      </c>
    </row>
    <row r="1883" spans="1:16" x14ac:dyDescent="0.35">
      <c r="A1883">
        <v>2008</v>
      </c>
      <c r="B1883" s="6" t="s">
        <v>20</v>
      </c>
      <c r="J1883" s="13">
        <v>76877.39</v>
      </c>
      <c r="K1883" s="5">
        <f t="shared" si="59"/>
        <v>80</v>
      </c>
      <c r="P1883" t="str">
        <f t="shared" si="60"/>
        <v>80K</v>
      </c>
    </row>
    <row r="1884" spans="1:16" x14ac:dyDescent="0.35">
      <c r="A1884">
        <v>2005</v>
      </c>
      <c r="B1884" s="7" t="s">
        <v>29</v>
      </c>
      <c r="J1884" s="12">
        <v>9931.56</v>
      </c>
      <c r="K1884" s="5">
        <f t="shared" si="59"/>
        <v>10</v>
      </c>
      <c r="P1884" t="str">
        <f t="shared" si="60"/>
        <v>10K</v>
      </c>
    </row>
    <row r="1885" spans="1:16" x14ac:dyDescent="0.35">
      <c r="A1885">
        <v>2010</v>
      </c>
      <c r="B1885" s="6" t="s">
        <v>25</v>
      </c>
      <c r="J1885" s="13">
        <v>84541.72</v>
      </c>
      <c r="K1885" s="5">
        <f t="shared" si="59"/>
        <v>80</v>
      </c>
      <c r="P1885" t="str">
        <f t="shared" si="60"/>
        <v>80K</v>
      </c>
    </row>
    <row r="1886" spans="1:16" x14ac:dyDescent="0.35">
      <c r="A1886">
        <v>2021</v>
      </c>
      <c r="B1886" s="7" t="s">
        <v>35</v>
      </c>
      <c r="J1886" s="12">
        <v>94116.9</v>
      </c>
      <c r="K1886" s="5">
        <f t="shared" si="59"/>
        <v>90</v>
      </c>
      <c r="P1886" t="str">
        <f t="shared" si="60"/>
        <v>90K</v>
      </c>
    </row>
    <row r="1887" spans="1:16" x14ac:dyDescent="0.35">
      <c r="A1887">
        <v>2023</v>
      </c>
      <c r="B1887" s="6" t="s">
        <v>35</v>
      </c>
      <c r="J1887" s="13">
        <v>99400.47</v>
      </c>
      <c r="K1887" s="5">
        <f t="shared" si="59"/>
        <v>100</v>
      </c>
      <c r="P1887" t="str">
        <f t="shared" si="60"/>
        <v>100K</v>
      </c>
    </row>
    <row r="1888" spans="1:16" x14ac:dyDescent="0.35">
      <c r="A1888">
        <v>2021</v>
      </c>
      <c r="B1888" s="7" t="s">
        <v>25</v>
      </c>
      <c r="J1888" s="12">
        <v>16900.419999999998</v>
      </c>
      <c r="K1888" s="5">
        <f t="shared" si="59"/>
        <v>20</v>
      </c>
      <c r="P1888" t="str">
        <f t="shared" si="60"/>
        <v>20K</v>
      </c>
    </row>
    <row r="1889" spans="1:16" x14ac:dyDescent="0.35">
      <c r="A1889">
        <v>2000</v>
      </c>
      <c r="B1889" s="6" t="s">
        <v>29</v>
      </c>
      <c r="J1889" s="13">
        <v>63260.959999999999</v>
      </c>
      <c r="K1889" s="5">
        <f t="shared" si="59"/>
        <v>60</v>
      </c>
      <c r="P1889" t="str">
        <f t="shared" si="60"/>
        <v>60K</v>
      </c>
    </row>
    <row r="1890" spans="1:16" x14ac:dyDescent="0.35">
      <c r="A1890">
        <v>2003</v>
      </c>
      <c r="B1890" s="7" t="s">
        <v>10</v>
      </c>
      <c r="J1890" s="12">
        <v>23948.57</v>
      </c>
      <c r="K1890" s="5">
        <f t="shared" si="59"/>
        <v>20</v>
      </c>
      <c r="P1890" t="str">
        <f t="shared" si="60"/>
        <v>20K</v>
      </c>
    </row>
    <row r="1891" spans="1:16" x14ac:dyDescent="0.35">
      <c r="A1891">
        <v>2012</v>
      </c>
      <c r="B1891" s="6" t="s">
        <v>35</v>
      </c>
      <c r="J1891" s="13">
        <v>29938.42</v>
      </c>
      <c r="K1891" s="5">
        <f t="shared" si="59"/>
        <v>30</v>
      </c>
      <c r="P1891" t="str">
        <f t="shared" si="60"/>
        <v>30K</v>
      </c>
    </row>
    <row r="1892" spans="1:16" x14ac:dyDescent="0.35">
      <c r="A1892">
        <v>2022</v>
      </c>
      <c r="B1892" s="7" t="s">
        <v>10</v>
      </c>
      <c r="J1892" s="12">
        <v>75830.509999999995</v>
      </c>
      <c r="K1892" s="5">
        <f t="shared" si="59"/>
        <v>80</v>
      </c>
      <c r="P1892" t="str">
        <f t="shared" si="60"/>
        <v>80K</v>
      </c>
    </row>
    <row r="1893" spans="1:16" x14ac:dyDescent="0.35">
      <c r="A1893">
        <v>2012</v>
      </c>
      <c r="B1893" s="6" t="s">
        <v>35</v>
      </c>
      <c r="J1893" s="13">
        <v>97878.43</v>
      </c>
      <c r="K1893" s="5">
        <f t="shared" si="59"/>
        <v>100</v>
      </c>
      <c r="P1893" t="str">
        <f t="shared" si="60"/>
        <v>100K</v>
      </c>
    </row>
    <row r="1894" spans="1:16" x14ac:dyDescent="0.35">
      <c r="A1894">
        <v>2012</v>
      </c>
      <c r="B1894" s="7" t="s">
        <v>35</v>
      </c>
      <c r="J1894" s="12">
        <v>61511.27</v>
      </c>
      <c r="K1894" s="5">
        <f t="shared" si="59"/>
        <v>60</v>
      </c>
      <c r="P1894" t="str">
        <f t="shared" si="60"/>
        <v>60K</v>
      </c>
    </row>
    <row r="1895" spans="1:16" x14ac:dyDescent="0.35">
      <c r="A1895">
        <v>2001</v>
      </c>
      <c r="B1895" s="6" t="s">
        <v>27</v>
      </c>
      <c r="J1895" s="13">
        <v>85805.52</v>
      </c>
      <c r="K1895" s="5">
        <f t="shared" si="59"/>
        <v>90</v>
      </c>
      <c r="P1895" t="str">
        <f t="shared" si="60"/>
        <v>90K</v>
      </c>
    </row>
    <row r="1896" spans="1:16" x14ac:dyDescent="0.35">
      <c r="A1896">
        <v>2008</v>
      </c>
      <c r="B1896" s="7" t="s">
        <v>27</v>
      </c>
      <c r="J1896" s="12">
        <v>5843.96</v>
      </c>
      <c r="K1896" s="5">
        <f t="shared" si="59"/>
        <v>10</v>
      </c>
      <c r="P1896" t="str">
        <f t="shared" si="60"/>
        <v>10K</v>
      </c>
    </row>
    <row r="1897" spans="1:16" x14ac:dyDescent="0.35">
      <c r="A1897">
        <v>2023</v>
      </c>
      <c r="B1897" s="6" t="s">
        <v>23</v>
      </c>
      <c r="J1897" s="13">
        <v>8480.01</v>
      </c>
      <c r="K1897" s="5">
        <f t="shared" si="59"/>
        <v>10</v>
      </c>
      <c r="P1897" t="str">
        <f t="shared" si="60"/>
        <v>10K</v>
      </c>
    </row>
    <row r="1898" spans="1:16" x14ac:dyDescent="0.35">
      <c r="A1898">
        <v>2007</v>
      </c>
      <c r="B1898" s="7" t="s">
        <v>20</v>
      </c>
      <c r="J1898" s="12">
        <v>61688.81</v>
      </c>
      <c r="K1898" s="5">
        <f t="shared" si="59"/>
        <v>60</v>
      </c>
      <c r="P1898" t="str">
        <f t="shared" si="60"/>
        <v>60K</v>
      </c>
    </row>
    <row r="1899" spans="1:16" x14ac:dyDescent="0.35">
      <c r="A1899">
        <v>2006</v>
      </c>
      <c r="B1899" s="6" t="s">
        <v>25</v>
      </c>
      <c r="J1899" s="13">
        <v>41953.39</v>
      </c>
      <c r="K1899" s="5">
        <f t="shared" si="59"/>
        <v>40</v>
      </c>
      <c r="P1899" t="str">
        <f t="shared" si="60"/>
        <v>40K</v>
      </c>
    </row>
    <row r="1900" spans="1:16" x14ac:dyDescent="0.35">
      <c r="A1900">
        <v>2003</v>
      </c>
      <c r="B1900" s="7" t="s">
        <v>25</v>
      </c>
      <c r="J1900" s="12">
        <v>89526.99</v>
      </c>
      <c r="K1900" s="5">
        <f t="shared" si="59"/>
        <v>90</v>
      </c>
      <c r="P1900" t="str">
        <f t="shared" si="60"/>
        <v>90K</v>
      </c>
    </row>
    <row r="1901" spans="1:16" x14ac:dyDescent="0.35">
      <c r="A1901">
        <v>2017</v>
      </c>
      <c r="B1901" s="6" t="s">
        <v>25</v>
      </c>
      <c r="J1901" s="13">
        <v>33688.28</v>
      </c>
      <c r="K1901" s="5">
        <f t="shared" si="59"/>
        <v>30</v>
      </c>
      <c r="P1901" t="str">
        <f t="shared" si="60"/>
        <v>30K</v>
      </c>
    </row>
    <row r="1902" spans="1:16" x14ac:dyDescent="0.35">
      <c r="A1902">
        <v>2002</v>
      </c>
      <c r="B1902" s="7" t="s">
        <v>23</v>
      </c>
      <c r="J1902" s="12">
        <v>46044.85</v>
      </c>
      <c r="K1902" s="5">
        <f t="shared" si="59"/>
        <v>50</v>
      </c>
      <c r="P1902" t="str">
        <f t="shared" si="60"/>
        <v>50K</v>
      </c>
    </row>
    <row r="1903" spans="1:16" x14ac:dyDescent="0.35">
      <c r="A1903">
        <v>2005</v>
      </c>
      <c r="B1903" s="6" t="s">
        <v>27</v>
      </c>
      <c r="J1903" s="13">
        <v>55151.37</v>
      </c>
      <c r="K1903" s="5">
        <f t="shared" si="59"/>
        <v>60</v>
      </c>
      <c r="P1903" t="str">
        <f t="shared" si="60"/>
        <v>60K</v>
      </c>
    </row>
    <row r="1904" spans="1:16" x14ac:dyDescent="0.35">
      <c r="A1904">
        <v>2011</v>
      </c>
      <c r="B1904" s="7" t="s">
        <v>29</v>
      </c>
      <c r="J1904" s="12">
        <v>30938.69</v>
      </c>
      <c r="K1904" s="5">
        <f t="shared" si="59"/>
        <v>30</v>
      </c>
      <c r="P1904" t="str">
        <f t="shared" si="60"/>
        <v>30K</v>
      </c>
    </row>
    <row r="1905" spans="1:16" x14ac:dyDescent="0.35">
      <c r="A1905">
        <v>2011</v>
      </c>
      <c r="B1905" s="6" t="s">
        <v>10</v>
      </c>
      <c r="J1905" s="13">
        <v>91307.01</v>
      </c>
      <c r="K1905" s="5">
        <f t="shared" si="59"/>
        <v>90</v>
      </c>
      <c r="P1905" t="str">
        <f t="shared" si="60"/>
        <v>90K</v>
      </c>
    </row>
    <row r="1906" spans="1:16" x14ac:dyDescent="0.35">
      <c r="A1906">
        <v>2020</v>
      </c>
      <c r="B1906" s="7" t="s">
        <v>10</v>
      </c>
      <c r="J1906" s="12">
        <v>49130.69</v>
      </c>
      <c r="K1906" s="5">
        <f t="shared" si="59"/>
        <v>50</v>
      </c>
      <c r="P1906" t="str">
        <f t="shared" si="60"/>
        <v>50K</v>
      </c>
    </row>
    <row r="1907" spans="1:16" x14ac:dyDescent="0.35">
      <c r="A1907">
        <v>2007</v>
      </c>
      <c r="B1907" s="6" t="s">
        <v>29</v>
      </c>
      <c r="J1907" s="13">
        <v>45294.78</v>
      </c>
      <c r="K1907" s="5">
        <f t="shared" si="59"/>
        <v>50</v>
      </c>
      <c r="P1907" t="str">
        <f t="shared" si="60"/>
        <v>50K</v>
      </c>
    </row>
    <row r="1908" spans="1:16" x14ac:dyDescent="0.35">
      <c r="A1908">
        <v>2021</v>
      </c>
      <c r="B1908" s="7" t="s">
        <v>23</v>
      </c>
      <c r="J1908" s="12">
        <v>85726.54</v>
      </c>
      <c r="K1908" s="5">
        <f t="shared" si="59"/>
        <v>90</v>
      </c>
      <c r="P1908" t="str">
        <f t="shared" si="60"/>
        <v>90K</v>
      </c>
    </row>
    <row r="1909" spans="1:16" x14ac:dyDescent="0.35">
      <c r="A1909">
        <v>2021</v>
      </c>
      <c r="B1909" s="6" t="s">
        <v>29</v>
      </c>
      <c r="J1909" s="13">
        <v>34637.949999999997</v>
      </c>
      <c r="K1909" s="5">
        <f t="shared" si="59"/>
        <v>30</v>
      </c>
      <c r="P1909" t="str">
        <f t="shared" si="60"/>
        <v>30K</v>
      </c>
    </row>
    <row r="1910" spans="1:16" x14ac:dyDescent="0.35">
      <c r="A1910">
        <v>2000</v>
      </c>
      <c r="B1910" s="7" t="s">
        <v>25</v>
      </c>
      <c r="J1910" s="12">
        <v>82659.210000000006</v>
      </c>
      <c r="K1910" s="5">
        <f t="shared" si="59"/>
        <v>80</v>
      </c>
      <c r="P1910" t="str">
        <f t="shared" si="60"/>
        <v>80K</v>
      </c>
    </row>
    <row r="1911" spans="1:16" x14ac:dyDescent="0.35">
      <c r="A1911">
        <v>2003</v>
      </c>
      <c r="B1911" s="6" t="s">
        <v>20</v>
      </c>
      <c r="J1911" s="13">
        <v>16615.919999999998</v>
      </c>
      <c r="K1911" s="5">
        <f t="shared" si="59"/>
        <v>20</v>
      </c>
      <c r="P1911" t="str">
        <f t="shared" si="60"/>
        <v>20K</v>
      </c>
    </row>
    <row r="1912" spans="1:16" x14ac:dyDescent="0.35">
      <c r="A1912">
        <v>2020</v>
      </c>
      <c r="B1912" s="7" t="s">
        <v>35</v>
      </c>
      <c r="J1912" s="12">
        <v>22364.91</v>
      </c>
      <c r="K1912" s="5">
        <f t="shared" si="59"/>
        <v>20</v>
      </c>
      <c r="P1912" t="str">
        <f t="shared" si="60"/>
        <v>20K</v>
      </c>
    </row>
    <row r="1913" spans="1:16" x14ac:dyDescent="0.35">
      <c r="A1913">
        <v>2010</v>
      </c>
      <c r="B1913" s="6" t="s">
        <v>10</v>
      </c>
      <c r="J1913" s="13">
        <v>95329.96</v>
      </c>
      <c r="K1913" s="5">
        <f t="shared" si="59"/>
        <v>100</v>
      </c>
      <c r="P1913" t="str">
        <f t="shared" si="60"/>
        <v>100K</v>
      </c>
    </row>
    <row r="1914" spans="1:16" x14ac:dyDescent="0.35">
      <c r="A1914">
        <v>2002</v>
      </c>
      <c r="B1914" s="7" t="s">
        <v>27</v>
      </c>
      <c r="J1914" s="12">
        <v>85032.51</v>
      </c>
      <c r="K1914" s="5">
        <f t="shared" si="59"/>
        <v>90</v>
      </c>
      <c r="P1914" t="str">
        <f t="shared" si="60"/>
        <v>90K</v>
      </c>
    </row>
    <row r="1915" spans="1:16" x14ac:dyDescent="0.35">
      <c r="A1915">
        <v>2012</v>
      </c>
      <c r="B1915" s="6" t="s">
        <v>27</v>
      </c>
      <c r="J1915" s="13">
        <v>41850.400000000001</v>
      </c>
      <c r="K1915" s="5">
        <f t="shared" si="59"/>
        <v>40</v>
      </c>
      <c r="P1915" t="str">
        <f t="shared" si="60"/>
        <v>40K</v>
      </c>
    </row>
    <row r="1916" spans="1:16" x14ac:dyDescent="0.35">
      <c r="A1916">
        <v>2016</v>
      </c>
      <c r="B1916" s="7" t="s">
        <v>23</v>
      </c>
      <c r="J1916" s="12">
        <v>65653.36</v>
      </c>
      <c r="K1916" s="5">
        <f t="shared" si="59"/>
        <v>70</v>
      </c>
      <c r="P1916" t="str">
        <f t="shared" si="60"/>
        <v>70K</v>
      </c>
    </row>
    <row r="1917" spans="1:16" x14ac:dyDescent="0.35">
      <c r="A1917">
        <v>2021</v>
      </c>
      <c r="B1917" s="6" t="s">
        <v>27</v>
      </c>
      <c r="J1917" s="13">
        <v>94582.17</v>
      </c>
      <c r="K1917" s="5">
        <f t="shared" si="59"/>
        <v>90</v>
      </c>
      <c r="P1917" t="str">
        <f t="shared" si="60"/>
        <v>90K</v>
      </c>
    </row>
    <row r="1918" spans="1:16" x14ac:dyDescent="0.35">
      <c r="A1918">
        <v>2021</v>
      </c>
      <c r="B1918" s="7" t="s">
        <v>25</v>
      </c>
      <c r="J1918" s="12">
        <v>25126.6</v>
      </c>
      <c r="K1918" s="5">
        <f t="shared" si="59"/>
        <v>30</v>
      </c>
      <c r="P1918" t="str">
        <f t="shared" si="60"/>
        <v>30K</v>
      </c>
    </row>
    <row r="1919" spans="1:16" x14ac:dyDescent="0.35">
      <c r="A1919">
        <v>2009</v>
      </c>
      <c r="B1919" s="6" t="s">
        <v>10</v>
      </c>
      <c r="J1919" s="13">
        <v>10605.99</v>
      </c>
      <c r="K1919" s="5">
        <f t="shared" si="59"/>
        <v>10</v>
      </c>
      <c r="P1919" t="str">
        <f t="shared" si="60"/>
        <v>10K</v>
      </c>
    </row>
    <row r="1920" spans="1:16" x14ac:dyDescent="0.35">
      <c r="A1920">
        <v>2020</v>
      </c>
      <c r="B1920" s="7" t="s">
        <v>29</v>
      </c>
      <c r="J1920" s="12">
        <v>56059.47</v>
      </c>
      <c r="K1920" s="5">
        <f t="shared" si="59"/>
        <v>60</v>
      </c>
      <c r="P1920" t="str">
        <f t="shared" si="60"/>
        <v>60K</v>
      </c>
    </row>
    <row r="1921" spans="1:16" x14ac:dyDescent="0.35">
      <c r="A1921">
        <v>2011</v>
      </c>
      <c r="B1921" s="6" t="s">
        <v>25</v>
      </c>
      <c r="J1921" s="13">
        <v>18546.7</v>
      </c>
      <c r="K1921" s="5">
        <f t="shared" si="59"/>
        <v>20</v>
      </c>
      <c r="P1921" t="str">
        <f t="shared" si="60"/>
        <v>20K</v>
      </c>
    </row>
    <row r="1922" spans="1:16" x14ac:dyDescent="0.35">
      <c r="A1922">
        <v>2014</v>
      </c>
      <c r="B1922" s="7" t="s">
        <v>23</v>
      </c>
      <c r="J1922" s="12">
        <v>22795.31</v>
      </c>
      <c r="K1922" s="5">
        <f t="shared" si="59"/>
        <v>20</v>
      </c>
      <c r="P1922" t="str">
        <f t="shared" si="60"/>
        <v>20K</v>
      </c>
    </row>
    <row r="1923" spans="1:16" x14ac:dyDescent="0.35">
      <c r="A1923">
        <v>2020</v>
      </c>
      <c r="B1923" s="6" t="s">
        <v>25</v>
      </c>
      <c r="J1923" s="13">
        <v>89696.22</v>
      </c>
      <c r="K1923" s="5">
        <f t="shared" ref="K1923:K1986" si="61">ROUND(J1923/10000,0)*10</f>
        <v>90</v>
      </c>
      <c r="P1923" t="str">
        <f t="shared" ref="P1923:P1986" si="62">TEXT(ROUND(J1923/10000,0)*10,"0") &amp; "K"</f>
        <v>90K</v>
      </c>
    </row>
    <row r="1924" spans="1:16" x14ac:dyDescent="0.35">
      <c r="A1924">
        <v>2009</v>
      </c>
      <c r="B1924" s="7" t="s">
        <v>29</v>
      </c>
      <c r="J1924" s="12">
        <v>5703.33</v>
      </c>
      <c r="K1924" s="5">
        <f t="shared" si="61"/>
        <v>10</v>
      </c>
      <c r="P1924" t="str">
        <f t="shared" si="62"/>
        <v>10K</v>
      </c>
    </row>
    <row r="1925" spans="1:16" x14ac:dyDescent="0.35">
      <c r="A1925">
        <v>2013</v>
      </c>
      <c r="B1925" s="6" t="s">
        <v>20</v>
      </c>
      <c r="J1925" s="13">
        <v>82597.899999999994</v>
      </c>
      <c r="K1925" s="5">
        <f t="shared" si="61"/>
        <v>80</v>
      </c>
      <c r="P1925" t="str">
        <f t="shared" si="62"/>
        <v>80K</v>
      </c>
    </row>
    <row r="1926" spans="1:16" x14ac:dyDescent="0.35">
      <c r="A1926">
        <v>2012</v>
      </c>
      <c r="B1926" s="7" t="s">
        <v>23</v>
      </c>
      <c r="J1926" s="12">
        <v>54110.32</v>
      </c>
      <c r="K1926" s="5">
        <f t="shared" si="61"/>
        <v>50</v>
      </c>
      <c r="P1926" t="str">
        <f t="shared" si="62"/>
        <v>50K</v>
      </c>
    </row>
    <row r="1927" spans="1:16" x14ac:dyDescent="0.35">
      <c r="A1927">
        <v>2004</v>
      </c>
      <c r="B1927" s="6" t="s">
        <v>20</v>
      </c>
      <c r="J1927" s="13">
        <v>58132.97</v>
      </c>
      <c r="K1927" s="5">
        <f t="shared" si="61"/>
        <v>60</v>
      </c>
      <c r="P1927" t="str">
        <f t="shared" si="62"/>
        <v>60K</v>
      </c>
    </row>
    <row r="1928" spans="1:16" x14ac:dyDescent="0.35">
      <c r="A1928">
        <v>2005</v>
      </c>
      <c r="B1928" s="7" t="s">
        <v>35</v>
      </c>
      <c r="J1928" s="12">
        <v>68817.960000000006</v>
      </c>
      <c r="K1928" s="5">
        <f t="shared" si="61"/>
        <v>70</v>
      </c>
      <c r="P1928" t="str">
        <f t="shared" si="62"/>
        <v>70K</v>
      </c>
    </row>
    <row r="1929" spans="1:16" x14ac:dyDescent="0.35">
      <c r="A1929">
        <v>2023</v>
      </c>
      <c r="B1929" s="6" t="s">
        <v>20</v>
      </c>
      <c r="J1929" s="13">
        <v>45987.27</v>
      </c>
      <c r="K1929" s="5">
        <f t="shared" si="61"/>
        <v>50</v>
      </c>
      <c r="P1929" t="str">
        <f t="shared" si="62"/>
        <v>50K</v>
      </c>
    </row>
    <row r="1930" spans="1:16" x14ac:dyDescent="0.35">
      <c r="A1930">
        <v>2001</v>
      </c>
      <c r="B1930" s="7" t="s">
        <v>35</v>
      </c>
      <c r="J1930" s="12">
        <v>15983.13</v>
      </c>
      <c r="K1930" s="5">
        <f t="shared" si="61"/>
        <v>20</v>
      </c>
      <c r="P1930" t="str">
        <f t="shared" si="62"/>
        <v>20K</v>
      </c>
    </row>
    <row r="1931" spans="1:16" x14ac:dyDescent="0.35">
      <c r="A1931">
        <v>2021</v>
      </c>
      <c r="B1931" s="6" t="s">
        <v>35</v>
      </c>
      <c r="J1931" s="13">
        <v>14767.92</v>
      </c>
      <c r="K1931" s="5">
        <f t="shared" si="61"/>
        <v>10</v>
      </c>
      <c r="P1931" t="str">
        <f t="shared" si="62"/>
        <v>10K</v>
      </c>
    </row>
    <row r="1932" spans="1:16" x14ac:dyDescent="0.35">
      <c r="A1932">
        <v>2016</v>
      </c>
      <c r="B1932" s="7" t="s">
        <v>20</v>
      </c>
      <c r="J1932" s="12">
        <v>76664.41</v>
      </c>
      <c r="K1932" s="5">
        <f t="shared" si="61"/>
        <v>80</v>
      </c>
      <c r="P1932" t="str">
        <f t="shared" si="62"/>
        <v>80K</v>
      </c>
    </row>
    <row r="1933" spans="1:16" x14ac:dyDescent="0.35">
      <c r="A1933">
        <v>2003</v>
      </c>
      <c r="B1933" s="6" t="s">
        <v>23</v>
      </c>
      <c r="J1933" s="13">
        <v>25998.34</v>
      </c>
      <c r="K1933" s="5">
        <f t="shared" si="61"/>
        <v>30</v>
      </c>
      <c r="P1933" t="str">
        <f t="shared" si="62"/>
        <v>30K</v>
      </c>
    </row>
    <row r="1934" spans="1:16" x14ac:dyDescent="0.35">
      <c r="A1934">
        <v>2013</v>
      </c>
      <c r="B1934" s="7" t="s">
        <v>29</v>
      </c>
      <c r="J1934" s="12">
        <v>7669.66</v>
      </c>
      <c r="K1934" s="5">
        <f t="shared" si="61"/>
        <v>10</v>
      </c>
      <c r="P1934" t="str">
        <f t="shared" si="62"/>
        <v>10K</v>
      </c>
    </row>
    <row r="1935" spans="1:16" x14ac:dyDescent="0.35">
      <c r="A1935">
        <v>2009</v>
      </c>
      <c r="B1935" s="6" t="s">
        <v>25</v>
      </c>
      <c r="J1935" s="13">
        <v>98063.32</v>
      </c>
      <c r="K1935" s="5">
        <f t="shared" si="61"/>
        <v>100</v>
      </c>
      <c r="P1935" t="str">
        <f t="shared" si="62"/>
        <v>100K</v>
      </c>
    </row>
    <row r="1936" spans="1:16" x14ac:dyDescent="0.35">
      <c r="A1936">
        <v>2002</v>
      </c>
      <c r="B1936" s="7" t="s">
        <v>25</v>
      </c>
      <c r="J1936" s="12">
        <v>98137.19</v>
      </c>
      <c r="K1936" s="5">
        <f t="shared" si="61"/>
        <v>100</v>
      </c>
      <c r="P1936" t="str">
        <f t="shared" si="62"/>
        <v>100K</v>
      </c>
    </row>
    <row r="1937" spans="1:16" x14ac:dyDescent="0.35">
      <c r="A1937">
        <v>2002</v>
      </c>
      <c r="B1937" s="6" t="s">
        <v>29</v>
      </c>
      <c r="J1937" s="13">
        <v>40923.43</v>
      </c>
      <c r="K1937" s="5">
        <f t="shared" si="61"/>
        <v>40</v>
      </c>
      <c r="P1937" t="str">
        <f t="shared" si="62"/>
        <v>40K</v>
      </c>
    </row>
    <row r="1938" spans="1:16" x14ac:dyDescent="0.35">
      <c r="A1938">
        <v>2014</v>
      </c>
      <c r="B1938" s="7" t="s">
        <v>10</v>
      </c>
      <c r="J1938" s="12">
        <v>7424.77</v>
      </c>
      <c r="K1938" s="5">
        <f t="shared" si="61"/>
        <v>10</v>
      </c>
      <c r="P1938" t="str">
        <f t="shared" si="62"/>
        <v>10K</v>
      </c>
    </row>
    <row r="1939" spans="1:16" x14ac:dyDescent="0.35">
      <c r="A1939">
        <v>2005</v>
      </c>
      <c r="B1939" s="6" t="s">
        <v>10</v>
      </c>
      <c r="J1939" s="13">
        <v>74090.14</v>
      </c>
      <c r="K1939" s="5">
        <f t="shared" si="61"/>
        <v>70</v>
      </c>
      <c r="P1939" t="str">
        <f t="shared" si="62"/>
        <v>70K</v>
      </c>
    </row>
    <row r="1940" spans="1:16" x14ac:dyDescent="0.35">
      <c r="A1940">
        <v>2016</v>
      </c>
      <c r="B1940" s="7" t="s">
        <v>35</v>
      </c>
      <c r="J1940" s="12">
        <v>83946.15</v>
      </c>
      <c r="K1940" s="5">
        <f t="shared" si="61"/>
        <v>80</v>
      </c>
      <c r="P1940" t="str">
        <f t="shared" si="62"/>
        <v>80K</v>
      </c>
    </row>
    <row r="1941" spans="1:16" x14ac:dyDescent="0.35">
      <c r="A1941">
        <v>2011</v>
      </c>
      <c r="B1941" s="6" t="s">
        <v>35</v>
      </c>
      <c r="J1941" s="13">
        <v>16876.3</v>
      </c>
      <c r="K1941" s="5">
        <f t="shared" si="61"/>
        <v>20</v>
      </c>
      <c r="P1941" t="str">
        <f t="shared" si="62"/>
        <v>20K</v>
      </c>
    </row>
    <row r="1942" spans="1:16" x14ac:dyDescent="0.35">
      <c r="A1942">
        <v>2021</v>
      </c>
      <c r="B1942" s="7" t="s">
        <v>23</v>
      </c>
      <c r="J1942" s="12">
        <v>17868.57</v>
      </c>
      <c r="K1942" s="5">
        <f t="shared" si="61"/>
        <v>20</v>
      </c>
      <c r="P1942" t="str">
        <f t="shared" si="62"/>
        <v>20K</v>
      </c>
    </row>
    <row r="1943" spans="1:16" x14ac:dyDescent="0.35">
      <c r="A1943">
        <v>2019</v>
      </c>
      <c r="B1943" s="6" t="s">
        <v>27</v>
      </c>
      <c r="J1943" s="13">
        <v>83111.28</v>
      </c>
      <c r="K1943" s="5">
        <f t="shared" si="61"/>
        <v>80</v>
      </c>
      <c r="P1943" t="str">
        <f t="shared" si="62"/>
        <v>80K</v>
      </c>
    </row>
    <row r="1944" spans="1:16" x14ac:dyDescent="0.35">
      <c r="A1944">
        <v>2023</v>
      </c>
      <c r="B1944" s="7" t="s">
        <v>20</v>
      </c>
      <c r="J1944" s="12">
        <v>92581.2</v>
      </c>
      <c r="K1944" s="5">
        <f t="shared" si="61"/>
        <v>90</v>
      </c>
      <c r="P1944" t="str">
        <f t="shared" si="62"/>
        <v>90K</v>
      </c>
    </row>
    <row r="1945" spans="1:16" x14ac:dyDescent="0.35">
      <c r="A1945">
        <v>2010</v>
      </c>
      <c r="B1945" s="6" t="s">
        <v>35</v>
      </c>
      <c r="J1945" s="13">
        <v>80121.710000000006</v>
      </c>
      <c r="K1945" s="5">
        <f t="shared" si="61"/>
        <v>80</v>
      </c>
      <c r="P1945" t="str">
        <f t="shared" si="62"/>
        <v>80K</v>
      </c>
    </row>
    <row r="1946" spans="1:16" x14ac:dyDescent="0.35">
      <c r="A1946">
        <v>2003</v>
      </c>
      <c r="B1946" s="7" t="s">
        <v>25</v>
      </c>
      <c r="J1946" s="12">
        <v>24070.77</v>
      </c>
      <c r="K1946" s="5">
        <f t="shared" si="61"/>
        <v>20</v>
      </c>
      <c r="P1946" t="str">
        <f t="shared" si="62"/>
        <v>20K</v>
      </c>
    </row>
    <row r="1947" spans="1:16" x14ac:dyDescent="0.35">
      <c r="A1947">
        <v>2005</v>
      </c>
      <c r="B1947" s="6" t="s">
        <v>23</v>
      </c>
      <c r="J1947" s="13">
        <v>44094.52</v>
      </c>
      <c r="K1947" s="5">
        <f t="shared" si="61"/>
        <v>40</v>
      </c>
      <c r="P1947" t="str">
        <f t="shared" si="62"/>
        <v>40K</v>
      </c>
    </row>
    <row r="1948" spans="1:16" x14ac:dyDescent="0.35">
      <c r="A1948">
        <v>2000</v>
      </c>
      <c r="B1948" s="7" t="s">
        <v>20</v>
      </c>
      <c r="J1948" s="12">
        <v>62080.03</v>
      </c>
      <c r="K1948" s="5">
        <f t="shared" si="61"/>
        <v>60</v>
      </c>
      <c r="P1948" t="str">
        <f t="shared" si="62"/>
        <v>60K</v>
      </c>
    </row>
    <row r="1949" spans="1:16" x14ac:dyDescent="0.35">
      <c r="A1949">
        <v>2019</v>
      </c>
      <c r="B1949" s="6" t="s">
        <v>23</v>
      </c>
      <c r="J1949" s="13">
        <v>20227.88</v>
      </c>
      <c r="K1949" s="5">
        <f t="shared" si="61"/>
        <v>20</v>
      </c>
      <c r="P1949" t="str">
        <f t="shared" si="62"/>
        <v>20K</v>
      </c>
    </row>
    <row r="1950" spans="1:16" x14ac:dyDescent="0.35">
      <c r="A1950">
        <v>2022</v>
      </c>
      <c r="B1950" s="7" t="s">
        <v>20</v>
      </c>
      <c r="J1950" s="12">
        <v>25007.24</v>
      </c>
      <c r="K1950" s="5">
        <f t="shared" si="61"/>
        <v>30</v>
      </c>
      <c r="P1950" t="str">
        <f t="shared" si="62"/>
        <v>30K</v>
      </c>
    </row>
    <row r="1951" spans="1:16" x14ac:dyDescent="0.35">
      <c r="A1951">
        <v>2015</v>
      </c>
      <c r="B1951" s="6" t="s">
        <v>20</v>
      </c>
      <c r="J1951" s="13">
        <v>31874.18</v>
      </c>
      <c r="K1951" s="5">
        <f t="shared" si="61"/>
        <v>30</v>
      </c>
      <c r="P1951" t="str">
        <f t="shared" si="62"/>
        <v>30K</v>
      </c>
    </row>
    <row r="1952" spans="1:16" x14ac:dyDescent="0.35">
      <c r="A1952">
        <v>2014</v>
      </c>
      <c r="B1952" s="7" t="s">
        <v>29</v>
      </c>
      <c r="J1952" s="12">
        <v>53403.76</v>
      </c>
      <c r="K1952" s="5">
        <f t="shared" si="61"/>
        <v>50</v>
      </c>
      <c r="P1952" t="str">
        <f t="shared" si="62"/>
        <v>50K</v>
      </c>
    </row>
    <row r="1953" spans="1:16" x14ac:dyDescent="0.35">
      <c r="A1953">
        <v>2016</v>
      </c>
      <c r="B1953" s="6" t="s">
        <v>35</v>
      </c>
      <c r="J1953" s="13">
        <v>53526.46</v>
      </c>
      <c r="K1953" s="5">
        <f t="shared" si="61"/>
        <v>50</v>
      </c>
      <c r="P1953" t="str">
        <f t="shared" si="62"/>
        <v>50K</v>
      </c>
    </row>
    <row r="1954" spans="1:16" x14ac:dyDescent="0.35">
      <c r="A1954">
        <v>2007</v>
      </c>
      <c r="B1954" s="7" t="s">
        <v>23</v>
      </c>
      <c r="J1954" s="12">
        <v>82357.98</v>
      </c>
      <c r="K1954" s="5">
        <f t="shared" si="61"/>
        <v>80</v>
      </c>
      <c r="P1954" t="str">
        <f t="shared" si="62"/>
        <v>80K</v>
      </c>
    </row>
    <row r="1955" spans="1:16" x14ac:dyDescent="0.35">
      <c r="A1955">
        <v>2011</v>
      </c>
      <c r="B1955" s="6" t="s">
        <v>23</v>
      </c>
      <c r="J1955" s="13">
        <v>76535.97</v>
      </c>
      <c r="K1955" s="5">
        <f t="shared" si="61"/>
        <v>80</v>
      </c>
      <c r="P1955" t="str">
        <f t="shared" si="62"/>
        <v>80K</v>
      </c>
    </row>
    <row r="1956" spans="1:16" x14ac:dyDescent="0.35">
      <c r="A1956">
        <v>2021</v>
      </c>
      <c r="B1956" s="7" t="s">
        <v>29</v>
      </c>
      <c r="J1956" s="12">
        <v>91804.89</v>
      </c>
      <c r="K1956" s="5">
        <f t="shared" si="61"/>
        <v>90</v>
      </c>
      <c r="P1956" t="str">
        <f t="shared" si="62"/>
        <v>90K</v>
      </c>
    </row>
    <row r="1957" spans="1:16" x14ac:dyDescent="0.35">
      <c r="A1957">
        <v>2020</v>
      </c>
      <c r="B1957" s="6" t="s">
        <v>25</v>
      </c>
      <c r="J1957" s="13">
        <v>84125.66</v>
      </c>
      <c r="K1957" s="5">
        <f t="shared" si="61"/>
        <v>80</v>
      </c>
      <c r="P1957" t="str">
        <f t="shared" si="62"/>
        <v>80K</v>
      </c>
    </row>
    <row r="1958" spans="1:16" x14ac:dyDescent="0.35">
      <c r="A1958">
        <v>2009</v>
      </c>
      <c r="B1958" s="7" t="s">
        <v>25</v>
      </c>
      <c r="J1958" s="12">
        <v>29118.37</v>
      </c>
      <c r="K1958" s="5">
        <f t="shared" si="61"/>
        <v>30</v>
      </c>
      <c r="P1958" t="str">
        <f t="shared" si="62"/>
        <v>30K</v>
      </c>
    </row>
    <row r="1959" spans="1:16" x14ac:dyDescent="0.35">
      <c r="A1959">
        <v>2014</v>
      </c>
      <c r="B1959" s="6" t="s">
        <v>10</v>
      </c>
      <c r="J1959" s="13">
        <v>36473.19</v>
      </c>
      <c r="K1959" s="5">
        <f t="shared" si="61"/>
        <v>40</v>
      </c>
      <c r="P1959" t="str">
        <f t="shared" si="62"/>
        <v>40K</v>
      </c>
    </row>
    <row r="1960" spans="1:16" x14ac:dyDescent="0.35">
      <c r="A1960">
        <v>2008</v>
      </c>
      <c r="B1960" s="7" t="s">
        <v>35</v>
      </c>
      <c r="J1960" s="12">
        <v>52540.21</v>
      </c>
      <c r="K1960" s="5">
        <f t="shared" si="61"/>
        <v>50</v>
      </c>
      <c r="P1960" t="str">
        <f t="shared" si="62"/>
        <v>50K</v>
      </c>
    </row>
    <row r="1961" spans="1:16" x14ac:dyDescent="0.35">
      <c r="A1961">
        <v>2001</v>
      </c>
      <c r="B1961" s="6" t="s">
        <v>35</v>
      </c>
      <c r="J1961" s="13">
        <v>6355.76</v>
      </c>
      <c r="K1961" s="5">
        <f t="shared" si="61"/>
        <v>10</v>
      </c>
      <c r="P1961" t="str">
        <f t="shared" si="62"/>
        <v>10K</v>
      </c>
    </row>
    <row r="1962" spans="1:16" x14ac:dyDescent="0.35">
      <c r="A1962">
        <v>2004</v>
      </c>
      <c r="B1962" s="7" t="s">
        <v>27</v>
      </c>
      <c r="J1962" s="12">
        <v>90870.69</v>
      </c>
      <c r="K1962" s="5">
        <f t="shared" si="61"/>
        <v>90</v>
      </c>
      <c r="P1962" t="str">
        <f t="shared" si="62"/>
        <v>90K</v>
      </c>
    </row>
    <row r="1963" spans="1:16" x14ac:dyDescent="0.35">
      <c r="A1963">
        <v>2005</v>
      </c>
      <c r="B1963" s="6" t="s">
        <v>29</v>
      </c>
      <c r="J1963" s="13">
        <v>9212.7000000000007</v>
      </c>
      <c r="K1963" s="5">
        <f t="shared" si="61"/>
        <v>10</v>
      </c>
      <c r="P1963" t="str">
        <f t="shared" si="62"/>
        <v>10K</v>
      </c>
    </row>
    <row r="1964" spans="1:16" x14ac:dyDescent="0.35">
      <c r="A1964">
        <v>2006</v>
      </c>
      <c r="B1964" s="7" t="s">
        <v>25</v>
      </c>
      <c r="J1964" s="12">
        <v>35631.919999999998</v>
      </c>
      <c r="K1964" s="5">
        <f t="shared" si="61"/>
        <v>40</v>
      </c>
      <c r="P1964" t="str">
        <f t="shared" si="62"/>
        <v>40K</v>
      </c>
    </row>
    <row r="1965" spans="1:16" x14ac:dyDescent="0.35">
      <c r="A1965">
        <v>2020</v>
      </c>
      <c r="B1965" s="6" t="s">
        <v>20</v>
      </c>
      <c r="J1965" s="13">
        <v>59071.61</v>
      </c>
      <c r="K1965" s="5">
        <f t="shared" si="61"/>
        <v>60</v>
      </c>
      <c r="P1965" t="str">
        <f t="shared" si="62"/>
        <v>60K</v>
      </c>
    </row>
    <row r="1966" spans="1:16" x14ac:dyDescent="0.35">
      <c r="A1966">
        <v>2000</v>
      </c>
      <c r="B1966" s="7" t="s">
        <v>23</v>
      </c>
      <c r="J1966" s="12">
        <v>54194.93</v>
      </c>
      <c r="K1966" s="5">
        <f t="shared" si="61"/>
        <v>50</v>
      </c>
      <c r="P1966" t="str">
        <f t="shared" si="62"/>
        <v>50K</v>
      </c>
    </row>
    <row r="1967" spans="1:16" x14ac:dyDescent="0.35">
      <c r="A1967">
        <v>2022</v>
      </c>
      <c r="B1967" s="6" t="s">
        <v>35</v>
      </c>
      <c r="J1967" s="13">
        <v>67173.69</v>
      </c>
      <c r="K1967" s="5">
        <f t="shared" si="61"/>
        <v>70</v>
      </c>
      <c r="P1967" t="str">
        <f t="shared" si="62"/>
        <v>70K</v>
      </c>
    </row>
    <row r="1968" spans="1:16" x14ac:dyDescent="0.35">
      <c r="A1968">
        <v>2006</v>
      </c>
      <c r="B1968" s="7" t="s">
        <v>23</v>
      </c>
      <c r="J1968" s="12">
        <v>55114.42</v>
      </c>
      <c r="K1968" s="5">
        <f t="shared" si="61"/>
        <v>60</v>
      </c>
      <c r="P1968" t="str">
        <f t="shared" si="62"/>
        <v>60K</v>
      </c>
    </row>
    <row r="1969" spans="1:16" x14ac:dyDescent="0.35">
      <c r="A1969">
        <v>2019</v>
      </c>
      <c r="B1969" s="6" t="s">
        <v>23</v>
      </c>
      <c r="J1969" s="13">
        <v>26755.14</v>
      </c>
      <c r="K1969" s="5">
        <f t="shared" si="61"/>
        <v>30</v>
      </c>
      <c r="P1969" t="str">
        <f t="shared" si="62"/>
        <v>30K</v>
      </c>
    </row>
    <row r="1970" spans="1:16" x14ac:dyDescent="0.35">
      <c r="A1970">
        <v>2011</v>
      </c>
      <c r="B1970" s="7" t="s">
        <v>27</v>
      </c>
      <c r="J1970" s="12">
        <v>24102.43</v>
      </c>
      <c r="K1970" s="5">
        <f t="shared" si="61"/>
        <v>20</v>
      </c>
      <c r="P1970" t="str">
        <f t="shared" si="62"/>
        <v>20K</v>
      </c>
    </row>
    <row r="1971" spans="1:16" x14ac:dyDescent="0.35">
      <c r="A1971">
        <v>2015</v>
      </c>
      <c r="B1971" s="6" t="s">
        <v>25</v>
      </c>
      <c r="J1971" s="13">
        <v>91188.47</v>
      </c>
      <c r="K1971" s="5">
        <f t="shared" si="61"/>
        <v>90</v>
      </c>
      <c r="P1971" t="str">
        <f t="shared" si="62"/>
        <v>90K</v>
      </c>
    </row>
    <row r="1972" spans="1:16" x14ac:dyDescent="0.35">
      <c r="A1972">
        <v>2015</v>
      </c>
      <c r="B1972" s="7" t="s">
        <v>35</v>
      </c>
      <c r="J1972" s="12">
        <v>30076.84</v>
      </c>
      <c r="K1972" s="5">
        <f t="shared" si="61"/>
        <v>30</v>
      </c>
      <c r="P1972" t="str">
        <f t="shared" si="62"/>
        <v>30K</v>
      </c>
    </row>
    <row r="1973" spans="1:16" x14ac:dyDescent="0.35">
      <c r="A1973">
        <v>2010</v>
      </c>
      <c r="B1973" s="6" t="s">
        <v>23</v>
      </c>
      <c r="J1973" s="13">
        <v>31692.84</v>
      </c>
      <c r="K1973" s="5">
        <f t="shared" si="61"/>
        <v>30</v>
      </c>
      <c r="P1973" t="str">
        <f t="shared" si="62"/>
        <v>30K</v>
      </c>
    </row>
    <row r="1974" spans="1:16" x14ac:dyDescent="0.35">
      <c r="A1974">
        <v>2020</v>
      </c>
      <c r="B1974" s="7" t="s">
        <v>35</v>
      </c>
      <c r="J1974" s="12">
        <v>44230.53</v>
      </c>
      <c r="K1974" s="5">
        <f t="shared" si="61"/>
        <v>40</v>
      </c>
      <c r="P1974" t="str">
        <f t="shared" si="62"/>
        <v>40K</v>
      </c>
    </row>
    <row r="1975" spans="1:16" x14ac:dyDescent="0.35">
      <c r="A1975">
        <v>2003</v>
      </c>
      <c r="B1975" s="6" t="s">
        <v>20</v>
      </c>
      <c r="J1975" s="13">
        <v>18246.64</v>
      </c>
      <c r="K1975" s="5">
        <f t="shared" si="61"/>
        <v>20</v>
      </c>
      <c r="P1975" t="str">
        <f t="shared" si="62"/>
        <v>20K</v>
      </c>
    </row>
    <row r="1976" spans="1:16" x14ac:dyDescent="0.35">
      <c r="A1976">
        <v>2012</v>
      </c>
      <c r="B1976" s="7" t="s">
        <v>27</v>
      </c>
      <c r="J1976" s="12">
        <v>53190.92</v>
      </c>
      <c r="K1976" s="5">
        <f t="shared" si="61"/>
        <v>50</v>
      </c>
      <c r="P1976" t="str">
        <f t="shared" si="62"/>
        <v>50K</v>
      </c>
    </row>
    <row r="1977" spans="1:16" x14ac:dyDescent="0.35">
      <c r="A1977">
        <v>2006</v>
      </c>
      <c r="B1977" s="6" t="s">
        <v>20</v>
      </c>
      <c r="J1977" s="13">
        <v>68178.02</v>
      </c>
      <c r="K1977" s="5">
        <f t="shared" si="61"/>
        <v>70</v>
      </c>
      <c r="P1977" t="str">
        <f t="shared" si="62"/>
        <v>70K</v>
      </c>
    </row>
    <row r="1978" spans="1:16" x14ac:dyDescent="0.35">
      <c r="A1978">
        <v>2003</v>
      </c>
      <c r="B1978" s="7" t="s">
        <v>35</v>
      </c>
      <c r="J1978" s="12">
        <v>79670.05</v>
      </c>
      <c r="K1978" s="5">
        <f t="shared" si="61"/>
        <v>80</v>
      </c>
      <c r="P1978" t="str">
        <f t="shared" si="62"/>
        <v>80K</v>
      </c>
    </row>
    <row r="1979" spans="1:16" x14ac:dyDescent="0.35">
      <c r="A1979">
        <v>2014</v>
      </c>
      <c r="B1979" s="6" t="s">
        <v>10</v>
      </c>
      <c r="J1979" s="13">
        <v>72588.149999999994</v>
      </c>
      <c r="K1979" s="5">
        <f t="shared" si="61"/>
        <v>70</v>
      </c>
      <c r="P1979" t="str">
        <f t="shared" si="62"/>
        <v>70K</v>
      </c>
    </row>
    <row r="1980" spans="1:16" x14ac:dyDescent="0.35">
      <c r="A1980">
        <v>2018</v>
      </c>
      <c r="B1980" s="7" t="s">
        <v>35</v>
      </c>
      <c r="J1980" s="12">
        <v>19025.419999999998</v>
      </c>
      <c r="K1980" s="5">
        <f t="shared" si="61"/>
        <v>20</v>
      </c>
      <c r="P1980" t="str">
        <f t="shared" si="62"/>
        <v>20K</v>
      </c>
    </row>
    <row r="1981" spans="1:16" x14ac:dyDescent="0.35">
      <c r="A1981">
        <v>2008</v>
      </c>
      <c r="B1981" s="6" t="s">
        <v>25</v>
      </c>
      <c r="J1981" s="13">
        <v>48326.38</v>
      </c>
      <c r="K1981" s="5">
        <f t="shared" si="61"/>
        <v>50</v>
      </c>
      <c r="P1981" t="str">
        <f t="shared" si="62"/>
        <v>50K</v>
      </c>
    </row>
    <row r="1982" spans="1:16" x14ac:dyDescent="0.35">
      <c r="A1982">
        <v>2010</v>
      </c>
      <c r="B1982" s="7" t="s">
        <v>23</v>
      </c>
      <c r="J1982" s="12">
        <v>8665.69</v>
      </c>
      <c r="K1982" s="5">
        <f t="shared" si="61"/>
        <v>10</v>
      </c>
      <c r="P1982" t="str">
        <f t="shared" si="62"/>
        <v>10K</v>
      </c>
    </row>
    <row r="1983" spans="1:16" x14ac:dyDescent="0.35">
      <c r="A1983">
        <v>2007</v>
      </c>
      <c r="B1983" s="6" t="s">
        <v>23</v>
      </c>
      <c r="J1983" s="13">
        <v>6690.81</v>
      </c>
      <c r="K1983" s="5">
        <f t="shared" si="61"/>
        <v>10</v>
      </c>
      <c r="P1983" t="str">
        <f t="shared" si="62"/>
        <v>10K</v>
      </c>
    </row>
    <row r="1984" spans="1:16" x14ac:dyDescent="0.35">
      <c r="A1984">
        <v>2000</v>
      </c>
      <c r="B1984" s="7" t="s">
        <v>20</v>
      </c>
      <c r="J1984" s="12">
        <v>46812.39</v>
      </c>
      <c r="K1984" s="5">
        <f t="shared" si="61"/>
        <v>50</v>
      </c>
      <c r="P1984" t="str">
        <f t="shared" si="62"/>
        <v>50K</v>
      </c>
    </row>
    <row r="1985" spans="1:16" x14ac:dyDescent="0.35">
      <c r="A1985">
        <v>2022</v>
      </c>
      <c r="B1985" s="6" t="s">
        <v>27</v>
      </c>
      <c r="J1985" s="13">
        <v>29031.25</v>
      </c>
      <c r="K1985" s="5">
        <f t="shared" si="61"/>
        <v>30</v>
      </c>
      <c r="P1985" t="str">
        <f t="shared" si="62"/>
        <v>30K</v>
      </c>
    </row>
    <row r="1986" spans="1:16" x14ac:dyDescent="0.35">
      <c r="A1986">
        <v>2023</v>
      </c>
      <c r="B1986" s="7" t="s">
        <v>10</v>
      </c>
      <c r="J1986" s="12">
        <v>69919.28</v>
      </c>
      <c r="K1986" s="5">
        <f t="shared" si="61"/>
        <v>70</v>
      </c>
      <c r="P1986" t="str">
        <f t="shared" si="62"/>
        <v>70K</v>
      </c>
    </row>
    <row r="1987" spans="1:16" x14ac:dyDescent="0.35">
      <c r="A1987">
        <v>2007</v>
      </c>
      <c r="B1987" s="6" t="s">
        <v>29</v>
      </c>
      <c r="J1987" s="13">
        <v>73802.87</v>
      </c>
      <c r="K1987" s="5">
        <f t="shared" ref="K1987:K2050" si="63">ROUND(J1987/10000,0)*10</f>
        <v>70</v>
      </c>
      <c r="P1987" t="str">
        <f t="shared" ref="P1987:P2050" si="64">TEXT(ROUND(J1987/10000,0)*10,"0") &amp; "K"</f>
        <v>70K</v>
      </c>
    </row>
    <row r="1988" spans="1:16" x14ac:dyDescent="0.35">
      <c r="A1988">
        <v>2012</v>
      </c>
      <c r="B1988" s="7" t="s">
        <v>23</v>
      </c>
      <c r="J1988" s="12">
        <v>90063.35</v>
      </c>
      <c r="K1988" s="5">
        <f t="shared" si="63"/>
        <v>90</v>
      </c>
      <c r="P1988" t="str">
        <f t="shared" si="64"/>
        <v>90K</v>
      </c>
    </row>
    <row r="1989" spans="1:16" x14ac:dyDescent="0.35">
      <c r="A1989">
        <v>2021</v>
      </c>
      <c r="B1989" s="6" t="s">
        <v>25</v>
      </c>
      <c r="J1989" s="13">
        <v>77264.84</v>
      </c>
      <c r="K1989" s="5">
        <f t="shared" si="63"/>
        <v>80</v>
      </c>
      <c r="P1989" t="str">
        <f t="shared" si="64"/>
        <v>80K</v>
      </c>
    </row>
    <row r="1990" spans="1:16" x14ac:dyDescent="0.35">
      <c r="A1990">
        <v>2003</v>
      </c>
      <c r="B1990" s="7" t="s">
        <v>20</v>
      </c>
      <c r="J1990" s="12">
        <v>9583.19</v>
      </c>
      <c r="K1990" s="5">
        <f t="shared" si="63"/>
        <v>10</v>
      </c>
      <c r="P1990" t="str">
        <f t="shared" si="64"/>
        <v>10K</v>
      </c>
    </row>
    <row r="1991" spans="1:16" x14ac:dyDescent="0.35">
      <c r="A1991">
        <v>2007</v>
      </c>
      <c r="B1991" s="6" t="s">
        <v>20</v>
      </c>
      <c r="J1991" s="13">
        <v>40304.19</v>
      </c>
      <c r="K1991" s="5">
        <f t="shared" si="63"/>
        <v>40</v>
      </c>
      <c r="P1991" t="str">
        <f t="shared" si="64"/>
        <v>40K</v>
      </c>
    </row>
    <row r="1992" spans="1:16" x14ac:dyDescent="0.35">
      <c r="A1992">
        <v>2002</v>
      </c>
      <c r="B1992" s="7" t="s">
        <v>29</v>
      </c>
      <c r="J1992" s="12">
        <v>30937.22</v>
      </c>
      <c r="K1992" s="5">
        <f t="shared" si="63"/>
        <v>30</v>
      </c>
      <c r="P1992" t="str">
        <f t="shared" si="64"/>
        <v>30K</v>
      </c>
    </row>
    <row r="1993" spans="1:16" x14ac:dyDescent="0.35">
      <c r="A1993">
        <v>2008</v>
      </c>
      <c r="B1993" s="6" t="s">
        <v>25</v>
      </c>
      <c r="J1993" s="13">
        <v>41682.58</v>
      </c>
      <c r="K1993" s="5">
        <f t="shared" si="63"/>
        <v>40</v>
      </c>
      <c r="P1993" t="str">
        <f t="shared" si="64"/>
        <v>40K</v>
      </c>
    </row>
    <row r="1994" spans="1:16" x14ac:dyDescent="0.35">
      <c r="A1994">
        <v>2001</v>
      </c>
      <c r="B1994" s="7" t="s">
        <v>27</v>
      </c>
      <c r="J1994" s="12">
        <v>20207.189999999999</v>
      </c>
      <c r="K1994" s="5">
        <f t="shared" si="63"/>
        <v>20</v>
      </c>
      <c r="P1994" t="str">
        <f t="shared" si="64"/>
        <v>20K</v>
      </c>
    </row>
    <row r="1995" spans="1:16" x14ac:dyDescent="0.35">
      <c r="A1995">
        <v>2001</v>
      </c>
      <c r="B1995" s="6" t="s">
        <v>25</v>
      </c>
      <c r="J1995" s="13">
        <v>14281.89</v>
      </c>
      <c r="K1995" s="5">
        <f t="shared" si="63"/>
        <v>10</v>
      </c>
      <c r="P1995" t="str">
        <f t="shared" si="64"/>
        <v>10K</v>
      </c>
    </row>
    <row r="1996" spans="1:16" x14ac:dyDescent="0.35">
      <c r="A1996">
        <v>2012</v>
      </c>
      <c r="B1996" s="7" t="s">
        <v>27</v>
      </c>
      <c r="J1996" s="12">
        <v>54493.53</v>
      </c>
      <c r="K1996" s="5">
        <f t="shared" si="63"/>
        <v>50</v>
      </c>
      <c r="P1996" t="str">
        <f t="shared" si="64"/>
        <v>50K</v>
      </c>
    </row>
    <row r="1997" spans="1:16" x14ac:dyDescent="0.35">
      <c r="A1997">
        <v>2014</v>
      </c>
      <c r="B1997" s="6" t="s">
        <v>25</v>
      </c>
      <c r="J1997" s="13">
        <v>73436.22</v>
      </c>
      <c r="K1997" s="5">
        <f t="shared" si="63"/>
        <v>70</v>
      </c>
      <c r="P1997" t="str">
        <f t="shared" si="64"/>
        <v>70K</v>
      </c>
    </row>
    <row r="1998" spans="1:16" x14ac:dyDescent="0.35">
      <c r="A1998">
        <v>2022</v>
      </c>
      <c r="B1998" s="7" t="s">
        <v>25</v>
      </c>
      <c r="J1998" s="12">
        <v>71681.539999999994</v>
      </c>
      <c r="K1998" s="5">
        <f t="shared" si="63"/>
        <v>70</v>
      </c>
      <c r="P1998" t="str">
        <f t="shared" si="64"/>
        <v>70K</v>
      </c>
    </row>
    <row r="1999" spans="1:16" x14ac:dyDescent="0.35">
      <c r="A1999">
        <v>2011</v>
      </c>
      <c r="B1999" s="6" t="s">
        <v>35</v>
      </c>
      <c r="J1999" s="13">
        <v>47839.71</v>
      </c>
      <c r="K1999" s="5">
        <f t="shared" si="63"/>
        <v>50</v>
      </c>
      <c r="P1999" t="str">
        <f t="shared" si="64"/>
        <v>50K</v>
      </c>
    </row>
    <row r="2000" spans="1:16" x14ac:dyDescent="0.35">
      <c r="A2000">
        <v>2003</v>
      </c>
      <c r="B2000" s="7" t="s">
        <v>20</v>
      </c>
      <c r="J2000" s="12">
        <v>54616.5</v>
      </c>
      <c r="K2000" s="5">
        <f t="shared" si="63"/>
        <v>50</v>
      </c>
      <c r="P2000" t="str">
        <f t="shared" si="64"/>
        <v>50K</v>
      </c>
    </row>
    <row r="2001" spans="1:16" x14ac:dyDescent="0.35">
      <c r="A2001">
        <v>2007</v>
      </c>
      <c r="B2001" s="6" t="s">
        <v>25</v>
      </c>
      <c r="J2001" s="13">
        <v>54051.23</v>
      </c>
      <c r="K2001" s="5">
        <f t="shared" si="63"/>
        <v>50</v>
      </c>
      <c r="P2001" t="str">
        <f t="shared" si="64"/>
        <v>50K</v>
      </c>
    </row>
    <row r="2002" spans="1:16" x14ac:dyDescent="0.35">
      <c r="A2002">
        <v>2008</v>
      </c>
      <c r="B2002" s="7" t="s">
        <v>29</v>
      </c>
      <c r="J2002" s="12">
        <v>70699.19</v>
      </c>
      <c r="K2002" s="5">
        <f t="shared" si="63"/>
        <v>70</v>
      </c>
      <c r="P2002" t="str">
        <f t="shared" si="64"/>
        <v>70K</v>
      </c>
    </row>
    <row r="2003" spans="1:16" x14ac:dyDescent="0.35">
      <c r="A2003">
        <v>2022</v>
      </c>
      <c r="B2003" s="6" t="s">
        <v>25</v>
      </c>
      <c r="J2003" s="13">
        <v>9552.89</v>
      </c>
      <c r="K2003" s="5">
        <f t="shared" si="63"/>
        <v>10</v>
      </c>
      <c r="P2003" t="str">
        <f t="shared" si="64"/>
        <v>10K</v>
      </c>
    </row>
    <row r="2004" spans="1:16" x14ac:dyDescent="0.35">
      <c r="A2004">
        <v>2004</v>
      </c>
      <c r="B2004" s="7" t="s">
        <v>23</v>
      </c>
      <c r="J2004" s="12">
        <v>72440.13</v>
      </c>
      <c r="K2004" s="5">
        <f t="shared" si="63"/>
        <v>70</v>
      </c>
      <c r="P2004" t="str">
        <f t="shared" si="64"/>
        <v>70K</v>
      </c>
    </row>
    <row r="2005" spans="1:16" x14ac:dyDescent="0.35">
      <c r="A2005">
        <v>2023</v>
      </c>
      <c r="B2005" s="6" t="s">
        <v>20</v>
      </c>
      <c r="J2005" s="13">
        <v>60309.09</v>
      </c>
      <c r="K2005" s="5">
        <f t="shared" si="63"/>
        <v>60</v>
      </c>
      <c r="P2005" t="str">
        <f t="shared" si="64"/>
        <v>60K</v>
      </c>
    </row>
    <row r="2006" spans="1:16" x14ac:dyDescent="0.35">
      <c r="A2006">
        <v>2019</v>
      </c>
      <c r="B2006" s="7" t="s">
        <v>23</v>
      </c>
      <c r="J2006" s="12">
        <v>23820.33</v>
      </c>
      <c r="K2006" s="5">
        <f t="shared" si="63"/>
        <v>20</v>
      </c>
      <c r="P2006" t="str">
        <f t="shared" si="64"/>
        <v>20K</v>
      </c>
    </row>
    <row r="2007" spans="1:16" x14ac:dyDescent="0.35">
      <c r="A2007">
        <v>2017</v>
      </c>
      <c r="B2007" s="6" t="s">
        <v>20</v>
      </c>
      <c r="J2007" s="13">
        <v>9660.59</v>
      </c>
      <c r="K2007" s="5">
        <f t="shared" si="63"/>
        <v>10</v>
      </c>
      <c r="P2007" t="str">
        <f t="shared" si="64"/>
        <v>10K</v>
      </c>
    </row>
    <row r="2008" spans="1:16" x14ac:dyDescent="0.35">
      <c r="A2008">
        <v>2010</v>
      </c>
      <c r="B2008" s="7" t="s">
        <v>23</v>
      </c>
      <c r="J2008" s="12">
        <v>15310.14</v>
      </c>
      <c r="K2008" s="5">
        <f t="shared" si="63"/>
        <v>20</v>
      </c>
      <c r="P2008" t="str">
        <f t="shared" si="64"/>
        <v>20K</v>
      </c>
    </row>
    <row r="2009" spans="1:16" x14ac:dyDescent="0.35">
      <c r="A2009">
        <v>2014</v>
      </c>
      <c r="B2009" s="6" t="s">
        <v>25</v>
      </c>
      <c r="J2009" s="13">
        <v>54845.68</v>
      </c>
      <c r="K2009" s="5">
        <f t="shared" si="63"/>
        <v>50</v>
      </c>
      <c r="P2009" t="str">
        <f t="shared" si="64"/>
        <v>50K</v>
      </c>
    </row>
    <row r="2010" spans="1:16" x14ac:dyDescent="0.35">
      <c r="A2010">
        <v>2021</v>
      </c>
      <c r="B2010" s="7" t="s">
        <v>25</v>
      </c>
      <c r="J2010" s="12">
        <v>77048.81</v>
      </c>
      <c r="K2010" s="5">
        <f t="shared" si="63"/>
        <v>80</v>
      </c>
      <c r="P2010" t="str">
        <f t="shared" si="64"/>
        <v>80K</v>
      </c>
    </row>
    <row r="2011" spans="1:16" x14ac:dyDescent="0.35">
      <c r="A2011">
        <v>2008</v>
      </c>
      <c r="B2011" s="6" t="s">
        <v>35</v>
      </c>
      <c r="J2011" s="13">
        <v>36792.44</v>
      </c>
      <c r="K2011" s="5">
        <f t="shared" si="63"/>
        <v>40</v>
      </c>
      <c r="P2011" t="str">
        <f t="shared" si="64"/>
        <v>40K</v>
      </c>
    </row>
    <row r="2012" spans="1:16" x14ac:dyDescent="0.35">
      <c r="A2012">
        <v>2016</v>
      </c>
      <c r="B2012" s="7" t="s">
        <v>29</v>
      </c>
      <c r="J2012" s="12">
        <v>41016.769999999997</v>
      </c>
      <c r="K2012" s="5">
        <f t="shared" si="63"/>
        <v>40</v>
      </c>
      <c r="P2012" t="str">
        <f t="shared" si="64"/>
        <v>40K</v>
      </c>
    </row>
    <row r="2013" spans="1:16" x14ac:dyDescent="0.35">
      <c r="A2013">
        <v>2011</v>
      </c>
      <c r="B2013" s="6" t="s">
        <v>23</v>
      </c>
      <c r="J2013" s="13">
        <v>93743.91</v>
      </c>
      <c r="K2013" s="5">
        <f t="shared" si="63"/>
        <v>90</v>
      </c>
      <c r="P2013" t="str">
        <f t="shared" si="64"/>
        <v>90K</v>
      </c>
    </row>
    <row r="2014" spans="1:16" x14ac:dyDescent="0.35">
      <c r="A2014">
        <v>2006</v>
      </c>
      <c r="B2014" s="7" t="s">
        <v>27</v>
      </c>
      <c r="J2014" s="12">
        <v>25236.240000000002</v>
      </c>
      <c r="K2014" s="5">
        <f t="shared" si="63"/>
        <v>30</v>
      </c>
      <c r="P2014" t="str">
        <f t="shared" si="64"/>
        <v>30K</v>
      </c>
    </row>
    <row r="2015" spans="1:16" x14ac:dyDescent="0.35">
      <c r="A2015">
        <v>2009</v>
      </c>
      <c r="B2015" s="6" t="s">
        <v>35</v>
      </c>
      <c r="J2015" s="13">
        <v>14856.2</v>
      </c>
      <c r="K2015" s="5">
        <f t="shared" si="63"/>
        <v>10</v>
      </c>
      <c r="P2015" t="str">
        <f t="shared" si="64"/>
        <v>10K</v>
      </c>
    </row>
    <row r="2016" spans="1:16" x14ac:dyDescent="0.35">
      <c r="A2016">
        <v>2009</v>
      </c>
      <c r="B2016" s="7" t="s">
        <v>23</v>
      </c>
      <c r="J2016" s="12">
        <v>37623.96</v>
      </c>
      <c r="K2016" s="5">
        <f t="shared" si="63"/>
        <v>40</v>
      </c>
      <c r="P2016" t="str">
        <f t="shared" si="64"/>
        <v>40K</v>
      </c>
    </row>
    <row r="2017" spans="1:16" x14ac:dyDescent="0.35">
      <c r="A2017">
        <v>2012</v>
      </c>
      <c r="B2017" s="6" t="s">
        <v>23</v>
      </c>
      <c r="J2017" s="13">
        <v>75862.600000000006</v>
      </c>
      <c r="K2017" s="5">
        <f t="shared" si="63"/>
        <v>80</v>
      </c>
      <c r="P2017" t="str">
        <f t="shared" si="64"/>
        <v>80K</v>
      </c>
    </row>
    <row r="2018" spans="1:16" x14ac:dyDescent="0.35">
      <c r="A2018">
        <v>2018</v>
      </c>
      <c r="B2018" s="7" t="s">
        <v>35</v>
      </c>
      <c r="J2018" s="12">
        <v>64477.34</v>
      </c>
      <c r="K2018" s="5">
        <f t="shared" si="63"/>
        <v>60</v>
      </c>
      <c r="P2018" t="str">
        <f t="shared" si="64"/>
        <v>60K</v>
      </c>
    </row>
    <row r="2019" spans="1:16" x14ac:dyDescent="0.35">
      <c r="A2019">
        <v>2010</v>
      </c>
      <c r="B2019" s="6" t="s">
        <v>25</v>
      </c>
      <c r="J2019" s="13">
        <v>44500.57</v>
      </c>
      <c r="K2019" s="5">
        <f t="shared" si="63"/>
        <v>40</v>
      </c>
      <c r="P2019" t="str">
        <f t="shared" si="64"/>
        <v>40K</v>
      </c>
    </row>
    <row r="2020" spans="1:16" x14ac:dyDescent="0.35">
      <c r="A2020">
        <v>2012</v>
      </c>
      <c r="B2020" s="7" t="s">
        <v>23</v>
      </c>
      <c r="J2020" s="12">
        <v>96651.49</v>
      </c>
      <c r="K2020" s="5">
        <f t="shared" si="63"/>
        <v>100</v>
      </c>
      <c r="P2020" t="str">
        <f t="shared" si="64"/>
        <v>100K</v>
      </c>
    </row>
    <row r="2021" spans="1:16" x14ac:dyDescent="0.35">
      <c r="A2021">
        <v>2020</v>
      </c>
      <c r="B2021" s="6" t="s">
        <v>25</v>
      </c>
      <c r="J2021" s="13">
        <v>74824.66</v>
      </c>
      <c r="K2021" s="5">
        <f t="shared" si="63"/>
        <v>70</v>
      </c>
      <c r="P2021" t="str">
        <f t="shared" si="64"/>
        <v>70K</v>
      </c>
    </row>
    <row r="2022" spans="1:16" x14ac:dyDescent="0.35">
      <c r="A2022">
        <v>2007</v>
      </c>
      <c r="B2022" s="7" t="s">
        <v>35</v>
      </c>
      <c r="J2022" s="12">
        <v>10876.84</v>
      </c>
      <c r="K2022" s="5">
        <f t="shared" si="63"/>
        <v>10</v>
      </c>
      <c r="P2022" t="str">
        <f t="shared" si="64"/>
        <v>10K</v>
      </c>
    </row>
    <row r="2023" spans="1:16" x14ac:dyDescent="0.35">
      <c r="A2023">
        <v>2007</v>
      </c>
      <c r="B2023" s="6" t="s">
        <v>25</v>
      </c>
      <c r="J2023" s="13">
        <v>75739.990000000005</v>
      </c>
      <c r="K2023" s="5">
        <f t="shared" si="63"/>
        <v>80</v>
      </c>
      <c r="P2023" t="str">
        <f t="shared" si="64"/>
        <v>80K</v>
      </c>
    </row>
    <row r="2024" spans="1:16" x14ac:dyDescent="0.35">
      <c r="A2024">
        <v>2003</v>
      </c>
      <c r="B2024" s="7" t="s">
        <v>20</v>
      </c>
      <c r="J2024" s="12">
        <v>7283.66</v>
      </c>
      <c r="K2024" s="5">
        <f t="shared" si="63"/>
        <v>10</v>
      </c>
      <c r="P2024" t="str">
        <f t="shared" si="64"/>
        <v>10K</v>
      </c>
    </row>
    <row r="2025" spans="1:16" x14ac:dyDescent="0.35">
      <c r="A2025">
        <v>2014</v>
      </c>
      <c r="B2025" s="6" t="s">
        <v>27</v>
      </c>
      <c r="J2025" s="13">
        <v>66780.72</v>
      </c>
      <c r="K2025" s="5">
        <f t="shared" si="63"/>
        <v>70</v>
      </c>
      <c r="P2025" t="str">
        <f t="shared" si="64"/>
        <v>70K</v>
      </c>
    </row>
    <row r="2026" spans="1:16" x14ac:dyDescent="0.35">
      <c r="A2026">
        <v>2010</v>
      </c>
      <c r="B2026" s="7" t="s">
        <v>10</v>
      </c>
      <c r="J2026" s="12">
        <v>24995.87</v>
      </c>
      <c r="K2026" s="5">
        <f t="shared" si="63"/>
        <v>20</v>
      </c>
      <c r="P2026" t="str">
        <f t="shared" si="64"/>
        <v>20K</v>
      </c>
    </row>
    <row r="2027" spans="1:16" x14ac:dyDescent="0.35">
      <c r="A2027">
        <v>2010</v>
      </c>
      <c r="B2027" s="6" t="s">
        <v>23</v>
      </c>
      <c r="J2027" s="13">
        <v>71162.009999999995</v>
      </c>
      <c r="K2027" s="5">
        <f t="shared" si="63"/>
        <v>70</v>
      </c>
      <c r="P2027" t="str">
        <f t="shared" si="64"/>
        <v>70K</v>
      </c>
    </row>
    <row r="2028" spans="1:16" x14ac:dyDescent="0.35">
      <c r="A2028">
        <v>2000</v>
      </c>
      <c r="B2028" s="7" t="s">
        <v>29</v>
      </c>
      <c r="J2028" s="12">
        <v>34429.06</v>
      </c>
      <c r="K2028" s="5">
        <f t="shared" si="63"/>
        <v>30</v>
      </c>
      <c r="P2028" t="str">
        <f t="shared" si="64"/>
        <v>30K</v>
      </c>
    </row>
    <row r="2029" spans="1:16" x14ac:dyDescent="0.35">
      <c r="A2029">
        <v>2016</v>
      </c>
      <c r="B2029" s="6" t="s">
        <v>27</v>
      </c>
      <c r="J2029" s="13">
        <v>87935.6</v>
      </c>
      <c r="K2029" s="5">
        <f t="shared" si="63"/>
        <v>90</v>
      </c>
      <c r="P2029" t="str">
        <f t="shared" si="64"/>
        <v>90K</v>
      </c>
    </row>
    <row r="2030" spans="1:16" x14ac:dyDescent="0.35">
      <c r="A2030">
        <v>2014</v>
      </c>
      <c r="B2030" s="7" t="s">
        <v>10</v>
      </c>
      <c r="J2030" s="12">
        <v>37006.81</v>
      </c>
      <c r="K2030" s="5">
        <f t="shared" si="63"/>
        <v>40</v>
      </c>
      <c r="P2030" t="str">
        <f t="shared" si="64"/>
        <v>40K</v>
      </c>
    </row>
    <row r="2031" spans="1:16" x14ac:dyDescent="0.35">
      <c r="A2031">
        <v>2019</v>
      </c>
      <c r="B2031" s="6" t="s">
        <v>25</v>
      </c>
      <c r="J2031" s="13">
        <v>63871.11</v>
      </c>
      <c r="K2031" s="5">
        <f t="shared" si="63"/>
        <v>60</v>
      </c>
      <c r="P2031" t="str">
        <f t="shared" si="64"/>
        <v>60K</v>
      </c>
    </row>
    <row r="2032" spans="1:16" x14ac:dyDescent="0.35">
      <c r="A2032">
        <v>2005</v>
      </c>
      <c r="B2032" s="7" t="s">
        <v>23</v>
      </c>
      <c r="J2032" s="12">
        <v>32163.119999999999</v>
      </c>
      <c r="K2032" s="5">
        <f t="shared" si="63"/>
        <v>30</v>
      </c>
      <c r="P2032" t="str">
        <f t="shared" si="64"/>
        <v>30K</v>
      </c>
    </row>
    <row r="2033" spans="1:16" x14ac:dyDescent="0.35">
      <c r="A2033">
        <v>2023</v>
      </c>
      <c r="B2033" s="6" t="s">
        <v>25</v>
      </c>
      <c r="J2033" s="13">
        <v>92136.05</v>
      </c>
      <c r="K2033" s="5">
        <f t="shared" si="63"/>
        <v>90</v>
      </c>
      <c r="P2033" t="str">
        <f t="shared" si="64"/>
        <v>90K</v>
      </c>
    </row>
    <row r="2034" spans="1:16" x14ac:dyDescent="0.35">
      <c r="A2034">
        <v>2021</v>
      </c>
      <c r="B2034" s="7" t="s">
        <v>20</v>
      </c>
      <c r="J2034" s="12">
        <v>79194.62</v>
      </c>
      <c r="K2034" s="5">
        <f t="shared" si="63"/>
        <v>80</v>
      </c>
      <c r="P2034" t="str">
        <f t="shared" si="64"/>
        <v>80K</v>
      </c>
    </row>
    <row r="2035" spans="1:16" x14ac:dyDescent="0.35">
      <c r="A2035">
        <v>2014</v>
      </c>
      <c r="B2035" s="6" t="s">
        <v>35</v>
      </c>
      <c r="J2035" s="13">
        <v>28113.77</v>
      </c>
      <c r="K2035" s="5">
        <f t="shared" si="63"/>
        <v>30</v>
      </c>
      <c r="P2035" t="str">
        <f t="shared" si="64"/>
        <v>30K</v>
      </c>
    </row>
    <row r="2036" spans="1:16" x14ac:dyDescent="0.35">
      <c r="A2036">
        <v>2008</v>
      </c>
      <c r="B2036" s="7" t="s">
        <v>23</v>
      </c>
      <c r="J2036" s="12">
        <v>95135.69</v>
      </c>
      <c r="K2036" s="5">
        <f t="shared" si="63"/>
        <v>100</v>
      </c>
      <c r="P2036" t="str">
        <f t="shared" si="64"/>
        <v>100K</v>
      </c>
    </row>
    <row r="2037" spans="1:16" x14ac:dyDescent="0.35">
      <c r="A2037">
        <v>2013</v>
      </c>
      <c r="B2037" s="6" t="s">
        <v>10</v>
      </c>
      <c r="J2037" s="13">
        <v>38929.97</v>
      </c>
      <c r="K2037" s="5">
        <f t="shared" si="63"/>
        <v>40</v>
      </c>
      <c r="P2037" t="str">
        <f t="shared" si="64"/>
        <v>40K</v>
      </c>
    </row>
    <row r="2038" spans="1:16" x14ac:dyDescent="0.35">
      <c r="A2038">
        <v>2017</v>
      </c>
      <c r="B2038" s="7" t="s">
        <v>10</v>
      </c>
      <c r="J2038" s="12">
        <v>66927.17</v>
      </c>
      <c r="K2038" s="5">
        <f t="shared" si="63"/>
        <v>70</v>
      </c>
      <c r="P2038" t="str">
        <f t="shared" si="64"/>
        <v>70K</v>
      </c>
    </row>
    <row r="2039" spans="1:16" x14ac:dyDescent="0.35">
      <c r="A2039">
        <v>2016</v>
      </c>
      <c r="B2039" s="6" t="s">
        <v>20</v>
      </c>
      <c r="J2039" s="13">
        <v>75571.06</v>
      </c>
      <c r="K2039" s="5">
        <f t="shared" si="63"/>
        <v>80</v>
      </c>
      <c r="P2039" t="str">
        <f t="shared" si="64"/>
        <v>80K</v>
      </c>
    </row>
    <row r="2040" spans="1:16" x14ac:dyDescent="0.35">
      <c r="A2040">
        <v>2017</v>
      </c>
      <c r="B2040" s="7" t="s">
        <v>20</v>
      </c>
      <c r="J2040" s="12">
        <v>7175.71</v>
      </c>
      <c r="K2040" s="5">
        <f t="shared" si="63"/>
        <v>10</v>
      </c>
      <c r="P2040" t="str">
        <f t="shared" si="64"/>
        <v>10K</v>
      </c>
    </row>
    <row r="2041" spans="1:16" x14ac:dyDescent="0.35">
      <c r="A2041">
        <v>2004</v>
      </c>
      <c r="B2041" s="6" t="s">
        <v>23</v>
      </c>
      <c r="J2041" s="13">
        <v>96101.9</v>
      </c>
      <c r="K2041" s="5">
        <f t="shared" si="63"/>
        <v>100</v>
      </c>
      <c r="P2041" t="str">
        <f t="shared" si="64"/>
        <v>100K</v>
      </c>
    </row>
    <row r="2042" spans="1:16" x14ac:dyDescent="0.35">
      <c r="A2042">
        <v>2019</v>
      </c>
      <c r="B2042" s="7" t="s">
        <v>25</v>
      </c>
      <c r="J2042" s="12">
        <v>37721.919999999998</v>
      </c>
      <c r="K2042" s="5">
        <f t="shared" si="63"/>
        <v>40</v>
      </c>
      <c r="P2042" t="str">
        <f t="shared" si="64"/>
        <v>40K</v>
      </c>
    </row>
    <row r="2043" spans="1:16" x14ac:dyDescent="0.35">
      <c r="A2043">
        <v>2019</v>
      </c>
      <c r="B2043" s="6" t="s">
        <v>29</v>
      </c>
      <c r="J2043" s="13">
        <v>23028.99</v>
      </c>
      <c r="K2043" s="5">
        <f t="shared" si="63"/>
        <v>20</v>
      </c>
      <c r="P2043" t="str">
        <f t="shared" si="64"/>
        <v>20K</v>
      </c>
    </row>
    <row r="2044" spans="1:16" x14ac:dyDescent="0.35">
      <c r="A2044">
        <v>2008</v>
      </c>
      <c r="B2044" s="7" t="s">
        <v>10</v>
      </c>
      <c r="J2044" s="12">
        <v>85817.24</v>
      </c>
      <c r="K2044" s="5">
        <f t="shared" si="63"/>
        <v>90</v>
      </c>
      <c r="P2044" t="str">
        <f t="shared" si="64"/>
        <v>90K</v>
      </c>
    </row>
    <row r="2045" spans="1:16" x14ac:dyDescent="0.35">
      <c r="A2045">
        <v>2010</v>
      </c>
      <c r="B2045" s="6" t="s">
        <v>10</v>
      </c>
      <c r="J2045" s="13">
        <v>71775.429999999993</v>
      </c>
      <c r="K2045" s="5">
        <f t="shared" si="63"/>
        <v>70</v>
      </c>
      <c r="P2045" t="str">
        <f t="shared" si="64"/>
        <v>70K</v>
      </c>
    </row>
    <row r="2046" spans="1:16" x14ac:dyDescent="0.35">
      <c r="A2046">
        <v>2023</v>
      </c>
      <c r="B2046" s="7" t="s">
        <v>20</v>
      </c>
      <c r="J2046" s="12">
        <v>13240.61</v>
      </c>
      <c r="K2046" s="5">
        <f t="shared" si="63"/>
        <v>10</v>
      </c>
      <c r="P2046" t="str">
        <f t="shared" si="64"/>
        <v>10K</v>
      </c>
    </row>
    <row r="2047" spans="1:16" x14ac:dyDescent="0.35">
      <c r="A2047">
        <v>2021</v>
      </c>
      <c r="B2047" s="6" t="s">
        <v>27</v>
      </c>
      <c r="J2047" s="13">
        <v>16119.24</v>
      </c>
      <c r="K2047" s="5">
        <f t="shared" si="63"/>
        <v>20</v>
      </c>
      <c r="P2047" t="str">
        <f t="shared" si="64"/>
        <v>20K</v>
      </c>
    </row>
    <row r="2048" spans="1:16" x14ac:dyDescent="0.35">
      <c r="A2048">
        <v>2000</v>
      </c>
      <c r="B2048" s="7" t="s">
        <v>20</v>
      </c>
      <c r="J2048" s="12">
        <v>72943.23</v>
      </c>
      <c r="K2048" s="5">
        <f t="shared" si="63"/>
        <v>70</v>
      </c>
      <c r="P2048" t="str">
        <f t="shared" si="64"/>
        <v>70K</v>
      </c>
    </row>
    <row r="2049" spans="1:16" x14ac:dyDescent="0.35">
      <c r="A2049">
        <v>2017</v>
      </c>
      <c r="B2049" s="6" t="s">
        <v>29</v>
      </c>
      <c r="J2049" s="13">
        <v>12104.41</v>
      </c>
      <c r="K2049" s="5">
        <f t="shared" si="63"/>
        <v>10</v>
      </c>
      <c r="P2049" t="str">
        <f t="shared" si="64"/>
        <v>10K</v>
      </c>
    </row>
    <row r="2050" spans="1:16" x14ac:dyDescent="0.35">
      <c r="A2050">
        <v>2005</v>
      </c>
      <c r="B2050" s="7" t="s">
        <v>25</v>
      </c>
      <c r="J2050" s="12">
        <v>92131.67</v>
      </c>
      <c r="K2050" s="5">
        <f t="shared" si="63"/>
        <v>90</v>
      </c>
      <c r="P2050" t="str">
        <f t="shared" si="64"/>
        <v>90K</v>
      </c>
    </row>
    <row r="2051" spans="1:16" x14ac:dyDescent="0.35">
      <c r="A2051">
        <v>2001</v>
      </c>
      <c r="B2051" s="6" t="s">
        <v>25</v>
      </c>
      <c r="J2051" s="13">
        <v>75446.31</v>
      </c>
      <c r="K2051" s="5">
        <f t="shared" ref="K2051:K2114" si="65">ROUND(J2051/10000,0)*10</f>
        <v>80</v>
      </c>
      <c r="P2051" t="str">
        <f t="shared" ref="P2051:P2114" si="66">TEXT(ROUND(J2051/10000,0)*10,"0") &amp; "K"</f>
        <v>80K</v>
      </c>
    </row>
    <row r="2052" spans="1:16" x14ac:dyDescent="0.35">
      <c r="A2052">
        <v>2014</v>
      </c>
      <c r="B2052" s="7" t="s">
        <v>27</v>
      </c>
      <c r="J2052" s="12">
        <v>36871.760000000002</v>
      </c>
      <c r="K2052" s="5">
        <f t="shared" si="65"/>
        <v>40</v>
      </c>
      <c r="P2052" t="str">
        <f t="shared" si="66"/>
        <v>40K</v>
      </c>
    </row>
    <row r="2053" spans="1:16" x14ac:dyDescent="0.35">
      <c r="A2053">
        <v>2020</v>
      </c>
      <c r="B2053" s="6" t="s">
        <v>10</v>
      </c>
      <c r="J2053" s="13">
        <v>39479.18</v>
      </c>
      <c r="K2053" s="5">
        <f t="shared" si="65"/>
        <v>40</v>
      </c>
      <c r="P2053" t="str">
        <f t="shared" si="66"/>
        <v>40K</v>
      </c>
    </row>
    <row r="2054" spans="1:16" x14ac:dyDescent="0.35">
      <c r="A2054">
        <v>2013</v>
      </c>
      <c r="B2054" s="7" t="s">
        <v>20</v>
      </c>
      <c r="J2054" s="12">
        <v>53117.13</v>
      </c>
      <c r="K2054" s="5">
        <f t="shared" si="65"/>
        <v>50</v>
      </c>
      <c r="P2054" t="str">
        <f t="shared" si="66"/>
        <v>50K</v>
      </c>
    </row>
    <row r="2055" spans="1:16" x14ac:dyDescent="0.35">
      <c r="A2055">
        <v>2004</v>
      </c>
      <c r="B2055" s="6" t="s">
        <v>25</v>
      </c>
      <c r="J2055" s="13">
        <v>39292.089999999997</v>
      </c>
      <c r="K2055" s="5">
        <f t="shared" si="65"/>
        <v>40</v>
      </c>
      <c r="P2055" t="str">
        <f t="shared" si="66"/>
        <v>40K</v>
      </c>
    </row>
    <row r="2056" spans="1:16" x14ac:dyDescent="0.35">
      <c r="A2056">
        <v>2005</v>
      </c>
      <c r="B2056" s="7" t="s">
        <v>29</v>
      </c>
      <c r="J2056" s="12">
        <v>79429.509999999995</v>
      </c>
      <c r="K2056" s="5">
        <f t="shared" si="65"/>
        <v>80</v>
      </c>
      <c r="P2056" t="str">
        <f t="shared" si="66"/>
        <v>80K</v>
      </c>
    </row>
    <row r="2057" spans="1:16" x14ac:dyDescent="0.35">
      <c r="A2057">
        <v>2005</v>
      </c>
      <c r="B2057" s="6" t="s">
        <v>23</v>
      </c>
      <c r="J2057" s="13">
        <v>97600.01</v>
      </c>
      <c r="K2057" s="5">
        <f t="shared" si="65"/>
        <v>100</v>
      </c>
      <c r="P2057" t="str">
        <f t="shared" si="66"/>
        <v>100K</v>
      </c>
    </row>
    <row r="2058" spans="1:16" x14ac:dyDescent="0.35">
      <c r="A2058">
        <v>2021</v>
      </c>
      <c r="B2058" s="7" t="s">
        <v>35</v>
      </c>
      <c r="J2058" s="12">
        <v>60529.54</v>
      </c>
      <c r="K2058" s="5">
        <f t="shared" si="65"/>
        <v>60</v>
      </c>
      <c r="P2058" t="str">
        <f t="shared" si="66"/>
        <v>60K</v>
      </c>
    </row>
    <row r="2059" spans="1:16" x14ac:dyDescent="0.35">
      <c r="A2059">
        <v>2017</v>
      </c>
      <c r="B2059" s="6" t="s">
        <v>35</v>
      </c>
      <c r="J2059" s="13">
        <v>47373.55</v>
      </c>
      <c r="K2059" s="5">
        <f t="shared" si="65"/>
        <v>50</v>
      </c>
      <c r="P2059" t="str">
        <f t="shared" si="66"/>
        <v>50K</v>
      </c>
    </row>
    <row r="2060" spans="1:16" x14ac:dyDescent="0.35">
      <c r="A2060">
        <v>2013</v>
      </c>
      <c r="B2060" s="7" t="s">
        <v>35</v>
      </c>
      <c r="J2060" s="12">
        <v>26163.54</v>
      </c>
      <c r="K2060" s="5">
        <f t="shared" si="65"/>
        <v>30</v>
      </c>
      <c r="P2060" t="str">
        <f t="shared" si="66"/>
        <v>30K</v>
      </c>
    </row>
    <row r="2061" spans="1:16" x14ac:dyDescent="0.35">
      <c r="A2061">
        <v>2009</v>
      </c>
      <c r="B2061" s="6" t="s">
        <v>10</v>
      </c>
      <c r="J2061" s="13">
        <v>67076.17</v>
      </c>
      <c r="K2061" s="5">
        <f t="shared" si="65"/>
        <v>70</v>
      </c>
      <c r="P2061" t="str">
        <f t="shared" si="66"/>
        <v>70K</v>
      </c>
    </row>
    <row r="2062" spans="1:16" x14ac:dyDescent="0.35">
      <c r="A2062">
        <v>2013</v>
      </c>
      <c r="B2062" s="7" t="s">
        <v>20</v>
      </c>
      <c r="J2062" s="12">
        <v>70129.8</v>
      </c>
      <c r="K2062" s="5">
        <f t="shared" si="65"/>
        <v>70</v>
      </c>
      <c r="P2062" t="str">
        <f t="shared" si="66"/>
        <v>70K</v>
      </c>
    </row>
    <row r="2063" spans="1:16" x14ac:dyDescent="0.35">
      <c r="A2063">
        <v>2012</v>
      </c>
      <c r="B2063" s="6" t="s">
        <v>27</v>
      </c>
      <c r="J2063" s="13">
        <v>70093.11</v>
      </c>
      <c r="K2063" s="5">
        <f t="shared" si="65"/>
        <v>70</v>
      </c>
      <c r="P2063" t="str">
        <f t="shared" si="66"/>
        <v>70K</v>
      </c>
    </row>
    <row r="2064" spans="1:16" x14ac:dyDescent="0.35">
      <c r="A2064">
        <v>2002</v>
      </c>
      <c r="B2064" s="7" t="s">
        <v>25</v>
      </c>
      <c r="J2064" s="12">
        <v>7563.58</v>
      </c>
      <c r="K2064" s="5">
        <f t="shared" si="65"/>
        <v>10</v>
      </c>
      <c r="P2064" t="str">
        <f t="shared" si="66"/>
        <v>10K</v>
      </c>
    </row>
    <row r="2065" spans="1:16" x14ac:dyDescent="0.35">
      <c r="A2065">
        <v>2005</v>
      </c>
      <c r="B2065" s="6" t="s">
        <v>23</v>
      </c>
      <c r="J2065" s="13">
        <v>90416.6</v>
      </c>
      <c r="K2065" s="5">
        <f t="shared" si="65"/>
        <v>90</v>
      </c>
      <c r="P2065" t="str">
        <f t="shared" si="66"/>
        <v>90K</v>
      </c>
    </row>
    <row r="2066" spans="1:16" x14ac:dyDescent="0.35">
      <c r="A2066">
        <v>2007</v>
      </c>
      <c r="B2066" s="7" t="s">
        <v>29</v>
      </c>
      <c r="J2066" s="12">
        <v>37120.120000000003</v>
      </c>
      <c r="K2066" s="5">
        <f t="shared" si="65"/>
        <v>40</v>
      </c>
      <c r="P2066" t="str">
        <f t="shared" si="66"/>
        <v>40K</v>
      </c>
    </row>
    <row r="2067" spans="1:16" x14ac:dyDescent="0.35">
      <c r="A2067">
        <v>2011</v>
      </c>
      <c r="B2067" s="6" t="s">
        <v>23</v>
      </c>
      <c r="J2067" s="13">
        <v>75695.75</v>
      </c>
      <c r="K2067" s="5">
        <f t="shared" si="65"/>
        <v>80</v>
      </c>
      <c r="P2067" t="str">
        <f t="shared" si="66"/>
        <v>80K</v>
      </c>
    </row>
    <row r="2068" spans="1:16" x14ac:dyDescent="0.35">
      <c r="A2068">
        <v>2012</v>
      </c>
      <c r="B2068" s="7" t="s">
        <v>29</v>
      </c>
      <c r="J2068" s="12">
        <v>77181.66</v>
      </c>
      <c r="K2068" s="5">
        <f t="shared" si="65"/>
        <v>80</v>
      </c>
      <c r="P2068" t="str">
        <f t="shared" si="66"/>
        <v>80K</v>
      </c>
    </row>
    <row r="2069" spans="1:16" x14ac:dyDescent="0.35">
      <c r="A2069">
        <v>2010</v>
      </c>
      <c r="B2069" s="6" t="s">
        <v>10</v>
      </c>
      <c r="J2069" s="13">
        <v>66802.720000000001</v>
      </c>
      <c r="K2069" s="5">
        <f t="shared" si="65"/>
        <v>70</v>
      </c>
      <c r="P2069" t="str">
        <f t="shared" si="66"/>
        <v>70K</v>
      </c>
    </row>
    <row r="2070" spans="1:16" x14ac:dyDescent="0.35">
      <c r="A2070">
        <v>2011</v>
      </c>
      <c r="B2070" s="7" t="s">
        <v>20</v>
      </c>
      <c r="J2070" s="12">
        <v>42512.32</v>
      </c>
      <c r="K2070" s="5">
        <f t="shared" si="65"/>
        <v>40</v>
      </c>
      <c r="P2070" t="str">
        <f t="shared" si="66"/>
        <v>40K</v>
      </c>
    </row>
    <row r="2071" spans="1:16" x14ac:dyDescent="0.35">
      <c r="A2071">
        <v>2000</v>
      </c>
      <c r="B2071" s="6" t="s">
        <v>35</v>
      </c>
      <c r="J2071" s="13">
        <v>62796.5</v>
      </c>
      <c r="K2071" s="5">
        <f t="shared" si="65"/>
        <v>60</v>
      </c>
      <c r="P2071" t="str">
        <f t="shared" si="66"/>
        <v>60K</v>
      </c>
    </row>
    <row r="2072" spans="1:16" x14ac:dyDescent="0.35">
      <c r="A2072">
        <v>2016</v>
      </c>
      <c r="B2072" s="7" t="s">
        <v>20</v>
      </c>
      <c r="J2072" s="12">
        <v>8818.8799999999992</v>
      </c>
      <c r="K2072" s="5">
        <f t="shared" si="65"/>
        <v>10</v>
      </c>
      <c r="P2072" t="str">
        <f t="shared" si="66"/>
        <v>10K</v>
      </c>
    </row>
    <row r="2073" spans="1:16" x14ac:dyDescent="0.35">
      <c r="A2073">
        <v>2015</v>
      </c>
      <c r="B2073" s="6" t="s">
        <v>10</v>
      </c>
      <c r="J2073" s="13">
        <v>77380.100000000006</v>
      </c>
      <c r="K2073" s="5">
        <f t="shared" si="65"/>
        <v>80</v>
      </c>
      <c r="P2073" t="str">
        <f t="shared" si="66"/>
        <v>80K</v>
      </c>
    </row>
    <row r="2074" spans="1:16" x14ac:dyDescent="0.35">
      <c r="A2074">
        <v>2010</v>
      </c>
      <c r="B2074" s="7" t="s">
        <v>27</v>
      </c>
      <c r="J2074" s="12">
        <v>14460.92</v>
      </c>
      <c r="K2074" s="5">
        <f t="shared" si="65"/>
        <v>10</v>
      </c>
      <c r="P2074" t="str">
        <f t="shared" si="66"/>
        <v>10K</v>
      </c>
    </row>
    <row r="2075" spans="1:16" x14ac:dyDescent="0.35">
      <c r="A2075">
        <v>2012</v>
      </c>
      <c r="B2075" s="6" t="s">
        <v>27</v>
      </c>
      <c r="J2075" s="13">
        <v>42691.34</v>
      </c>
      <c r="K2075" s="5">
        <f t="shared" si="65"/>
        <v>40</v>
      </c>
      <c r="P2075" t="str">
        <f t="shared" si="66"/>
        <v>40K</v>
      </c>
    </row>
    <row r="2076" spans="1:16" x14ac:dyDescent="0.35">
      <c r="A2076">
        <v>2017</v>
      </c>
      <c r="B2076" s="7" t="s">
        <v>10</v>
      </c>
      <c r="J2076" s="12">
        <v>14843.78</v>
      </c>
      <c r="K2076" s="5">
        <f t="shared" si="65"/>
        <v>10</v>
      </c>
      <c r="P2076" t="str">
        <f t="shared" si="66"/>
        <v>10K</v>
      </c>
    </row>
    <row r="2077" spans="1:16" x14ac:dyDescent="0.35">
      <c r="A2077">
        <v>2010</v>
      </c>
      <c r="B2077" s="6" t="s">
        <v>29</v>
      </c>
      <c r="J2077" s="13">
        <v>84522.07</v>
      </c>
      <c r="K2077" s="5">
        <f t="shared" si="65"/>
        <v>80</v>
      </c>
      <c r="P2077" t="str">
        <f t="shared" si="66"/>
        <v>80K</v>
      </c>
    </row>
    <row r="2078" spans="1:16" x14ac:dyDescent="0.35">
      <c r="A2078">
        <v>2011</v>
      </c>
      <c r="B2078" s="7" t="s">
        <v>25</v>
      </c>
      <c r="J2078" s="12">
        <v>57278.73</v>
      </c>
      <c r="K2078" s="5">
        <f t="shared" si="65"/>
        <v>60</v>
      </c>
      <c r="P2078" t="str">
        <f t="shared" si="66"/>
        <v>60K</v>
      </c>
    </row>
    <row r="2079" spans="1:16" x14ac:dyDescent="0.35">
      <c r="A2079">
        <v>2005</v>
      </c>
      <c r="B2079" s="6" t="s">
        <v>25</v>
      </c>
      <c r="J2079" s="13">
        <v>70640.740000000005</v>
      </c>
      <c r="K2079" s="5">
        <f t="shared" si="65"/>
        <v>70</v>
      </c>
      <c r="P2079" t="str">
        <f t="shared" si="66"/>
        <v>70K</v>
      </c>
    </row>
    <row r="2080" spans="1:16" x14ac:dyDescent="0.35">
      <c r="A2080">
        <v>2008</v>
      </c>
      <c r="B2080" s="7" t="s">
        <v>29</v>
      </c>
      <c r="J2080" s="12">
        <v>69845.31</v>
      </c>
      <c r="K2080" s="5">
        <f t="shared" si="65"/>
        <v>70</v>
      </c>
      <c r="P2080" t="str">
        <f t="shared" si="66"/>
        <v>70K</v>
      </c>
    </row>
    <row r="2081" spans="1:16" x14ac:dyDescent="0.35">
      <c r="A2081">
        <v>2015</v>
      </c>
      <c r="B2081" s="6" t="s">
        <v>27</v>
      </c>
      <c r="J2081" s="13">
        <v>84952.59</v>
      </c>
      <c r="K2081" s="5">
        <f t="shared" si="65"/>
        <v>80</v>
      </c>
      <c r="P2081" t="str">
        <f t="shared" si="66"/>
        <v>80K</v>
      </c>
    </row>
    <row r="2082" spans="1:16" x14ac:dyDescent="0.35">
      <c r="A2082">
        <v>2003</v>
      </c>
      <c r="B2082" s="7" t="s">
        <v>27</v>
      </c>
      <c r="J2082" s="12">
        <v>17594.09</v>
      </c>
      <c r="K2082" s="5">
        <f t="shared" si="65"/>
        <v>20</v>
      </c>
      <c r="P2082" t="str">
        <f t="shared" si="66"/>
        <v>20K</v>
      </c>
    </row>
    <row r="2083" spans="1:16" x14ac:dyDescent="0.35">
      <c r="A2083">
        <v>2002</v>
      </c>
      <c r="B2083" s="6" t="s">
        <v>27</v>
      </c>
      <c r="J2083" s="13">
        <v>67674.17</v>
      </c>
      <c r="K2083" s="5">
        <f t="shared" si="65"/>
        <v>70</v>
      </c>
      <c r="P2083" t="str">
        <f t="shared" si="66"/>
        <v>70K</v>
      </c>
    </row>
    <row r="2084" spans="1:16" x14ac:dyDescent="0.35">
      <c r="A2084">
        <v>2015</v>
      </c>
      <c r="B2084" s="7" t="s">
        <v>20</v>
      </c>
      <c r="J2084" s="12">
        <v>59637.74</v>
      </c>
      <c r="K2084" s="5">
        <f t="shared" si="65"/>
        <v>60</v>
      </c>
      <c r="P2084" t="str">
        <f t="shared" si="66"/>
        <v>60K</v>
      </c>
    </row>
    <row r="2085" spans="1:16" x14ac:dyDescent="0.35">
      <c r="A2085">
        <v>2023</v>
      </c>
      <c r="B2085" s="6" t="s">
        <v>27</v>
      </c>
      <c r="J2085" s="13">
        <v>7935.23</v>
      </c>
      <c r="K2085" s="5">
        <f t="shared" si="65"/>
        <v>10</v>
      </c>
      <c r="P2085" t="str">
        <f t="shared" si="66"/>
        <v>10K</v>
      </c>
    </row>
    <row r="2086" spans="1:16" x14ac:dyDescent="0.35">
      <c r="A2086">
        <v>2011</v>
      </c>
      <c r="B2086" s="7" t="s">
        <v>23</v>
      </c>
      <c r="J2086" s="12">
        <v>24135.18</v>
      </c>
      <c r="K2086" s="5">
        <f t="shared" si="65"/>
        <v>20</v>
      </c>
      <c r="P2086" t="str">
        <f t="shared" si="66"/>
        <v>20K</v>
      </c>
    </row>
    <row r="2087" spans="1:16" x14ac:dyDescent="0.35">
      <c r="A2087">
        <v>2010</v>
      </c>
      <c r="B2087" s="6" t="s">
        <v>35</v>
      </c>
      <c r="J2087" s="13">
        <v>30419.3</v>
      </c>
      <c r="K2087" s="5">
        <f t="shared" si="65"/>
        <v>30</v>
      </c>
      <c r="P2087" t="str">
        <f t="shared" si="66"/>
        <v>30K</v>
      </c>
    </row>
    <row r="2088" spans="1:16" x14ac:dyDescent="0.35">
      <c r="A2088">
        <v>2004</v>
      </c>
      <c r="B2088" s="7" t="s">
        <v>27</v>
      </c>
      <c r="J2088" s="12">
        <v>11892.86</v>
      </c>
      <c r="K2088" s="5">
        <f t="shared" si="65"/>
        <v>10</v>
      </c>
      <c r="P2088" t="str">
        <f t="shared" si="66"/>
        <v>10K</v>
      </c>
    </row>
    <row r="2089" spans="1:16" x14ac:dyDescent="0.35">
      <c r="A2089">
        <v>2017</v>
      </c>
      <c r="B2089" s="6" t="s">
        <v>29</v>
      </c>
      <c r="J2089" s="13">
        <v>38698.379999999997</v>
      </c>
      <c r="K2089" s="5">
        <f t="shared" si="65"/>
        <v>40</v>
      </c>
      <c r="P2089" t="str">
        <f t="shared" si="66"/>
        <v>40K</v>
      </c>
    </row>
    <row r="2090" spans="1:16" x14ac:dyDescent="0.35">
      <c r="A2090">
        <v>2018</v>
      </c>
      <c r="B2090" s="7" t="s">
        <v>35</v>
      </c>
      <c r="J2090" s="12">
        <v>7584.24</v>
      </c>
      <c r="K2090" s="5">
        <f t="shared" si="65"/>
        <v>10</v>
      </c>
      <c r="P2090" t="str">
        <f t="shared" si="66"/>
        <v>10K</v>
      </c>
    </row>
    <row r="2091" spans="1:16" x14ac:dyDescent="0.35">
      <c r="A2091">
        <v>2022</v>
      </c>
      <c r="B2091" s="6" t="s">
        <v>20</v>
      </c>
      <c r="J2091" s="13">
        <v>57552.43</v>
      </c>
      <c r="K2091" s="5">
        <f t="shared" si="65"/>
        <v>60</v>
      </c>
      <c r="P2091" t="str">
        <f t="shared" si="66"/>
        <v>60K</v>
      </c>
    </row>
    <row r="2092" spans="1:16" x14ac:dyDescent="0.35">
      <c r="A2092">
        <v>2022</v>
      </c>
      <c r="B2092" s="7" t="s">
        <v>29</v>
      </c>
      <c r="J2092" s="12">
        <v>25092.59</v>
      </c>
      <c r="K2092" s="5">
        <f t="shared" si="65"/>
        <v>30</v>
      </c>
      <c r="P2092" t="str">
        <f t="shared" si="66"/>
        <v>30K</v>
      </c>
    </row>
    <row r="2093" spans="1:16" x14ac:dyDescent="0.35">
      <c r="A2093">
        <v>2005</v>
      </c>
      <c r="B2093" s="6" t="s">
        <v>35</v>
      </c>
      <c r="J2093" s="13">
        <v>32265.3</v>
      </c>
      <c r="K2093" s="5">
        <f t="shared" si="65"/>
        <v>30</v>
      </c>
      <c r="P2093" t="str">
        <f t="shared" si="66"/>
        <v>30K</v>
      </c>
    </row>
    <row r="2094" spans="1:16" x14ac:dyDescent="0.35">
      <c r="A2094">
        <v>2021</v>
      </c>
      <c r="B2094" s="7" t="s">
        <v>29</v>
      </c>
      <c r="J2094" s="12">
        <v>91494.8</v>
      </c>
      <c r="K2094" s="5">
        <f t="shared" si="65"/>
        <v>90</v>
      </c>
      <c r="P2094" t="str">
        <f t="shared" si="66"/>
        <v>90K</v>
      </c>
    </row>
    <row r="2095" spans="1:16" x14ac:dyDescent="0.35">
      <c r="A2095">
        <v>2017</v>
      </c>
      <c r="B2095" s="6" t="s">
        <v>20</v>
      </c>
      <c r="J2095" s="13">
        <v>52767.6</v>
      </c>
      <c r="K2095" s="5">
        <f t="shared" si="65"/>
        <v>50</v>
      </c>
      <c r="P2095" t="str">
        <f t="shared" si="66"/>
        <v>50K</v>
      </c>
    </row>
    <row r="2096" spans="1:16" x14ac:dyDescent="0.35">
      <c r="A2096">
        <v>2005</v>
      </c>
      <c r="B2096" s="7" t="s">
        <v>23</v>
      </c>
      <c r="J2096" s="12">
        <v>30556.32</v>
      </c>
      <c r="K2096" s="5">
        <f t="shared" si="65"/>
        <v>30</v>
      </c>
      <c r="P2096" t="str">
        <f t="shared" si="66"/>
        <v>30K</v>
      </c>
    </row>
    <row r="2097" spans="1:16" x14ac:dyDescent="0.35">
      <c r="A2097">
        <v>2003</v>
      </c>
      <c r="B2097" s="6" t="s">
        <v>20</v>
      </c>
      <c r="J2097" s="13">
        <v>61853.87</v>
      </c>
      <c r="K2097" s="5">
        <f t="shared" si="65"/>
        <v>60</v>
      </c>
      <c r="P2097" t="str">
        <f t="shared" si="66"/>
        <v>60K</v>
      </c>
    </row>
    <row r="2098" spans="1:16" x14ac:dyDescent="0.35">
      <c r="A2098">
        <v>2011</v>
      </c>
      <c r="B2098" s="7" t="s">
        <v>20</v>
      </c>
      <c r="J2098" s="12">
        <v>24158.79</v>
      </c>
      <c r="K2098" s="5">
        <f t="shared" si="65"/>
        <v>20</v>
      </c>
      <c r="P2098" t="str">
        <f t="shared" si="66"/>
        <v>20K</v>
      </c>
    </row>
    <row r="2099" spans="1:16" x14ac:dyDescent="0.35">
      <c r="A2099">
        <v>2018</v>
      </c>
      <c r="B2099" s="6" t="s">
        <v>29</v>
      </c>
      <c r="J2099" s="13">
        <v>12067.59</v>
      </c>
      <c r="K2099" s="5">
        <f t="shared" si="65"/>
        <v>10</v>
      </c>
      <c r="P2099" t="str">
        <f t="shared" si="66"/>
        <v>10K</v>
      </c>
    </row>
    <row r="2100" spans="1:16" x14ac:dyDescent="0.35">
      <c r="A2100">
        <v>2001</v>
      </c>
      <c r="B2100" s="7" t="s">
        <v>10</v>
      </c>
      <c r="J2100" s="12">
        <v>6986.1</v>
      </c>
      <c r="K2100" s="5">
        <f t="shared" si="65"/>
        <v>10</v>
      </c>
      <c r="P2100" t="str">
        <f t="shared" si="66"/>
        <v>10K</v>
      </c>
    </row>
    <row r="2101" spans="1:16" x14ac:dyDescent="0.35">
      <c r="A2101">
        <v>2016</v>
      </c>
      <c r="B2101" s="6" t="s">
        <v>25</v>
      </c>
      <c r="J2101" s="13">
        <v>95395.26</v>
      </c>
      <c r="K2101" s="5">
        <f t="shared" si="65"/>
        <v>100</v>
      </c>
      <c r="P2101" t="str">
        <f t="shared" si="66"/>
        <v>100K</v>
      </c>
    </row>
    <row r="2102" spans="1:16" x14ac:dyDescent="0.35">
      <c r="A2102">
        <v>2010</v>
      </c>
      <c r="B2102" s="7" t="s">
        <v>27</v>
      </c>
      <c r="J2102" s="12">
        <v>73838.03</v>
      </c>
      <c r="K2102" s="5">
        <f t="shared" si="65"/>
        <v>70</v>
      </c>
      <c r="P2102" t="str">
        <f t="shared" si="66"/>
        <v>70K</v>
      </c>
    </row>
    <row r="2103" spans="1:16" x14ac:dyDescent="0.35">
      <c r="A2103">
        <v>2010</v>
      </c>
      <c r="B2103" s="6" t="s">
        <v>27</v>
      </c>
      <c r="J2103" s="13">
        <v>80995.070000000007</v>
      </c>
      <c r="K2103" s="5">
        <f t="shared" si="65"/>
        <v>80</v>
      </c>
      <c r="P2103" t="str">
        <f t="shared" si="66"/>
        <v>80K</v>
      </c>
    </row>
    <row r="2104" spans="1:16" x14ac:dyDescent="0.35">
      <c r="A2104">
        <v>2020</v>
      </c>
      <c r="B2104" s="7" t="s">
        <v>23</v>
      </c>
      <c r="J2104" s="12">
        <v>98187.18</v>
      </c>
      <c r="K2104" s="5">
        <f t="shared" si="65"/>
        <v>100</v>
      </c>
      <c r="P2104" t="str">
        <f t="shared" si="66"/>
        <v>100K</v>
      </c>
    </row>
    <row r="2105" spans="1:16" x14ac:dyDescent="0.35">
      <c r="A2105">
        <v>2015</v>
      </c>
      <c r="B2105" s="6" t="s">
        <v>23</v>
      </c>
      <c r="J2105" s="13">
        <v>93504.73</v>
      </c>
      <c r="K2105" s="5">
        <f t="shared" si="65"/>
        <v>90</v>
      </c>
      <c r="P2105" t="str">
        <f t="shared" si="66"/>
        <v>90K</v>
      </c>
    </row>
    <row r="2106" spans="1:16" x14ac:dyDescent="0.35">
      <c r="A2106">
        <v>2001</v>
      </c>
      <c r="B2106" s="7" t="s">
        <v>27</v>
      </c>
      <c r="J2106" s="12">
        <v>75006.75</v>
      </c>
      <c r="K2106" s="5">
        <f t="shared" si="65"/>
        <v>80</v>
      </c>
      <c r="P2106" t="str">
        <f t="shared" si="66"/>
        <v>80K</v>
      </c>
    </row>
    <row r="2107" spans="1:16" x14ac:dyDescent="0.35">
      <c r="A2107">
        <v>2001</v>
      </c>
      <c r="B2107" s="6" t="s">
        <v>25</v>
      </c>
      <c r="J2107" s="13">
        <v>70928.77</v>
      </c>
      <c r="K2107" s="5">
        <f t="shared" si="65"/>
        <v>70</v>
      </c>
      <c r="P2107" t="str">
        <f t="shared" si="66"/>
        <v>70K</v>
      </c>
    </row>
    <row r="2108" spans="1:16" x14ac:dyDescent="0.35">
      <c r="A2108">
        <v>2022</v>
      </c>
      <c r="B2108" s="7" t="s">
        <v>27</v>
      </c>
      <c r="J2108" s="12">
        <v>37000.75</v>
      </c>
      <c r="K2108" s="5">
        <f t="shared" si="65"/>
        <v>40</v>
      </c>
      <c r="P2108" t="str">
        <f t="shared" si="66"/>
        <v>40K</v>
      </c>
    </row>
    <row r="2109" spans="1:16" x14ac:dyDescent="0.35">
      <c r="A2109">
        <v>2007</v>
      </c>
      <c r="B2109" s="6" t="s">
        <v>10</v>
      </c>
      <c r="J2109" s="13">
        <v>14881.64</v>
      </c>
      <c r="K2109" s="5">
        <f t="shared" si="65"/>
        <v>10</v>
      </c>
      <c r="P2109" t="str">
        <f t="shared" si="66"/>
        <v>10K</v>
      </c>
    </row>
    <row r="2110" spans="1:16" x14ac:dyDescent="0.35">
      <c r="A2110">
        <v>2012</v>
      </c>
      <c r="B2110" s="7" t="s">
        <v>25</v>
      </c>
      <c r="J2110" s="12">
        <v>59503.64</v>
      </c>
      <c r="K2110" s="5">
        <f t="shared" si="65"/>
        <v>60</v>
      </c>
      <c r="P2110" t="str">
        <f t="shared" si="66"/>
        <v>60K</v>
      </c>
    </row>
    <row r="2111" spans="1:16" x14ac:dyDescent="0.35">
      <c r="A2111">
        <v>2009</v>
      </c>
      <c r="B2111" s="6" t="s">
        <v>23</v>
      </c>
      <c r="J2111" s="13">
        <v>59744.06</v>
      </c>
      <c r="K2111" s="5">
        <f t="shared" si="65"/>
        <v>60</v>
      </c>
      <c r="P2111" t="str">
        <f t="shared" si="66"/>
        <v>60K</v>
      </c>
    </row>
    <row r="2112" spans="1:16" x14ac:dyDescent="0.35">
      <c r="A2112">
        <v>2007</v>
      </c>
      <c r="B2112" s="7" t="s">
        <v>35</v>
      </c>
      <c r="J2112" s="12">
        <v>95462.54</v>
      </c>
      <c r="K2112" s="5">
        <f t="shared" si="65"/>
        <v>100</v>
      </c>
      <c r="P2112" t="str">
        <f t="shared" si="66"/>
        <v>100K</v>
      </c>
    </row>
    <row r="2113" spans="1:16" x14ac:dyDescent="0.35">
      <c r="A2113">
        <v>2003</v>
      </c>
      <c r="B2113" s="6" t="s">
        <v>29</v>
      </c>
      <c r="J2113" s="13">
        <v>47044.23</v>
      </c>
      <c r="K2113" s="5">
        <f t="shared" si="65"/>
        <v>50</v>
      </c>
      <c r="P2113" t="str">
        <f t="shared" si="66"/>
        <v>50K</v>
      </c>
    </row>
    <row r="2114" spans="1:16" x14ac:dyDescent="0.35">
      <c r="A2114">
        <v>2014</v>
      </c>
      <c r="B2114" s="7" t="s">
        <v>10</v>
      </c>
      <c r="J2114" s="12">
        <v>70626.720000000001</v>
      </c>
      <c r="K2114" s="5">
        <f t="shared" si="65"/>
        <v>70</v>
      </c>
      <c r="P2114" t="str">
        <f t="shared" si="66"/>
        <v>70K</v>
      </c>
    </row>
    <row r="2115" spans="1:16" x14ac:dyDescent="0.35">
      <c r="A2115">
        <v>2000</v>
      </c>
      <c r="B2115" s="6" t="s">
        <v>10</v>
      </c>
      <c r="J2115" s="13">
        <v>59622.21</v>
      </c>
      <c r="K2115" s="5">
        <f t="shared" ref="K2115:K2178" si="67">ROUND(J2115/10000,0)*10</f>
        <v>60</v>
      </c>
      <c r="P2115" t="str">
        <f t="shared" ref="P2115:P2178" si="68">TEXT(ROUND(J2115/10000,0)*10,"0") &amp; "K"</f>
        <v>60K</v>
      </c>
    </row>
    <row r="2116" spans="1:16" x14ac:dyDescent="0.35">
      <c r="A2116">
        <v>2010</v>
      </c>
      <c r="B2116" s="7" t="s">
        <v>23</v>
      </c>
      <c r="J2116" s="12">
        <v>21792.22</v>
      </c>
      <c r="K2116" s="5">
        <f t="shared" si="67"/>
        <v>20</v>
      </c>
      <c r="P2116" t="str">
        <f t="shared" si="68"/>
        <v>20K</v>
      </c>
    </row>
    <row r="2117" spans="1:16" x14ac:dyDescent="0.35">
      <c r="A2117">
        <v>2006</v>
      </c>
      <c r="B2117" s="6" t="s">
        <v>23</v>
      </c>
      <c r="J2117" s="13">
        <v>61246.11</v>
      </c>
      <c r="K2117" s="5">
        <f t="shared" si="67"/>
        <v>60</v>
      </c>
      <c r="P2117" t="str">
        <f t="shared" si="68"/>
        <v>60K</v>
      </c>
    </row>
    <row r="2118" spans="1:16" x14ac:dyDescent="0.35">
      <c r="A2118">
        <v>2016</v>
      </c>
      <c r="B2118" s="7" t="s">
        <v>20</v>
      </c>
      <c r="J2118" s="12">
        <v>56311.09</v>
      </c>
      <c r="K2118" s="5">
        <f t="shared" si="67"/>
        <v>60</v>
      </c>
      <c r="P2118" t="str">
        <f t="shared" si="68"/>
        <v>60K</v>
      </c>
    </row>
    <row r="2119" spans="1:16" x14ac:dyDescent="0.35">
      <c r="A2119">
        <v>2019</v>
      </c>
      <c r="B2119" s="6" t="s">
        <v>10</v>
      </c>
      <c r="J2119" s="13">
        <v>51921.07</v>
      </c>
      <c r="K2119" s="5">
        <f t="shared" si="67"/>
        <v>50</v>
      </c>
      <c r="P2119" t="str">
        <f t="shared" si="68"/>
        <v>50K</v>
      </c>
    </row>
    <row r="2120" spans="1:16" x14ac:dyDescent="0.35">
      <c r="A2120">
        <v>2023</v>
      </c>
      <c r="B2120" s="7" t="s">
        <v>20</v>
      </c>
      <c r="J2120" s="12">
        <v>53775.18</v>
      </c>
      <c r="K2120" s="5">
        <f t="shared" si="67"/>
        <v>50</v>
      </c>
      <c r="P2120" t="str">
        <f t="shared" si="68"/>
        <v>50K</v>
      </c>
    </row>
    <row r="2121" spans="1:16" x14ac:dyDescent="0.35">
      <c r="A2121">
        <v>2017</v>
      </c>
      <c r="B2121" s="6" t="s">
        <v>20</v>
      </c>
      <c r="J2121" s="13">
        <v>20578.86</v>
      </c>
      <c r="K2121" s="5">
        <f t="shared" si="67"/>
        <v>20</v>
      </c>
      <c r="P2121" t="str">
        <f t="shared" si="68"/>
        <v>20K</v>
      </c>
    </row>
    <row r="2122" spans="1:16" x14ac:dyDescent="0.35">
      <c r="A2122">
        <v>2021</v>
      </c>
      <c r="B2122" s="7" t="s">
        <v>29</v>
      </c>
      <c r="J2122" s="12">
        <v>49030.38</v>
      </c>
      <c r="K2122" s="5">
        <f t="shared" si="67"/>
        <v>50</v>
      </c>
      <c r="P2122" t="str">
        <f t="shared" si="68"/>
        <v>50K</v>
      </c>
    </row>
    <row r="2123" spans="1:16" x14ac:dyDescent="0.35">
      <c r="A2123">
        <v>2021</v>
      </c>
      <c r="B2123" s="6" t="s">
        <v>20</v>
      </c>
      <c r="J2123" s="13">
        <v>62537.06</v>
      </c>
      <c r="K2123" s="5">
        <f t="shared" si="67"/>
        <v>60</v>
      </c>
      <c r="P2123" t="str">
        <f t="shared" si="68"/>
        <v>60K</v>
      </c>
    </row>
    <row r="2124" spans="1:16" x14ac:dyDescent="0.35">
      <c r="A2124">
        <v>2011</v>
      </c>
      <c r="B2124" s="7" t="s">
        <v>25</v>
      </c>
      <c r="J2124" s="12">
        <v>51497.67</v>
      </c>
      <c r="K2124" s="5">
        <f t="shared" si="67"/>
        <v>50</v>
      </c>
      <c r="P2124" t="str">
        <f t="shared" si="68"/>
        <v>50K</v>
      </c>
    </row>
    <row r="2125" spans="1:16" x14ac:dyDescent="0.35">
      <c r="A2125">
        <v>2008</v>
      </c>
      <c r="B2125" s="6" t="s">
        <v>27</v>
      </c>
      <c r="J2125" s="13">
        <v>51425.19</v>
      </c>
      <c r="K2125" s="5">
        <f t="shared" si="67"/>
        <v>50</v>
      </c>
      <c r="P2125" t="str">
        <f t="shared" si="68"/>
        <v>50K</v>
      </c>
    </row>
    <row r="2126" spans="1:16" x14ac:dyDescent="0.35">
      <c r="A2126">
        <v>2004</v>
      </c>
      <c r="B2126" s="7" t="s">
        <v>35</v>
      </c>
      <c r="J2126" s="12">
        <v>12364.18</v>
      </c>
      <c r="K2126" s="5">
        <f t="shared" si="67"/>
        <v>10</v>
      </c>
      <c r="P2126" t="str">
        <f t="shared" si="68"/>
        <v>10K</v>
      </c>
    </row>
    <row r="2127" spans="1:16" x14ac:dyDescent="0.35">
      <c r="A2127">
        <v>2009</v>
      </c>
      <c r="B2127" s="6" t="s">
        <v>23</v>
      </c>
      <c r="J2127" s="13">
        <v>23123.54</v>
      </c>
      <c r="K2127" s="5">
        <f t="shared" si="67"/>
        <v>20</v>
      </c>
      <c r="P2127" t="str">
        <f t="shared" si="68"/>
        <v>20K</v>
      </c>
    </row>
    <row r="2128" spans="1:16" x14ac:dyDescent="0.35">
      <c r="A2128">
        <v>2003</v>
      </c>
      <c r="B2128" s="7" t="s">
        <v>25</v>
      </c>
      <c r="J2128" s="12">
        <v>35492.410000000003</v>
      </c>
      <c r="K2128" s="5">
        <f t="shared" si="67"/>
        <v>40</v>
      </c>
      <c r="P2128" t="str">
        <f t="shared" si="68"/>
        <v>40K</v>
      </c>
    </row>
    <row r="2129" spans="1:16" x14ac:dyDescent="0.35">
      <c r="A2129">
        <v>2004</v>
      </c>
      <c r="B2129" s="6" t="s">
        <v>35</v>
      </c>
      <c r="J2129" s="13">
        <v>44837.96</v>
      </c>
      <c r="K2129" s="5">
        <f t="shared" si="67"/>
        <v>40</v>
      </c>
      <c r="P2129" t="str">
        <f t="shared" si="68"/>
        <v>40K</v>
      </c>
    </row>
    <row r="2130" spans="1:16" x14ac:dyDescent="0.35">
      <c r="A2130">
        <v>2009</v>
      </c>
      <c r="B2130" s="7" t="s">
        <v>10</v>
      </c>
      <c r="J2130" s="12">
        <v>61424.06</v>
      </c>
      <c r="K2130" s="5">
        <f t="shared" si="67"/>
        <v>60</v>
      </c>
      <c r="P2130" t="str">
        <f t="shared" si="68"/>
        <v>60K</v>
      </c>
    </row>
    <row r="2131" spans="1:16" x14ac:dyDescent="0.35">
      <c r="A2131">
        <v>2010</v>
      </c>
      <c r="B2131" s="6" t="s">
        <v>10</v>
      </c>
      <c r="J2131" s="13">
        <v>87017.78</v>
      </c>
      <c r="K2131" s="5">
        <f t="shared" si="67"/>
        <v>90</v>
      </c>
      <c r="P2131" t="str">
        <f t="shared" si="68"/>
        <v>90K</v>
      </c>
    </row>
    <row r="2132" spans="1:16" x14ac:dyDescent="0.35">
      <c r="A2132">
        <v>2020</v>
      </c>
      <c r="B2132" s="7" t="s">
        <v>10</v>
      </c>
      <c r="J2132" s="12">
        <v>20120.650000000001</v>
      </c>
      <c r="K2132" s="5">
        <f t="shared" si="67"/>
        <v>20</v>
      </c>
      <c r="P2132" t="str">
        <f t="shared" si="68"/>
        <v>20K</v>
      </c>
    </row>
    <row r="2133" spans="1:16" x14ac:dyDescent="0.35">
      <c r="A2133">
        <v>2023</v>
      </c>
      <c r="B2133" s="6" t="s">
        <v>25</v>
      </c>
      <c r="J2133" s="13">
        <v>6433.36</v>
      </c>
      <c r="K2133" s="5">
        <f t="shared" si="67"/>
        <v>10</v>
      </c>
      <c r="P2133" t="str">
        <f t="shared" si="68"/>
        <v>10K</v>
      </c>
    </row>
    <row r="2134" spans="1:16" x14ac:dyDescent="0.35">
      <c r="A2134">
        <v>2009</v>
      </c>
      <c r="B2134" s="7" t="s">
        <v>25</v>
      </c>
      <c r="J2134" s="12">
        <v>47677.53</v>
      </c>
      <c r="K2134" s="5">
        <f t="shared" si="67"/>
        <v>50</v>
      </c>
      <c r="P2134" t="str">
        <f t="shared" si="68"/>
        <v>50K</v>
      </c>
    </row>
    <row r="2135" spans="1:16" x14ac:dyDescent="0.35">
      <c r="A2135">
        <v>2007</v>
      </c>
      <c r="B2135" s="6" t="s">
        <v>23</v>
      </c>
      <c r="J2135" s="13">
        <v>46049.78</v>
      </c>
      <c r="K2135" s="5">
        <f t="shared" si="67"/>
        <v>50</v>
      </c>
      <c r="P2135" t="str">
        <f t="shared" si="68"/>
        <v>50K</v>
      </c>
    </row>
    <row r="2136" spans="1:16" x14ac:dyDescent="0.35">
      <c r="A2136">
        <v>2001</v>
      </c>
      <c r="B2136" s="7" t="s">
        <v>27</v>
      </c>
      <c r="J2136" s="12">
        <v>57430.62</v>
      </c>
      <c r="K2136" s="5">
        <f t="shared" si="67"/>
        <v>60</v>
      </c>
      <c r="P2136" t="str">
        <f t="shared" si="68"/>
        <v>60K</v>
      </c>
    </row>
    <row r="2137" spans="1:16" x14ac:dyDescent="0.35">
      <c r="A2137">
        <v>2022</v>
      </c>
      <c r="B2137" s="6" t="s">
        <v>20</v>
      </c>
      <c r="J2137" s="13">
        <v>84156.07</v>
      </c>
      <c r="K2137" s="5">
        <f t="shared" si="67"/>
        <v>80</v>
      </c>
      <c r="P2137" t="str">
        <f t="shared" si="68"/>
        <v>80K</v>
      </c>
    </row>
    <row r="2138" spans="1:16" x14ac:dyDescent="0.35">
      <c r="A2138">
        <v>2007</v>
      </c>
      <c r="B2138" s="7" t="s">
        <v>10</v>
      </c>
      <c r="J2138" s="12">
        <v>81224.25</v>
      </c>
      <c r="K2138" s="5">
        <f t="shared" si="67"/>
        <v>80</v>
      </c>
      <c r="P2138" t="str">
        <f t="shared" si="68"/>
        <v>80K</v>
      </c>
    </row>
    <row r="2139" spans="1:16" x14ac:dyDescent="0.35">
      <c r="A2139">
        <v>2015</v>
      </c>
      <c r="B2139" s="6" t="s">
        <v>29</v>
      </c>
      <c r="J2139" s="13">
        <v>14504.11</v>
      </c>
      <c r="K2139" s="5">
        <f t="shared" si="67"/>
        <v>10</v>
      </c>
      <c r="P2139" t="str">
        <f t="shared" si="68"/>
        <v>10K</v>
      </c>
    </row>
    <row r="2140" spans="1:16" x14ac:dyDescent="0.35">
      <c r="A2140">
        <v>2021</v>
      </c>
      <c r="B2140" s="7" t="s">
        <v>27</v>
      </c>
      <c r="J2140" s="12">
        <v>93729.56</v>
      </c>
      <c r="K2140" s="5">
        <f t="shared" si="67"/>
        <v>90</v>
      </c>
      <c r="P2140" t="str">
        <f t="shared" si="68"/>
        <v>90K</v>
      </c>
    </row>
    <row r="2141" spans="1:16" x14ac:dyDescent="0.35">
      <c r="A2141">
        <v>2004</v>
      </c>
      <c r="B2141" s="6" t="s">
        <v>29</v>
      </c>
      <c r="J2141" s="13">
        <v>15489.37</v>
      </c>
      <c r="K2141" s="5">
        <f t="shared" si="67"/>
        <v>20</v>
      </c>
      <c r="P2141" t="str">
        <f t="shared" si="68"/>
        <v>20K</v>
      </c>
    </row>
    <row r="2142" spans="1:16" x14ac:dyDescent="0.35">
      <c r="A2142">
        <v>2002</v>
      </c>
      <c r="B2142" s="7" t="s">
        <v>23</v>
      </c>
      <c r="J2142" s="12">
        <v>65284.2</v>
      </c>
      <c r="K2142" s="5">
        <f t="shared" si="67"/>
        <v>70</v>
      </c>
      <c r="P2142" t="str">
        <f t="shared" si="68"/>
        <v>70K</v>
      </c>
    </row>
    <row r="2143" spans="1:16" x14ac:dyDescent="0.35">
      <c r="A2143">
        <v>2011</v>
      </c>
      <c r="B2143" s="6" t="s">
        <v>23</v>
      </c>
      <c r="J2143" s="13">
        <v>68878.600000000006</v>
      </c>
      <c r="K2143" s="5">
        <f t="shared" si="67"/>
        <v>70</v>
      </c>
      <c r="P2143" t="str">
        <f t="shared" si="68"/>
        <v>70K</v>
      </c>
    </row>
    <row r="2144" spans="1:16" x14ac:dyDescent="0.35">
      <c r="A2144">
        <v>2012</v>
      </c>
      <c r="B2144" s="7" t="s">
        <v>23</v>
      </c>
      <c r="J2144" s="12">
        <v>69588.36</v>
      </c>
      <c r="K2144" s="5">
        <f t="shared" si="67"/>
        <v>70</v>
      </c>
      <c r="P2144" t="str">
        <f t="shared" si="68"/>
        <v>70K</v>
      </c>
    </row>
    <row r="2145" spans="1:16" x14ac:dyDescent="0.35">
      <c r="A2145">
        <v>2012</v>
      </c>
      <c r="B2145" s="6" t="s">
        <v>35</v>
      </c>
      <c r="J2145" s="13">
        <v>30208.36</v>
      </c>
      <c r="K2145" s="5">
        <f t="shared" si="67"/>
        <v>30</v>
      </c>
      <c r="P2145" t="str">
        <f t="shared" si="68"/>
        <v>30K</v>
      </c>
    </row>
    <row r="2146" spans="1:16" x14ac:dyDescent="0.35">
      <c r="A2146">
        <v>2009</v>
      </c>
      <c r="B2146" s="7" t="s">
        <v>29</v>
      </c>
      <c r="J2146" s="12">
        <v>36382.78</v>
      </c>
      <c r="K2146" s="5">
        <f t="shared" si="67"/>
        <v>40</v>
      </c>
      <c r="P2146" t="str">
        <f t="shared" si="68"/>
        <v>40K</v>
      </c>
    </row>
    <row r="2147" spans="1:16" x14ac:dyDescent="0.35">
      <c r="A2147">
        <v>2003</v>
      </c>
      <c r="B2147" s="6" t="s">
        <v>27</v>
      </c>
      <c r="J2147" s="13">
        <v>57124.3</v>
      </c>
      <c r="K2147" s="5">
        <f t="shared" si="67"/>
        <v>60</v>
      </c>
      <c r="P2147" t="str">
        <f t="shared" si="68"/>
        <v>60K</v>
      </c>
    </row>
    <row r="2148" spans="1:16" x14ac:dyDescent="0.35">
      <c r="A2148">
        <v>2008</v>
      </c>
      <c r="B2148" s="7" t="s">
        <v>27</v>
      </c>
      <c r="J2148" s="12">
        <v>23960.81</v>
      </c>
      <c r="K2148" s="5">
        <f t="shared" si="67"/>
        <v>20</v>
      </c>
      <c r="P2148" t="str">
        <f t="shared" si="68"/>
        <v>20K</v>
      </c>
    </row>
    <row r="2149" spans="1:16" x14ac:dyDescent="0.35">
      <c r="A2149">
        <v>2021</v>
      </c>
      <c r="B2149" s="6" t="s">
        <v>25</v>
      </c>
      <c r="J2149" s="13">
        <v>6929.49</v>
      </c>
      <c r="K2149" s="5">
        <f t="shared" si="67"/>
        <v>10</v>
      </c>
      <c r="P2149" t="str">
        <f t="shared" si="68"/>
        <v>10K</v>
      </c>
    </row>
    <row r="2150" spans="1:16" x14ac:dyDescent="0.35">
      <c r="A2150">
        <v>2023</v>
      </c>
      <c r="B2150" s="7" t="s">
        <v>25</v>
      </c>
      <c r="J2150" s="12">
        <v>58403.72</v>
      </c>
      <c r="K2150" s="5">
        <f t="shared" si="67"/>
        <v>60</v>
      </c>
      <c r="P2150" t="str">
        <f t="shared" si="68"/>
        <v>60K</v>
      </c>
    </row>
    <row r="2151" spans="1:16" x14ac:dyDescent="0.35">
      <c r="A2151">
        <v>2022</v>
      </c>
      <c r="B2151" s="6" t="s">
        <v>10</v>
      </c>
      <c r="J2151" s="13">
        <v>49201.46</v>
      </c>
      <c r="K2151" s="5">
        <f t="shared" si="67"/>
        <v>50</v>
      </c>
      <c r="P2151" t="str">
        <f t="shared" si="68"/>
        <v>50K</v>
      </c>
    </row>
    <row r="2152" spans="1:16" x14ac:dyDescent="0.35">
      <c r="A2152">
        <v>2001</v>
      </c>
      <c r="B2152" s="7" t="s">
        <v>25</v>
      </c>
      <c r="J2152" s="12">
        <v>67389.460000000006</v>
      </c>
      <c r="K2152" s="5">
        <f t="shared" si="67"/>
        <v>70</v>
      </c>
      <c r="P2152" t="str">
        <f t="shared" si="68"/>
        <v>70K</v>
      </c>
    </row>
    <row r="2153" spans="1:16" x14ac:dyDescent="0.35">
      <c r="A2153">
        <v>2018</v>
      </c>
      <c r="B2153" s="6" t="s">
        <v>23</v>
      </c>
      <c r="J2153" s="13">
        <v>18936.55</v>
      </c>
      <c r="K2153" s="5">
        <f t="shared" si="67"/>
        <v>20</v>
      </c>
      <c r="P2153" t="str">
        <f t="shared" si="68"/>
        <v>20K</v>
      </c>
    </row>
    <row r="2154" spans="1:16" x14ac:dyDescent="0.35">
      <c r="A2154">
        <v>2000</v>
      </c>
      <c r="B2154" s="7" t="s">
        <v>27</v>
      </c>
      <c r="J2154" s="12">
        <v>84887.86</v>
      </c>
      <c r="K2154" s="5">
        <f t="shared" si="67"/>
        <v>80</v>
      </c>
      <c r="P2154" t="str">
        <f t="shared" si="68"/>
        <v>80K</v>
      </c>
    </row>
    <row r="2155" spans="1:16" x14ac:dyDescent="0.35">
      <c r="A2155">
        <v>2006</v>
      </c>
      <c r="B2155" s="6" t="s">
        <v>29</v>
      </c>
      <c r="J2155" s="13">
        <v>18891.04</v>
      </c>
      <c r="K2155" s="5">
        <f t="shared" si="67"/>
        <v>20</v>
      </c>
      <c r="P2155" t="str">
        <f t="shared" si="68"/>
        <v>20K</v>
      </c>
    </row>
    <row r="2156" spans="1:16" x14ac:dyDescent="0.35">
      <c r="A2156">
        <v>2016</v>
      </c>
      <c r="B2156" s="7" t="s">
        <v>23</v>
      </c>
      <c r="J2156" s="12">
        <v>89677.64</v>
      </c>
      <c r="K2156" s="5">
        <f t="shared" si="67"/>
        <v>90</v>
      </c>
      <c r="P2156" t="str">
        <f t="shared" si="68"/>
        <v>90K</v>
      </c>
    </row>
    <row r="2157" spans="1:16" x14ac:dyDescent="0.35">
      <c r="A2157">
        <v>2002</v>
      </c>
      <c r="B2157" s="6" t="s">
        <v>35</v>
      </c>
      <c r="J2157" s="13">
        <v>47704.51</v>
      </c>
      <c r="K2157" s="5">
        <f t="shared" si="67"/>
        <v>50</v>
      </c>
      <c r="P2157" t="str">
        <f t="shared" si="68"/>
        <v>50K</v>
      </c>
    </row>
    <row r="2158" spans="1:16" x14ac:dyDescent="0.35">
      <c r="A2158">
        <v>2019</v>
      </c>
      <c r="B2158" s="7" t="s">
        <v>25</v>
      </c>
      <c r="J2158" s="12">
        <v>57231.5</v>
      </c>
      <c r="K2158" s="5">
        <f t="shared" si="67"/>
        <v>60</v>
      </c>
      <c r="P2158" t="str">
        <f t="shared" si="68"/>
        <v>60K</v>
      </c>
    </row>
    <row r="2159" spans="1:16" x14ac:dyDescent="0.35">
      <c r="A2159">
        <v>2019</v>
      </c>
      <c r="B2159" s="6" t="s">
        <v>23</v>
      </c>
      <c r="J2159" s="13">
        <v>90175.23</v>
      </c>
      <c r="K2159" s="5">
        <f t="shared" si="67"/>
        <v>90</v>
      </c>
      <c r="P2159" t="str">
        <f t="shared" si="68"/>
        <v>90K</v>
      </c>
    </row>
    <row r="2160" spans="1:16" x14ac:dyDescent="0.35">
      <c r="A2160">
        <v>2020</v>
      </c>
      <c r="B2160" s="7" t="s">
        <v>23</v>
      </c>
      <c r="J2160" s="12">
        <v>33491.74</v>
      </c>
      <c r="K2160" s="5">
        <f t="shared" si="67"/>
        <v>30</v>
      </c>
      <c r="P2160" t="str">
        <f t="shared" si="68"/>
        <v>30K</v>
      </c>
    </row>
    <row r="2161" spans="1:16" x14ac:dyDescent="0.35">
      <c r="A2161">
        <v>2002</v>
      </c>
      <c r="B2161" s="6" t="s">
        <v>35</v>
      </c>
      <c r="J2161" s="13">
        <v>22273.56</v>
      </c>
      <c r="K2161" s="5">
        <f t="shared" si="67"/>
        <v>20</v>
      </c>
      <c r="P2161" t="str">
        <f t="shared" si="68"/>
        <v>20K</v>
      </c>
    </row>
    <row r="2162" spans="1:16" x14ac:dyDescent="0.35">
      <c r="A2162">
        <v>2002</v>
      </c>
      <c r="B2162" s="7" t="s">
        <v>20</v>
      </c>
      <c r="J2162" s="12">
        <v>47346.400000000001</v>
      </c>
      <c r="K2162" s="5">
        <f t="shared" si="67"/>
        <v>50</v>
      </c>
      <c r="P2162" t="str">
        <f t="shared" si="68"/>
        <v>50K</v>
      </c>
    </row>
    <row r="2163" spans="1:16" x14ac:dyDescent="0.35">
      <c r="A2163">
        <v>2016</v>
      </c>
      <c r="B2163" s="6" t="s">
        <v>27</v>
      </c>
      <c r="J2163" s="13">
        <v>28214.89</v>
      </c>
      <c r="K2163" s="5">
        <f t="shared" si="67"/>
        <v>30</v>
      </c>
      <c r="P2163" t="str">
        <f t="shared" si="68"/>
        <v>30K</v>
      </c>
    </row>
    <row r="2164" spans="1:16" x14ac:dyDescent="0.35">
      <c r="A2164">
        <v>2006</v>
      </c>
      <c r="B2164" s="7" t="s">
        <v>29</v>
      </c>
      <c r="J2164" s="12">
        <v>55145.17</v>
      </c>
      <c r="K2164" s="5">
        <f t="shared" si="67"/>
        <v>60</v>
      </c>
      <c r="P2164" t="str">
        <f t="shared" si="68"/>
        <v>60K</v>
      </c>
    </row>
    <row r="2165" spans="1:16" x14ac:dyDescent="0.35">
      <c r="A2165">
        <v>2013</v>
      </c>
      <c r="B2165" s="6" t="s">
        <v>10</v>
      </c>
      <c r="J2165" s="13">
        <v>31149.5</v>
      </c>
      <c r="K2165" s="5">
        <f t="shared" si="67"/>
        <v>30</v>
      </c>
      <c r="P2165" t="str">
        <f t="shared" si="68"/>
        <v>30K</v>
      </c>
    </row>
    <row r="2166" spans="1:16" x14ac:dyDescent="0.35">
      <c r="A2166">
        <v>2016</v>
      </c>
      <c r="B2166" s="7" t="s">
        <v>20</v>
      </c>
      <c r="J2166" s="12">
        <v>87126.51</v>
      </c>
      <c r="K2166" s="5">
        <f t="shared" si="67"/>
        <v>90</v>
      </c>
      <c r="P2166" t="str">
        <f t="shared" si="68"/>
        <v>90K</v>
      </c>
    </row>
    <row r="2167" spans="1:16" x14ac:dyDescent="0.35">
      <c r="A2167">
        <v>2017</v>
      </c>
      <c r="B2167" s="6" t="s">
        <v>25</v>
      </c>
      <c r="J2167" s="13">
        <v>62695.839999999997</v>
      </c>
      <c r="K2167" s="5">
        <f t="shared" si="67"/>
        <v>60</v>
      </c>
      <c r="P2167" t="str">
        <f t="shared" si="68"/>
        <v>60K</v>
      </c>
    </row>
    <row r="2168" spans="1:16" x14ac:dyDescent="0.35">
      <c r="A2168">
        <v>2012</v>
      </c>
      <c r="B2168" s="7" t="s">
        <v>23</v>
      </c>
      <c r="J2168" s="12">
        <v>5022.8599999999997</v>
      </c>
      <c r="K2168" s="5">
        <f t="shared" si="67"/>
        <v>10</v>
      </c>
      <c r="P2168" t="str">
        <f t="shared" si="68"/>
        <v>10K</v>
      </c>
    </row>
    <row r="2169" spans="1:16" x14ac:dyDescent="0.35">
      <c r="A2169">
        <v>2019</v>
      </c>
      <c r="B2169" s="6" t="s">
        <v>35</v>
      </c>
      <c r="J2169" s="13">
        <v>81520</v>
      </c>
      <c r="K2169" s="5">
        <f t="shared" si="67"/>
        <v>80</v>
      </c>
      <c r="P2169" t="str">
        <f t="shared" si="68"/>
        <v>80K</v>
      </c>
    </row>
    <row r="2170" spans="1:16" x14ac:dyDescent="0.35">
      <c r="A2170">
        <v>2019</v>
      </c>
      <c r="B2170" s="7" t="s">
        <v>35</v>
      </c>
      <c r="J2170" s="12">
        <v>36370.17</v>
      </c>
      <c r="K2170" s="5">
        <f t="shared" si="67"/>
        <v>40</v>
      </c>
      <c r="P2170" t="str">
        <f t="shared" si="68"/>
        <v>40K</v>
      </c>
    </row>
    <row r="2171" spans="1:16" x14ac:dyDescent="0.35">
      <c r="A2171">
        <v>2020</v>
      </c>
      <c r="B2171" s="6" t="s">
        <v>27</v>
      </c>
      <c r="J2171" s="13">
        <v>35419.760000000002</v>
      </c>
      <c r="K2171" s="5">
        <f t="shared" si="67"/>
        <v>40</v>
      </c>
      <c r="P2171" t="str">
        <f t="shared" si="68"/>
        <v>40K</v>
      </c>
    </row>
    <row r="2172" spans="1:16" x14ac:dyDescent="0.35">
      <c r="A2172">
        <v>2017</v>
      </c>
      <c r="B2172" s="7" t="s">
        <v>20</v>
      </c>
      <c r="J2172" s="12">
        <v>41390.97</v>
      </c>
      <c r="K2172" s="5">
        <f t="shared" si="67"/>
        <v>40</v>
      </c>
      <c r="P2172" t="str">
        <f t="shared" si="68"/>
        <v>40K</v>
      </c>
    </row>
    <row r="2173" spans="1:16" x14ac:dyDescent="0.35">
      <c r="A2173">
        <v>2003</v>
      </c>
      <c r="B2173" s="6" t="s">
        <v>10</v>
      </c>
      <c r="J2173" s="13">
        <v>64874.94</v>
      </c>
      <c r="K2173" s="5">
        <f t="shared" si="67"/>
        <v>60</v>
      </c>
      <c r="P2173" t="str">
        <f t="shared" si="68"/>
        <v>60K</v>
      </c>
    </row>
    <row r="2174" spans="1:16" x14ac:dyDescent="0.35">
      <c r="A2174">
        <v>2000</v>
      </c>
      <c r="B2174" s="7" t="s">
        <v>27</v>
      </c>
      <c r="J2174" s="12">
        <v>46995.77</v>
      </c>
      <c r="K2174" s="5">
        <f t="shared" si="67"/>
        <v>50</v>
      </c>
      <c r="P2174" t="str">
        <f t="shared" si="68"/>
        <v>50K</v>
      </c>
    </row>
    <row r="2175" spans="1:16" x14ac:dyDescent="0.35">
      <c r="A2175">
        <v>2017</v>
      </c>
      <c r="B2175" s="6" t="s">
        <v>23</v>
      </c>
      <c r="J2175" s="13">
        <v>64720.38</v>
      </c>
      <c r="K2175" s="5">
        <f t="shared" si="67"/>
        <v>60</v>
      </c>
      <c r="P2175" t="str">
        <f t="shared" si="68"/>
        <v>60K</v>
      </c>
    </row>
    <row r="2176" spans="1:16" x14ac:dyDescent="0.35">
      <c r="A2176">
        <v>2000</v>
      </c>
      <c r="B2176" s="7" t="s">
        <v>27</v>
      </c>
      <c r="J2176" s="12">
        <v>18944.169999999998</v>
      </c>
      <c r="K2176" s="5">
        <f t="shared" si="67"/>
        <v>20</v>
      </c>
      <c r="P2176" t="str">
        <f t="shared" si="68"/>
        <v>20K</v>
      </c>
    </row>
    <row r="2177" spans="1:16" x14ac:dyDescent="0.35">
      <c r="A2177">
        <v>2012</v>
      </c>
      <c r="B2177" s="6" t="s">
        <v>29</v>
      </c>
      <c r="J2177" s="13">
        <v>97165.62</v>
      </c>
      <c r="K2177" s="5">
        <f t="shared" si="67"/>
        <v>100</v>
      </c>
      <c r="P2177" t="str">
        <f t="shared" si="68"/>
        <v>100K</v>
      </c>
    </row>
    <row r="2178" spans="1:16" x14ac:dyDescent="0.35">
      <c r="A2178">
        <v>2019</v>
      </c>
      <c r="B2178" s="7" t="s">
        <v>35</v>
      </c>
      <c r="J2178" s="12">
        <v>74312.600000000006</v>
      </c>
      <c r="K2178" s="5">
        <f t="shared" si="67"/>
        <v>70</v>
      </c>
      <c r="P2178" t="str">
        <f t="shared" si="68"/>
        <v>70K</v>
      </c>
    </row>
    <row r="2179" spans="1:16" x14ac:dyDescent="0.35">
      <c r="A2179">
        <v>2019</v>
      </c>
      <c r="B2179" s="6" t="s">
        <v>35</v>
      </c>
      <c r="J2179" s="13">
        <v>28769.68</v>
      </c>
      <c r="K2179" s="5">
        <f t="shared" ref="K2179:K2242" si="69">ROUND(J2179/10000,0)*10</f>
        <v>30</v>
      </c>
      <c r="P2179" t="str">
        <f t="shared" ref="P2179:P2242" si="70">TEXT(ROUND(J2179/10000,0)*10,"0") &amp; "K"</f>
        <v>30K</v>
      </c>
    </row>
    <row r="2180" spans="1:16" x14ac:dyDescent="0.35">
      <c r="A2180">
        <v>2022</v>
      </c>
      <c r="B2180" s="7" t="s">
        <v>25</v>
      </c>
      <c r="J2180" s="12">
        <v>73796.14</v>
      </c>
      <c r="K2180" s="5">
        <f t="shared" si="69"/>
        <v>70</v>
      </c>
      <c r="P2180" t="str">
        <f t="shared" si="70"/>
        <v>70K</v>
      </c>
    </row>
    <row r="2181" spans="1:16" x14ac:dyDescent="0.35">
      <c r="A2181">
        <v>2009</v>
      </c>
      <c r="B2181" s="6" t="s">
        <v>25</v>
      </c>
      <c r="J2181" s="13">
        <v>59627.42</v>
      </c>
      <c r="K2181" s="5">
        <f t="shared" si="69"/>
        <v>60</v>
      </c>
      <c r="P2181" t="str">
        <f t="shared" si="70"/>
        <v>60K</v>
      </c>
    </row>
    <row r="2182" spans="1:16" x14ac:dyDescent="0.35">
      <c r="A2182">
        <v>2010</v>
      </c>
      <c r="B2182" s="7" t="s">
        <v>10</v>
      </c>
      <c r="J2182" s="12">
        <v>15372.95</v>
      </c>
      <c r="K2182" s="5">
        <f t="shared" si="69"/>
        <v>20</v>
      </c>
      <c r="P2182" t="str">
        <f t="shared" si="70"/>
        <v>20K</v>
      </c>
    </row>
    <row r="2183" spans="1:16" x14ac:dyDescent="0.35">
      <c r="A2183">
        <v>2008</v>
      </c>
      <c r="B2183" s="6" t="s">
        <v>23</v>
      </c>
      <c r="J2183" s="13">
        <v>21928.66</v>
      </c>
      <c r="K2183" s="5">
        <f t="shared" si="69"/>
        <v>20</v>
      </c>
      <c r="P2183" t="str">
        <f t="shared" si="70"/>
        <v>20K</v>
      </c>
    </row>
    <row r="2184" spans="1:16" x14ac:dyDescent="0.35">
      <c r="A2184">
        <v>2008</v>
      </c>
      <c r="B2184" s="7" t="s">
        <v>29</v>
      </c>
      <c r="J2184" s="12">
        <v>8924.27</v>
      </c>
      <c r="K2184" s="5">
        <f t="shared" si="69"/>
        <v>10</v>
      </c>
      <c r="P2184" t="str">
        <f t="shared" si="70"/>
        <v>10K</v>
      </c>
    </row>
    <row r="2185" spans="1:16" x14ac:dyDescent="0.35">
      <c r="A2185">
        <v>2004</v>
      </c>
      <c r="B2185" s="6" t="s">
        <v>20</v>
      </c>
      <c r="J2185" s="13">
        <v>81877.62</v>
      </c>
      <c r="K2185" s="5">
        <f t="shared" si="69"/>
        <v>80</v>
      </c>
      <c r="P2185" t="str">
        <f t="shared" si="70"/>
        <v>80K</v>
      </c>
    </row>
    <row r="2186" spans="1:16" x14ac:dyDescent="0.35">
      <c r="A2186">
        <v>2000</v>
      </c>
      <c r="B2186" s="7" t="s">
        <v>27</v>
      </c>
      <c r="J2186" s="12">
        <v>57411.95</v>
      </c>
      <c r="K2186" s="5">
        <f t="shared" si="69"/>
        <v>60</v>
      </c>
      <c r="P2186" t="str">
        <f t="shared" si="70"/>
        <v>60K</v>
      </c>
    </row>
    <row r="2187" spans="1:16" x14ac:dyDescent="0.35">
      <c r="A2187">
        <v>2016</v>
      </c>
      <c r="B2187" s="6" t="s">
        <v>10</v>
      </c>
      <c r="J2187" s="13">
        <v>35091.120000000003</v>
      </c>
      <c r="K2187" s="5">
        <f t="shared" si="69"/>
        <v>40</v>
      </c>
      <c r="P2187" t="str">
        <f t="shared" si="70"/>
        <v>40K</v>
      </c>
    </row>
    <row r="2188" spans="1:16" x14ac:dyDescent="0.35">
      <c r="A2188">
        <v>2021</v>
      </c>
      <c r="B2188" s="7" t="s">
        <v>23</v>
      </c>
      <c r="J2188" s="12">
        <v>17002.77</v>
      </c>
      <c r="K2188" s="5">
        <f t="shared" si="69"/>
        <v>20</v>
      </c>
      <c r="P2188" t="str">
        <f t="shared" si="70"/>
        <v>20K</v>
      </c>
    </row>
    <row r="2189" spans="1:16" x14ac:dyDescent="0.35">
      <c r="A2189">
        <v>2001</v>
      </c>
      <c r="B2189" s="6" t="s">
        <v>25</v>
      </c>
      <c r="J2189" s="13">
        <v>50984.36</v>
      </c>
      <c r="K2189" s="5">
        <f t="shared" si="69"/>
        <v>50</v>
      </c>
      <c r="P2189" t="str">
        <f t="shared" si="70"/>
        <v>50K</v>
      </c>
    </row>
    <row r="2190" spans="1:16" x14ac:dyDescent="0.35">
      <c r="A2190">
        <v>2023</v>
      </c>
      <c r="B2190" s="7" t="s">
        <v>27</v>
      </c>
      <c r="J2190" s="12">
        <v>54899.83</v>
      </c>
      <c r="K2190" s="5">
        <f t="shared" si="69"/>
        <v>50</v>
      </c>
      <c r="P2190" t="str">
        <f t="shared" si="70"/>
        <v>50K</v>
      </c>
    </row>
    <row r="2191" spans="1:16" x14ac:dyDescent="0.35">
      <c r="A2191">
        <v>2012</v>
      </c>
      <c r="B2191" s="6" t="s">
        <v>25</v>
      </c>
      <c r="J2191" s="13">
        <v>71685.11</v>
      </c>
      <c r="K2191" s="5">
        <f t="shared" si="69"/>
        <v>70</v>
      </c>
      <c r="P2191" t="str">
        <f t="shared" si="70"/>
        <v>70K</v>
      </c>
    </row>
    <row r="2192" spans="1:16" x14ac:dyDescent="0.35">
      <c r="A2192">
        <v>2008</v>
      </c>
      <c r="B2192" s="7" t="s">
        <v>27</v>
      </c>
      <c r="J2192" s="12">
        <v>97144.03</v>
      </c>
      <c r="K2192" s="5">
        <f t="shared" si="69"/>
        <v>100</v>
      </c>
      <c r="P2192" t="str">
        <f t="shared" si="70"/>
        <v>100K</v>
      </c>
    </row>
    <row r="2193" spans="1:16" x14ac:dyDescent="0.35">
      <c r="A2193">
        <v>2003</v>
      </c>
      <c r="B2193" s="6" t="s">
        <v>20</v>
      </c>
      <c r="J2193" s="13">
        <v>46319.83</v>
      </c>
      <c r="K2193" s="5">
        <f t="shared" si="69"/>
        <v>50</v>
      </c>
      <c r="P2193" t="str">
        <f t="shared" si="70"/>
        <v>50K</v>
      </c>
    </row>
    <row r="2194" spans="1:16" x14ac:dyDescent="0.35">
      <c r="A2194">
        <v>2004</v>
      </c>
      <c r="B2194" s="7" t="s">
        <v>23</v>
      </c>
      <c r="J2194" s="12">
        <v>43573.25</v>
      </c>
      <c r="K2194" s="5">
        <f t="shared" si="69"/>
        <v>40</v>
      </c>
      <c r="P2194" t="str">
        <f t="shared" si="70"/>
        <v>40K</v>
      </c>
    </row>
    <row r="2195" spans="1:16" x14ac:dyDescent="0.35">
      <c r="A2195">
        <v>2010</v>
      </c>
      <c r="B2195" s="6" t="s">
        <v>27</v>
      </c>
      <c r="J2195" s="13">
        <v>40143.35</v>
      </c>
      <c r="K2195" s="5">
        <f t="shared" si="69"/>
        <v>40</v>
      </c>
      <c r="P2195" t="str">
        <f t="shared" si="70"/>
        <v>40K</v>
      </c>
    </row>
    <row r="2196" spans="1:16" x14ac:dyDescent="0.35">
      <c r="A2196">
        <v>2023</v>
      </c>
      <c r="B2196" s="7" t="s">
        <v>29</v>
      </c>
      <c r="J2196" s="12">
        <v>83557.77</v>
      </c>
      <c r="K2196" s="5">
        <f t="shared" si="69"/>
        <v>80</v>
      </c>
      <c r="P2196" t="str">
        <f t="shared" si="70"/>
        <v>80K</v>
      </c>
    </row>
    <row r="2197" spans="1:16" x14ac:dyDescent="0.35">
      <c r="A2197">
        <v>2018</v>
      </c>
      <c r="B2197" s="6" t="s">
        <v>10</v>
      </c>
      <c r="J2197" s="13">
        <v>19850.14</v>
      </c>
      <c r="K2197" s="5">
        <f t="shared" si="69"/>
        <v>20</v>
      </c>
      <c r="P2197" t="str">
        <f t="shared" si="70"/>
        <v>20K</v>
      </c>
    </row>
    <row r="2198" spans="1:16" x14ac:dyDescent="0.35">
      <c r="A2198">
        <v>2020</v>
      </c>
      <c r="B2198" s="7" t="s">
        <v>35</v>
      </c>
      <c r="J2198" s="12">
        <v>37662.230000000003</v>
      </c>
      <c r="K2198" s="5">
        <f t="shared" si="69"/>
        <v>40</v>
      </c>
      <c r="P2198" t="str">
        <f t="shared" si="70"/>
        <v>40K</v>
      </c>
    </row>
    <row r="2199" spans="1:16" x14ac:dyDescent="0.35">
      <c r="A2199">
        <v>2002</v>
      </c>
      <c r="B2199" s="6" t="s">
        <v>29</v>
      </c>
      <c r="J2199" s="13">
        <v>73872.23</v>
      </c>
      <c r="K2199" s="5">
        <f t="shared" si="69"/>
        <v>70</v>
      </c>
      <c r="P2199" t="str">
        <f t="shared" si="70"/>
        <v>70K</v>
      </c>
    </row>
    <row r="2200" spans="1:16" x14ac:dyDescent="0.35">
      <c r="A2200">
        <v>2011</v>
      </c>
      <c r="B2200" s="7" t="s">
        <v>29</v>
      </c>
      <c r="J2200" s="12">
        <v>6491.02</v>
      </c>
      <c r="K2200" s="5">
        <f t="shared" si="69"/>
        <v>10</v>
      </c>
      <c r="P2200" t="str">
        <f t="shared" si="70"/>
        <v>10K</v>
      </c>
    </row>
    <row r="2201" spans="1:16" x14ac:dyDescent="0.35">
      <c r="A2201">
        <v>2018</v>
      </c>
      <c r="B2201" s="6" t="s">
        <v>10</v>
      </c>
      <c r="J2201" s="13">
        <v>32491.17</v>
      </c>
      <c r="K2201" s="5">
        <f t="shared" si="69"/>
        <v>30</v>
      </c>
      <c r="P2201" t="str">
        <f t="shared" si="70"/>
        <v>30K</v>
      </c>
    </row>
    <row r="2202" spans="1:16" x14ac:dyDescent="0.35">
      <c r="A2202">
        <v>2018</v>
      </c>
      <c r="B2202" s="7" t="s">
        <v>35</v>
      </c>
      <c r="J2202" s="12">
        <v>65937.48</v>
      </c>
      <c r="K2202" s="5">
        <f t="shared" si="69"/>
        <v>70</v>
      </c>
      <c r="P2202" t="str">
        <f t="shared" si="70"/>
        <v>70K</v>
      </c>
    </row>
    <row r="2203" spans="1:16" x14ac:dyDescent="0.35">
      <c r="A2203">
        <v>2012</v>
      </c>
      <c r="B2203" s="6" t="s">
        <v>29</v>
      </c>
      <c r="J2203" s="13">
        <v>22665.45</v>
      </c>
      <c r="K2203" s="5">
        <f t="shared" si="69"/>
        <v>20</v>
      </c>
      <c r="P2203" t="str">
        <f t="shared" si="70"/>
        <v>20K</v>
      </c>
    </row>
    <row r="2204" spans="1:16" x14ac:dyDescent="0.35">
      <c r="A2204">
        <v>2006</v>
      </c>
      <c r="B2204" s="7" t="s">
        <v>27</v>
      </c>
      <c r="J2204" s="12">
        <v>33757.5</v>
      </c>
      <c r="K2204" s="5">
        <f t="shared" si="69"/>
        <v>30</v>
      </c>
      <c r="P2204" t="str">
        <f t="shared" si="70"/>
        <v>30K</v>
      </c>
    </row>
    <row r="2205" spans="1:16" x14ac:dyDescent="0.35">
      <c r="A2205">
        <v>2014</v>
      </c>
      <c r="B2205" s="6" t="s">
        <v>27</v>
      </c>
      <c r="J2205" s="13">
        <v>51174.28</v>
      </c>
      <c r="K2205" s="5">
        <f t="shared" si="69"/>
        <v>50</v>
      </c>
      <c r="P2205" t="str">
        <f t="shared" si="70"/>
        <v>50K</v>
      </c>
    </row>
    <row r="2206" spans="1:16" x14ac:dyDescent="0.35">
      <c r="A2206">
        <v>2022</v>
      </c>
      <c r="B2206" s="7" t="s">
        <v>27</v>
      </c>
      <c r="J2206" s="12">
        <v>45092.24</v>
      </c>
      <c r="K2206" s="5">
        <f t="shared" si="69"/>
        <v>50</v>
      </c>
      <c r="P2206" t="str">
        <f t="shared" si="70"/>
        <v>50K</v>
      </c>
    </row>
    <row r="2207" spans="1:16" x14ac:dyDescent="0.35">
      <c r="A2207">
        <v>2006</v>
      </c>
      <c r="B2207" s="6" t="s">
        <v>35</v>
      </c>
      <c r="J2207" s="13">
        <v>15072.58</v>
      </c>
      <c r="K2207" s="5">
        <f t="shared" si="69"/>
        <v>20</v>
      </c>
      <c r="P2207" t="str">
        <f t="shared" si="70"/>
        <v>20K</v>
      </c>
    </row>
    <row r="2208" spans="1:16" x14ac:dyDescent="0.35">
      <c r="A2208">
        <v>2007</v>
      </c>
      <c r="B2208" s="7" t="s">
        <v>29</v>
      </c>
      <c r="J2208" s="12">
        <v>94132.36</v>
      </c>
      <c r="K2208" s="5">
        <f t="shared" si="69"/>
        <v>90</v>
      </c>
      <c r="P2208" t="str">
        <f t="shared" si="70"/>
        <v>90K</v>
      </c>
    </row>
    <row r="2209" spans="1:16" x14ac:dyDescent="0.35">
      <c r="A2209">
        <v>2004</v>
      </c>
      <c r="B2209" s="6" t="s">
        <v>35</v>
      </c>
      <c r="J2209" s="13">
        <v>9207.81</v>
      </c>
      <c r="K2209" s="5">
        <f t="shared" si="69"/>
        <v>10</v>
      </c>
      <c r="P2209" t="str">
        <f t="shared" si="70"/>
        <v>10K</v>
      </c>
    </row>
    <row r="2210" spans="1:16" x14ac:dyDescent="0.35">
      <c r="A2210">
        <v>2020</v>
      </c>
      <c r="B2210" s="7" t="s">
        <v>27</v>
      </c>
      <c r="J2210" s="12">
        <v>76225.56</v>
      </c>
      <c r="K2210" s="5">
        <f t="shared" si="69"/>
        <v>80</v>
      </c>
      <c r="P2210" t="str">
        <f t="shared" si="70"/>
        <v>80K</v>
      </c>
    </row>
    <row r="2211" spans="1:16" x14ac:dyDescent="0.35">
      <c r="A2211">
        <v>2013</v>
      </c>
      <c r="B2211" s="6" t="s">
        <v>10</v>
      </c>
      <c r="J2211" s="13">
        <v>11785.16</v>
      </c>
      <c r="K2211" s="5">
        <f t="shared" si="69"/>
        <v>10</v>
      </c>
      <c r="P2211" t="str">
        <f t="shared" si="70"/>
        <v>10K</v>
      </c>
    </row>
    <row r="2212" spans="1:16" x14ac:dyDescent="0.35">
      <c r="A2212">
        <v>2003</v>
      </c>
      <c r="B2212" s="7" t="s">
        <v>29</v>
      </c>
      <c r="J2212" s="12">
        <v>49393.1</v>
      </c>
      <c r="K2212" s="5">
        <f t="shared" si="69"/>
        <v>50</v>
      </c>
      <c r="P2212" t="str">
        <f t="shared" si="70"/>
        <v>50K</v>
      </c>
    </row>
    <row r="2213" spans="1:16" x14ac:dyDescent="0.35">
      <c r="A2213">
        <v>2022</v>
      </c>
      <c r="B2213" s="6" t="s">
        <v>29</v>
      </c>
      <c r="J2213" s="13">
        <v>21664.07</v>
      </c>
      <c r="K2213" s="5">
        <f t="shared" si="69"/>
        <v>20</v>
      </c>
      <c r="P2213" t="str">
        <f t="shared" si="70"/>
        <v>20K</v>
      </c>
    </row>
    <row r="2214" spans="1:16" x14ac:dyDescent="0.35">
      <c r="A2214">
        <v>2009</v>
      </c>
      <c r="B2214" s="7" t="s">
        <v>25</v>
      </c>
      <c r="J2214" s="12">
        <v>18404.29</v>
      </c>
      <c r="K2214" s="5">
        <f t="shared" si="69"/>
        <v>20</v>
      </c>
      <c r="P2214" t="str">
        <f t="shared" si="70"/>
        <v>20K</v>
      </c>
    </row>
    <row r="2215" spans="1:16" x14ac:dyDescent="0.35">
      <c r="A2215">
        <v>2019</v>
      </c>
      <c r="B2215" s="6" t="s">
        <v>25</v>
      </c>
      <c r="J2215" s="13">
        <v>16960.310000000001</v>
      </c>
      <c r="K2215" s="5">
        <f t="shared" si="69"/>
        <v>20</v>
      </c>
      <c r="P2215" t="str">
        <f t="shared" si="70"/>
        <v>20K</v>
      </c>
    </row>
    <row r="2216" spans="1:16" x14ac:dyDescent="0.35">
      <c r="A2216">
        <v>2014</v>
      </c>
      <c r="B2216" s="7" t="s">
        <v>20</v>
      </c>
      <c r="J2216" s="12">
        <v>48014.73</v>
      </c>
      <c r="K2216" s="5">
        <f t="shared" si="69"/>
        <v>50</v>
      </c>
      <c r="P2216" t="str">
        <f t="shared" si="70"/>
        <v>50K</v>
      </c>
    </row>
    <row r="2217" spans="1:16" x14ac:dyDescent="0.35">
      <c r="A2217">
        <v>2017</v>
      </c>
      <c r="B2217" s="6" t="s">
        <v>23</v>
      </c>
      <c r="J2217" s="13">
        <v>53971.07</v>
      </c>
      <c r="K2217" s="5">
        <f t="shared" si="69"/>
        <v>50</v>
      </c>
      <c r="P2217" t="str">
        <f t="shared" si="70"/>
        <v>50K</v>
      </c>
    </row>
    <row r="2218" spans="1:16" x14ac:dyDescent="0.35">
      <c r="A2218">
        <v>2019</v>
      </c>
      <c r="B2218" s="7" t="s">
        <v>25</v>
      </c>
      <c r="J2218" s="12">
        <v>17671.53</v>
      </c>
      <c r="K2218" s="5">
        <f t="shared" si="69"/>
        <v>20</v>
      </c>
      <c r="P2218" t="str">
        <f t="shared" si="70"/>
        <v>20K</v>
      </c>
    </row>
    <row r="2219" spans="1:16" x14ac:dyDescent="0.35">
      <c r="A2219">
        <v>2012</v>
      </c>
      <c r="B2219" s="6" t="s">
        <v>35</v>
      </c>
      <c r="J2219" s="13">
        <v>98042.59</v>
      </c>
      <c r="K2219" s="5">
        <f t="shared" si="69"/>
        <v>100</v>
      </c>
      <c r="P2219" t="str">
        <f t="shared" si="70"/>
        <v>100K</v>
      </c>
    </row>
    <row r="2220" spans="1:16" x14ac:dyDescent="0.35">
      <c r="A2220">
        <v>2007</v>
      </c>
      <c r="B2220" s="7" t="s">
        <v>25</v>
      </c>
      <c r="J2220" s="12">
        <v>29487.759999999998</v>
      </c>
      <c r="K2220" s="5">
        <f t="shared" si="69"/>
        <v>30</v>
      </c>
      <c r="P2220" t="str">
        <f t="shared" si="70"/>
        <v>30K</v>
      </c>
    </row>
    <row r="2221" spans="1:16" x14ac:dyDescent="0.35">
      <c r="A2221">
        <v>2008</v>
      </c>
      <c r="B2221" s="6" t="s">
        <v>20</v>
      </c>
      <c r="J2221" s="13">
        <v>48589.93</v>
      </c>
      <c r="K2221" s="5">
        <f t="shared" si="69"/>
        <v>50</v>
      </c>
      <c r="P2221" t="str">
        <f t="shared" si="70"/>
        <v>50K</v>
      </c>
    </row>
    <row r="2222" spans="1:16" x14ac:dyDescent="0.35">
      <c r="A2222">
        <v>2015</v>
      </c>
      <c r="B2222" s="7" t="s">
        <v>29</v>
      </c>
      <c r="J2222" s="12">
        <v>25545.61</v>
      </c>
      <c r="K2222" s="5">
        <f t="shared" si="69"/>
        <v>30</v>
      </c>
      <c r="P2222" t="str">
        <f t="shared" si="70"/>
        <v>30K</v>
      </c>
    </row>
    <row r="2223" spans="1:16" x14ac:dyDescent="0.35">
      <c r="A2223">
        <v>2018</v>
      </c>
      <c r="B2223" s="6" t="s">
        <v>20</v>
      </c>
      <c r="J2223" s="13">
        <v>51922.65</v>
      </c>
      <c r="K2223" s="5">
        <f t="shared" si="69"/>
        <v>50</v>
      </c>
      <c r="P2223" t="str">
        <f t="shared" si="70"/>
        <v>50K</v>
      </c>
    </row>
    <row r="2224" spans="1:16" x14ac:dyDescent="0.35">
      <c r="A2224">
        <v>2015</v>
      </c>
      <c r="B2224" s="7" t="s">
        <v>29</v>
      </c>
      <c r="J2224" s="12">
        <v>76821.58</v>
      </c>
      <c r="K2224" s="5">
        <f t="shared" si="69"/>
        <v>80</v>
      </c>
      <c r="P2224" t="str">
        <f t="shared" si="70"/>
        <v>80K</v>
      </c>
    </row>
    <row r="2225" spans="1:16" x14ac:dyDescent="0.35">
      <c r="A2225">
        <v>2006</v>
      </c>
      <c r="B2225" s="6" t="s">
        <v>10</v>
      </c>
      <c r="J2225" s="13">
        <v>54504.69</v>
      </c>
      <c r="K2225" s="5">
        <f t="shared" si="69"/>
        <v>50</v>
      </c>
      <c r="P2225" t="str">
        <f t="shared" si="70"/>
        <v>50K</v>
      </c>
    </row>
    <row r="2226" spans="1:16" x14ac:dyDescent="0.35">
      <c r="A2226">
        <v>2013</v>
      </c>
      <c r="B2226" s="7" t="s">
        <v>10</v>
      </c>
      <c r="J2226" s="12">
        <v>32136.639999999999</v>
      </c>
      <c r="K2226" s="5">
        <f t="shared" si="69"/>
        <v>30</v>
      </c>
      <c r="P2226" t="str">
        <f t="shared" si="70"/>
        <v>30K</v>
      </c>
    </row>
    <row r="2227" spans="1:16" x14ac:dyDescent="0.35">
      <c r="A2227">
        <v>2013</v>
      </c>
      <c r="B2227" s="6" t="s">
        <v>29</v>
      </c>
      <c r="J2227" s="13">
        <v>28597.68</v>
      </c>
      <c r="K2227" s="5">
        <f t="shared" si="69"/>
        <v>30</v>
      </c>
      <c r="P2227" t="str">
        <f t="shared" si="70"/>
        <v>30K</v>
      </c>
    </row>
    <row r="2228" spans="1:16" x14ac:dyDescent="0.35">
      <c r="A2228">
        <v>2003</v>
      </c>
      <c r="B2228" s="7" t="s">
        <v>23</v>
      </c>
      <c r="J2228" s="12">
        <v>77098.77</v>
      </c>
      <c r="K2228" s="5">
        <f t="shared" si="69"/>
        <v>80</v>
      </c>
      <c r="P2228" t="str">
        <f t="shared" si="70"/>
        <v>80K</v>
      </c>
    </row>
    <row r="2229" spans="1:16" x14ac:dyDescent="0.35">
      <c r="A2229">
        <v>2014</v>
      </c>
      <c r="B2229" s="6" t="s">
        <v>25</v>
      </c>
      <c r="J2229" s="13">
        <v>16232.63</v>
      </c>
      <c r="K2229" s="5">
        <f t="shared" si="69"/>
        <v>20</v>
      </c>
      <c r="P2229" t="str">
        <f t="shared" si="70"/>
        <v>20K</v>
      </c>
    </row>
    <row r="2230" spans="1:16" x14ac:dyDescent="0.35">
      <c r="A2230">
        <v>2002</v>
      </c>
      <c r="B2230" s="7" t="s">
        <v>35</v>
      </c>
      <c r="J2230" s="12">
        <v>40146.82</v>
      </c>
      <c r="K2230" s="5">
        <f t="shared" si="69"/>
        <v>40</v>
      </c>
      <c r="P2230" t="str">
        <f t="shared" si="70"/>
        <v>40K</v>
      </c>
    </row>
    <row r="2231" spans="1:16" x14ac:dyDescent="0.35">
      <c r="A2231">
        <v>2004</v>
      </c>
      <c r="B2231" s="6" t="s">
        <v>35</v>
      </c>
      <c r="J2231" s="13">
        <v>19390.86</v>
      </c>
      <c r="K2231" s="5">
        <f t="shared" si="69"/>
        <v>20</v>
      </c>
      <c r="P2231" t="str">
        <f t="shared" si="70"/>
        <v>20K</v>
      </c>
    </row>
    <row r="2232" spans="1:16" x14ac:dyDescent="0.35">
      <c r="A2232">
        <v>2000</v>
      </c>
      <c r="B2232" s="7" t="s">
        <v>27</v>
      </c>
      <c r="J2232" s="12">
        <v>29507.7</v>
      </c>
      <c r="K2232" s="5">
        <f t="shared" si="69"/>
        <v>30</v>
      </c>
      <c r="P2232" t="str">
        <f t="shared" si="70"/>
        <v>30K</v>
      </c>
    </row>
    <row r="2233" spans="1:16" x14ac:dyDescent="0.35">
      <c r="A2233">
        <v>2002</v>
      </c>
      <c r="B2233" s="6" t="s">
        <v>29</v>
      </c>
      <c r="J2233" s="13">
        <v>19504.91</v>
      </c>
      <c r="K2233" s="5">
        <f t="shared" si="69"/>
        <v>20</v>
      </c>
      <c r="P2233" t="str">
        <f t="shared" si="70"/>
        <v>20K</v>
      </c>
    </row>
    <row r="2234" spans="1:16" x14ac:dyDescent="0.35">
      <c r="A2234">
        <v>2014</v>
      </c>
      <c r="B2234" s="7" t="s">
        <v>35</v>
      </c>
      <c r="J2234" s="12">
        <v>89243.39</v>
      </c>
      <c r="K2234" s="5">
        <f t="shared" si="69"/>
        <v>90</v>
      </c>
      <c r="P2234" t="str">
        <f t="shared" si="70"/>
        <v>90K</v>
      </c>
    </row>
    <row r="2235" spans="1:16" x14ac:dyDescent="0.35">
      <c r="A2235">
        <v>2023</v>
      </c>
      <c r="B2235" s="6" t="s">
        <v>23</v>
      </c>
      <c r="J2235" s="13">
        <v>74530.899999999994</v>
      </c>
      <c r="K2235" s="5">
        <f t="shared" si="69"/>
        <v>70</v>
      </c>
      <c r="P2235" t="str">
        <f t="shared" si="70"/>
        <v>70K</v>
      </c>
    </row>
    <row r="2236" spans="1:16" x14ac:dyDescent="0.35">
      <c r="A2236">
        <v>2007</v>
      </c>
      <c r="B2236" s="7" t="s">
        <v>29</v>
      </c>
      <c r="J2236" s="12">
        <v>58288.09</v>
      </c>
      <c r="K2236" s="5">
        <f t="shared" si="69"/>
        <v>60</v>
      </c>
      <c r="P2236" t="str">
        <f t="shared" si="70"/>
        <v>60K</v>
      </c>
    </row>
    <row r="2237" spans="1:16" x14ac:dyDescent="0.35">
      <c r="A2237">
        <v>2003</v>
      </c>
      <c r="B2237" s="6" t="s">
        <v>23</v>
      </c>
      <c r="J2237" s="13">
        <v>26320.400000000001</v>
      </c>
      <c r="K2237" s="5">
        <f t="shared" si="69"/>
        <v>30</v>
      </c>
      <c r="P2237" t="str">
        <f t="shared" si="70"/>
        <v>30K</v>
      </c>
    </row>
    <row r="2238" spans="1:16" x14ac:dyDescent="0.35">
      <c r="A2238">
        <v>2001</v>
      </c>
      <c r="B2238" s="7" t="s">
        <v>35</v>
      </c>
      <c r="J2238" s="12">
        <v>53471.55</v>
      </c>
      <c r="K2238" s="5">
        <f t="shared" si="69"/>
        <v>50</v>
      </c>
      <c r="P2238" t="str">
        <f t="shared" si="70"/>
        <v>50K</v>
      </c>
    </row>
    <row r="2239" spans="1:16" x14ac:dyDescent="0.35">
      <c r="A2239">
        <v>2023</v>
      </c>
      <c r="B2239" s="6" t="s">
        <v>35</v>
      </c>
      <c r="J2239" s="13">
        <v>54479.15</v>
      </c>
      <c r="K2239" s="5">
        <f t="shared" si="69"/>
        <v>50</v>
      </c>
      <c r="P2239" t="str">
        <f t="shared" si="70"/>
        <v>50K</v>
      </c>
    </row>
    <row r="2240" spans="1:16" x14ac:dyDescent="0.35">
      <c r="A2240">
        <v>2023</v>
      </c>
      <c r="B2240" s="7" t="s">
        <v>27</v>
      </c>
      <c r="J2240" s="12">
        <v>61088.35</v>
      </c>
      <c r="K2240" s="5">
        <f t="shared" si="69"/>
        <v>60</v>
      </c>
      <c r="P2240" t="str">
        <f t="shared" si="70"/>
        <v>60K</v>
      </c>
    </row>
    <row r="2241" spans="1:16" x14ac:dyDescent="0.35">
      <c r="A2241">
        <v>2009</v>
      </c>
      <c r="B2241" s="6" t="s">
        <v>35</v>
      </c>
      <c r="J2241" s="13">
        <v>10708.09</v>
      </c>
      <c r="K2241" s="5">
        <f t="shared" si="69"/>
        <v>10</v>
      </c>
      <c r="P2241" t="str">
        <f t="shared" si="70"/>
        <v>10K</v>
      </c>
    </row>
    <row r="2242" spans="1:16" x14ac:dyDescent="0.35">
      <c r="A2242">
        <v>2003</v>
      </c>
      <c r="B2242" s="7" t="s">
        <v>29</v>
      </c>
      <c r="J2242" s="12">
        <v>97425.69</v>
      </c>
      <c r="K2242" s="5">
        <f t="shared" si="69"/>
        <v>100</v>
      </c>
      <c r="P2242" t="str">
        <f t="shared" si="70"/>
        <v>100K</v>
      </c>
    </row>
    <row r="2243" spans="1:16" x14ac:dyDescent="0.35">
      <c r="A2243">
        <v>2002</v>
      </c>
      <c r="B2243" s="6" t="s">
        <v>10</v>
      </c>
      <c r="J2243" s="13">
        <v>49216.7</v>
      </c>
      <c r="K2243" s="5">
        <f t="shared" ref="K2243:K2306" si="71">ROUND(J2243/10000,0)*10</f>
        <v>50</v>
      </c>
      <c r="P2243" t="str">
        <f t="shared" ref="P2243:P2306" si="72">TEXT(ROUND(J2243/10000,0)*10,"0") &amp; "K"</f>
        <v>50K</v>
      </c>
    </row>
    <row r="2244" spans="1:16" x14ac:dyDescent="0.35">
      <c r="A2244">
        <v>2001</v>
      </c>
      <c r="B2244" s="7" t="s">
        <v>29</v>
      </c>
      <c r="J2244" s="12">
        <v>93020.52</v>
      </c>
      <c r="K2244" s="5">
        <f t="shared" si="71"/>
        <v>90</v>
      </c>
      <c r="P2244" t="str">
        <f t="shared" si="72"/>
        <v>90K</v>
      </c>
    </row>
    <row r="2245" spans="1:16" x14ac:dyDescent="0.35">
      <c r="A2245">
        <v>2016</v>
      </c>
      <c r="B2245" s="6" t="s">
        <v>29</v>
      </c>
      <c r="J2245" s="13">
        <v>5931.77</v>
      </c>
      <c r="K2245" s="5">
        <f t="shared" si="71"/>
        <v>10</v>
      </c>
      <c r="P2245" t="str">
        <f t="shared" si="72"/>
        <v>10K</v>
      </c>
    </row>
    <row r="2246" spans="1:16" x14ac:dyDescent="0.35">
      <c r="A2246">
        <v>2022</v>
      </c>
      <c r="B2246" s="7" t="s">
        <v>27</v>
      </c>
      <c r="J2246" s="12">
        <v>28518.05</v>
      </c>
      <c r="K2246" s="5">
        <f t="shared" si="71"/>
        <v>30</v>
      </c>
      <c r="P2246" t="str">
        <f t="shared" si="72"/>
        <v>30K</v>
      </c>
    </row>
    <row r="2247" spans="1:16" x14ac:dyDescent="0.35">
      <c r="A2247">
        <v>2020</v>
      </c>
      <c r="B2247" s="6" t="s">
        <v>27</v>
      </c>
      <c r="J2247" s="13">
        <v>14879.58</v>
      </c>
      <c r="K2247" s="5">
        <f t="shared" si="71"/>
        <v>10</v>
      </c>
      <c r="P2247" t="str">
        <f t="shared" si="72"/>
        <v>10K</v>
      </c>
    </row>
    <row r="2248" spans="1:16" x14ac:dyDescent="0.35">
      <c r="A2248">
        <v>2023</v>
      </c>
      <c r="B2248" s="7" t="s">
        <v>35</v>
      </c>
      <c r="J2248" s="12">
        <v>78113.539999999994</v>
      </c>
      <c r="K2248" s="5">
        <f t="shared" si="71"/>
        <v>80</v>
      </c>
      <c r="P2248" t="str">
        <f t="shared" si="72"/>
        <v>80K</v>
      </c>
    </row>
    <row r="2249" spans="1:16" x14ac:dyDescent="0.35">
      <c r="A2249">
        <v>2019</v>
      </c>
      <c r="B2249" s="6" t="s">
        <v>20</v>
      </c>
      <c r="J2249" s="13">
        <v>35411.879999999997</v>
      </c>
      <c r="K2249" s="5">
        <f t="shared" si="71"/>
        <v>40</v>
      </c>
      <c r="P2249" t="str">
        <f t="shared" si="72"/>
        <v>40K</v>
      </c>
    </row>
    <row r="2250" spans="1:16" x14ac:dyDescent="0.35">
      <c r="A2250">
        <v>2022</v>
      </c>
      <c r="B2250" s="7" t="s">
        <v>20</v>
      </c>
      <c r="J2250" s="12">
        <v>84846.79</v>
      </c>
      <c r="K2250" s="5">
        <f t="shared" si="71"/>
        <v>80</v>
      </c>
      <c r="P2250" t="str">
        <f t="shared" si="72"/>
        <v>80K</v>
      </c>
    </row>
    <row r="2251" spans="1:16" x14ac:dyDescent="0.35">
      <c r="A2251">
        <v>2012</v>
      </c>
      <c r="B2251" s="6" t="s">
        <v>27</v>
      </c>
      <c r="J2251" s="13">
        <v>84076.61</v>
      </c>
      <c r="K2251" s="5">
        <f t="shared" si="71"/>
        <v>80</v>
      </c>
      <c r="P2251" t="str">
        <f t="shared" si="72"/>
        <v>80K</v>
      </c>
    </row>
    <row r="2252" spans="1:16" x14ac:dyDescent="0.35">
      <c r="A2252">
        <v>2004</v>
      </c>
      <c r="B2252" s="7" t="s">
        <v>35</v>
      </c>
      <c r="J2252" s="12">
        <v>68440.509999999995</v>
      </c>
      <c r="K2252" s="5">
        <f t="shared" si="71"/>
        <v>70</v>
      </c>
      <c r="P2252" t="str">
        <f t="shared" si="72"/>
        <v>70K</v>
      </c>
    </row>
    <row r="2253" spans="1:16" x14ac:dyDescent="0.35">
      <c r="A2253">
        <v>2020</v>
      </c>
      <c r="B2253" s="6" t="s">
        <v>20</v>
      </c>
      <c r="J2253" s="13">
        <v>68249.27</v>
      </c>
      <c r="K2253" s="5">
        <f t="shared" si="71"/>
        <v>70</v>
      </c>
      <c r="P2253" t="str">
        <f t="shared" si="72"/>
        <v>70K</v>
      </c>
    </row>
    <row r="2254" spans="1:16" x14ac:dyDescent="0.35">
      <c r="A2254">
        <v>2008</v>
      </c>
      <c r="B2254" s="7" t="s">
        <v>35</v>
      </c>
      <c r="J2254" s="12">
        <v>71515.17</v>
      </c>
      <c r="K2254" s="5">
        <f t="shared" si="71"/>
        <v>70</v>
      </c>
      <c r="P2254" t="str">
        <f t="shared" si="72"/>
        <v>70K</v>
      </c>
    </row>
    <row r="2255" spans="1:16" x14ac:dyDescent="0.35">
      <c r="A2255">
        <v>2021</v>
      </c>
      <c r="B2255" s="6" t="s">
        <v>35</v>
      </c>
      <c r="J2255" s="13">
        <v>69007.56</v>
      </c>
      <c r="K2255" s="5">
        <f t="shared" si="71"/>
        <v>70</v>
      </c>
      <c r="P2255" t="str">
        <f t="shared" si="72"/>
        <v>70K</v>
      </c>
    </row>
    <row r="2256" spans="1:16" x14ac:dyDescent="0.35">
      <c r="A2256">
        <v>2005</v>
      </c>
      <c r="B2256" s="7" t="s">
        <v>35</v>
      </c>
      <c r="J2256" s="12">
        <v>41756.29</v>
      </c>
      <c r="K2256" s="5">
        <f t="shared" si="71"/>
        <v>40</v>
      </c>
      <c r="P2256" t="str">
        <f t="shared" si="72"/>
        <v>40K</v>
      </c>
    </row>
    <row r="2257" spans="1:16" x14ac:dyDescent="0.35">
      <c r="A2257">
        <v>2004</v>
      </c>
      <c r="B2257" s="6" t="s">
        <v>25</v>
      </c>
      <c r="J2257" s="13">
        <v>69868.63</v>
      </c>
      <c r="K2257" s="5">
        <f t="shared" si="71"/>
        <v>70</v>
      </c>
      <c r="P2257" t="str">
        <f t="shared" si="72"/>
        <v>70K</v>
      </c>
    </row>
    <row r="2258" spans="1:16" x14ac:dyDescent="0.35">
      <c r="A2258">
        <v>2009</v>
      </c>
      <c r="B2258" s="7" t="s">
        <v>29</v>
      </c>
      <c r="J2258" s="12">
        <v>90253.66</v>
      </c>
      <c r="K2258" s="5">
        <f t="shared" si="71"/>
        <v>90</v>
      </c>
      <c r="P2258" t="str">
        <f t="shared" si="72"/>
        <v>90K</v>
      </c>
    </row>
    <row r="2259" spans="1:16" x14ac:dyDescent="0.35">
      <c r="A2259">
        <v>2007</v>
      </c>
      <c r="B2259" s="6" t="s">
        <v>35</v>
      </c>
      <c r="J2259" s="13">
        <v>36594.480000000003</v>
      </c>
      <c r="K2259" s="5">
        <f t="shared" si="71"/>
        <v>40</v>
      </c>
      <c r="P2259" t="str">
        <f t="shared" si="72"/>
        <v>40K</v>
      </c>
    </row>
    <row r="2260" spans="1:16" x14ac:dyDescent="0.35">
      <c r="A2260">
        <v>2006</v>
      </c>
      <c r="B2260" s="7" t="s">
        <v>25</v>
      </c>
      <c r="J2260" s="12">
        <v>94764.46</v>
      </c>
      <c r="K2260" s="5">
        <f t="shared" si="71"/>
        <v>90</v>
      </c>
      <c r="P2260" t="str">
        <f t="shared" si="72"/>
        <v>90K</v>
      </c>
    </row>
    <row r="2261" spans="1:16" x14ac:dyDescent="0.35">
      <c r="A2261">
        <v>2006</v>
      </c>
      <c r="B2261" s="6" t="s">
        <v>27</v>
      </c>
      <c r="J2261" s="13">
        <v>6290.25</v>
      </c>
      <c r="K2261" s="5">
        <f t="shared" si="71"/>
        <v>10</v>
      </c>
      <c r="P2261" t="str">
        <f t="shared" si="72"/>
        <v>10K</v>
      </c>
    </row>
    <row r="2262" spans="1:16" x14ac:dyDescent="0.35">
      <c r="A2262">
        <v>2005</v>
      </c>
      <c r="B2262" s="7" t="s">
        <v>20</v>
      </c>
      <c r="J2262" s="12">
        <v>38162.839999999997</v>
      </c>
      <c r="K2262" s="5">
        <f t="shared" si="71"/>
        <v>40</v>
      </c>
      <c r="P2262" t="str">
        <f t="shared" si="72"/>
        <v>40K</v>
      </c>
    </row>
    <row r="2263" spans="1:16" x14ac:dyDescent="0.35">
      <c r="A2263">
        <v>2020</v>
      </c>
      <c r="B2263" s="6" t="s">
        <v>29</v>
      </c>
      <c r="J2263" s="13">
        <v>17549.349999999999</v>
      </c>
      <c r="K2263" s="5">
        <f t="shared" si="71"/>
        <v>20</v>
      </c>
      <c r="P2263" t="str">
        <f t="shared" si="72"/>
        <v>20K</v>
      </c>
    </row>
    <row r="2264" spans="1:16" x14ac:dyDescent="0.35">
      <c r="A2264">
        <v>2019</v>
      </c>
      <c r="B2264" s="7" t="s">
        <v>10</v>
      </c>
      <c r="J2264" s="12">
        <v>17028.88</v>
      </c>
      <c r="K2264" s="5">
        <f t="shared" si="71"/>
        <v>20</v>
      </c>
      <c r="P2264" t="str">
        <f t="shared" si="72"/>
        <v>20K</v>
      </c>
    </row>
    <row r="2265" spans="1:16" x14ac:dyDescent="0.35">
      <c r="A2265">
        <v>2002</v>
      </c>
      <c r="B2265" s="6" t="s">
        <v>20</v>
      </c>
      <c r="J2265" s="13">
        <v>82465.8</v>
      </c>
      <c r="K2265" s="5">
        <f t="shared" si="71"/>
        <v>80</v>
      </c>
      <c r="P2265" t="str">
        <f t="shared" si="72"/>
        <v>80K</v>
      </c>
    </row>
    <row r="2266" spans="1:16" x14ac:dyDescent="0.35">
      <c r="A2266">
        <v>2018</v>
      </c>
      <c r="B2266" s="7" t="s">
        <v>29</v>
      </c>
      <c r="J2266" s="12">
        <v>92244.99</v>
      </c>
      <c r="K2266" s="5">
        <f t="shared" si="71"/>
        <v>90</v>
      </c>
      <c r="P2266" t="str">
        <f t="shared" si="72"/>
        <v>90K</v>
      </c>
    </row>
    <row r="2267" spans="1:16" x14ac:dyDescent="0.35">
      <c r="A2267">
        <v>2021</v>
      </c>
      <c r="B2267" s="6" t="s">
        <v>10</v>
      </c>
      <c r="J2267" s="13">
        <v>78887.03</v>
      </c>
      <c r="K2267" s="5">
        <f t="shared" si="71"/>
        <v>80</v>
      </c>
      <c r="P2267" t="str">
        <f t="shared" si="72"/>
        <v>80K</v>
      </c>
    </row>
    <row r="2268" spans="1:16" x14ac:dyDescent="0.35">
      <c r="A2268">
        <v>2014</v>
      </c>
      <c r="B2268" s="7" t="s">
        <v>20</v>
      </c>
      <c r="J2268" s="12">
        <v>97778.49</v>
      </c>
      <c r="K2268" s="5">
        <f t="shared" si="71"/>
        <v>100</v>
      </c>
      <c r="P2268" t="str">
        <f t="shared" si="72"/>
        <v>100K</v>
      </c>
    </row>
    <row r="2269" spans="1:16" x14ac:dyDescent="0.35">
      <c r="A2269">
        <v>2003</v>
      </c>
      <c r="B2269" s="6" t="s">
        <v>29</v>
      </c>
      <c r="J2269" s="13">
        <v>25551.25</v>
      </c>
      <c r="K2269" s="5">
        <f t="shared" si="71"/>
        <v>30</v>
      </c>
      <c r="P2269" t="str">
        <f t="shared" si="72"/>
        <v>30K</v>
      </c>
    </row>
    <row r="2270" spans="1:16" x14ac:dyDescent="0.35">
      <c r="A2270">
        <v>2011</v>
      </c>
      <c r="B2270" s="7" t="s">
        <v>20</v>
      </c>
      <c r="J2270" s="12">
        <v>18375.990000000002</v>
      </c>
      <c r="K2270" s="5">
        <f t="shared" si="71"/>
        <v>20</v>
      </c>
      <c r="P2270" t="str">
        <f t="shared" si="72"/>
        <v>20K</v>
      </c>
    </row>
    <row r="2271" spans="1:16" x14ac:dyDescent="0.35">
      <c r="A2271">
        <v>2005</v>
      </c>
      <c r="B2271" s="6" t="s">
        <v>20</v>
      </c>
      <c r="J2271" s="13">
        <v>54466.86</v>
      </c>
      <c r="K2271" s="5">
        <f t="shared" si="71"/>
        <v>50</v>
      </c>
      <c r="P2271" t="str">
        <f t="shared" si="72"/>
        <v>50K</v>
      </c>
    </row>
    <row r="2272" spans="1:16" x14ac:dyDescent="0.35">
      <c r="A2272">
        <v>2018</v>
      </c>
      <c r="B2272" s="7" t="s">
        <v>10</v>
      </c>
      <c r="J2272" s="12">
        <v>83758.570000000007</v>
      </c>
      <c r="K2272" s="5">
        <f t="shared" si="71"/>
        <v>80</v>
      </c>
      <c r="P2272" t="str">
        <f t="shared" si="72"/>
        <v>80K</v>
      </c>
    </row>
    <row r="2273" spans="1:16" x14ac:dyDescent="0.35">
      <c r="A2273">
        <v>2003</v>
      </c>
      <c r="B2273" s="6" t="s">
        <v>20</v>
      </c>
      <c r="J2273" s="13">
        <v>8784.7099999999991</v>
      </c>
      <c r="K2273" s="5">
        <f t="shared" si="71"/>
        <v>10</v>
      </c>
      <c r="P2273" t="str">
        <f t="shared" si="72"/>
        <v>10K</v>
      </c>
    </row>
    <row r="2274" spans="1:16" x14ac:dyDescent="0.35">
      <c r="A2274">
        <v>2014</v>
      </c>
      <c r="B2274" s="7" t="s">
        <v>20</v>
      </c>
      <c r="J2274" s="12">
        <v>99578.74</v>
      </c>
      <c r="K2274" s="5">
        <f t="shared" si="71"/>
        <v>100</v>
      </c>
      <c r="P2274" t="str">
        <f t="shared" si="72"/>
        <v>100K</v>
      </c>
    </row>
    <row r="2275" spans="1:16" x14ac:dyDescent="0.35">
      <c r="A2275">
        <v>2008</v>
      </c>
      <c r="B2275" s="6" t="s">
        <v>10</v>
      </c>
      <c r="J2275" s="13">
        <v>62213.36</v>
      </c>
      <c r="K2275" s="5">
        <f t="shared" si="71"/>
        <v>60</v>
      </c>
      <c r="P2275" t="str">
        <f t="shared" si="72"/>
        <v>60K</v>
      </c>
    </row>
    <row r="2276" spans="1:16" x14ac:dyDescent="0.35">
      <c r="A2276">
        <v>2004</v>
      </c>
      <c r="B2276" s="7" t="s">
        <v>27</v>
      </c>
      <c r="J2276" s="12">
        <v>97999.47</v>
      </c>
      <c r="K2276" s="5">
        <f t="shared" si="71"/>
        <v>100</v>
      </c>
      <c r="P2276" t="str">
        <f t="shared" si="72"/>
        <v>100K</v>
      </c>
    </row>
    <row r="2277" spans="1:16" x14ac:dyDescent="0.35">
      <c r="A2277">
        <v>2012</v>
      </c>
      <c r="B2277" s="6" t="s">
        <v>35</v>
      </c>
      <c r="J2277" s="13">
        <v>39682.76</v>
      </c>
      <c r="K2277" s="5">
        <f t="shared" si="71"/>
        <v>40</v>
      </c>
      <c r="P2277" t="str">
        <f t="shared" si="72"/>
        <v>40K</v>
      </c>
    </row>
    <row r="2278" spans="1:16" x14ac:dyDescent="0.35">
      <c r="A2278">
        <v>2022</v>
      </c>
      <c r="B2278" s="7" t="s">
        <v>23</v>
      </c>
      <c r="J2278" s="12">
        <v>48512.26</v>
      </c>
      <c r="K2278" s="5">
        <f t="shared" si="71"/>
        <v>50</v>
      </c>
      <c r="P2278" t="str">
        <f t="shared" si="72"/>
        <v>50K</v>
      </c>
    </row>
    <row r="2279" spans="1:16" x14ac:dyDescent="0.35">
      <c r="A2279">
        <v>2017</v>
      </c>
      <c r="B2279" s="6" t="s">
        <v>25</v>
      </c>
      <c r="J2279" s="13">
        <v>76474.34</v>
      </c>
      <c r="K2279" s="5">
        <f t="shared" si="71"/>
        <v>80</v>
      </c>
      <c r="P2279" t="str">
        <f t="shared" si="72"/>
        <v>80K</v>
      </c>
    </row>
    <row r="2280" spans="1:16" x14ac:dyDescent="0.35">
      <c r="A2280">
        <v>2004</v>
      </c>
      <c r="B2280" s="7" t="s">
        <v>23</v>
      </c>
      <c r="J2280" s="12">
        <v>80306.539999999994</v>
      </c>
      <c r="K2280" s="5">
        <f t="shared" si="71"/>
        <v>80</v>
      </c>
      <c r="P2280" t="str">
        <f t="shared" si="72"/>
        <v>80K</v>
      </c>
    </row>
    <row r="2281" spans="1:16" x14ac:dyDescent="0.35">
      <c r="A2281">
        <v>2015</v>
      </c>
      <c r="B2281" s="6" t="s">
        <v>23</v>
      </c>
      <c r="J2281" s="13">
        <v>27138.14</v>
      </c>
      <c r="K2281" s="5">
        <f t="shared" si="71"/>
        <v>30</v>
      </c>
      <c r="P2281" t="str">
        <f t="shared" si="72"/>
        <v>30K</v>
      </c>
    </row>
    <row r="2282" spans="1:16" x14ac:dyDescent="0.35">
      <c r="A2282">
        <v>2018</v>
      </c>
      <c r="B2282" s="7" t="s">
        <v>29</v>
      </c>
      <c r="J2282" s="12">
        <v>93331.1</v>
      </c>
      <c r="K2282" s="5">
        <f t="shared" si="71"/>
        <v>90</v>
      </c>
      <c r="P2282" t="str">
        <f t="shared" si="72"/>
        <v>90K</v>
      </c>
    </row>
    <row r="2283" spans="1:16" x14ac:dyDescent="0.35">
      <c r="A2283">
        <v>2013</v>
      </c>
      <c r="B2283" s="6" t="s">
        <v>35</v>
      </c>
      <c r="J2283" s="13">
        <v>87405.2</v>
      </c>
      <c r="K2283" s="5">
        <f t="shared" si="71"/>
        <v>90</v>
      </c>
      <c r="P2283" t="str">
        <f t="shared" si="72"/>
        <v>90K</v>
      </c>
    </row>
    <row r="2284" spans="1:16" x14ac:dyDescent="0.35">
      <c r="A2284">
        <v>2015</v>
      </c>
      <c r="B2284" s="7" t="s">
        <v>29</v>
      </c>
      <c r="J2284" s="12">
        <v>6729.5</v>
      </c>
      <c r="K2284" s="5">
        <f t="shared" si="71"/>
        <v>10</v>
      </c>
      <c r="P2284" t="str">
        <f t="shared" si="72"/>
        <v>10K</v>
      </c>
    </row>
    <row r="2285" spans="1:16" x14ac:dyDescent="0.35">
      <c r="A2285">
        <v>2014</v>
      </c>
      <c r="B2285" s="6" t="s">
        <v>35</v>
      </c>
      <c r="J2285" s="13">
        <v>17213.97</v>
      </c>
      <c r="K2285" s="5">
        <f t="shared" si="71"/>
        <v>20</v>
      </c>
      <c r="P2285" t="str">
        <f t="shared" si="72"/>
        <v>20K</v>
      </c>
    </row>
    <row r="2286" spans="1:16" x14ac:dyDescent="0.35">
      <c r="A2286">
        <v>2021</v>
      </c>
      <c r="B2286" s="7" t="s">
        <v>10</v>
      </c>
      <c r="J2286" s="12">
        <v>52129.23</v>
      </c>
      <c r="K2286" s="5">
        <f t="shared" si="71"/>
        <v>50</v>
      </c>
      <c r="P2286" t="str">
        <f t="shared" si="72"/>
        <v>50K</v>
      </c>
    </row>
    <row r="2287" spans="1:16" x14ac:dyDescent="0.35">
      <c r="A2287">
        <v>2003</v>
      </c>
      <c r="B2287" s="6" t="s">
        <v>10</v>
      </c>
      <c r="J2287" s="13">
        <v>48790.77</v>
      </c>
      <c r="K2287" s="5">
        <f t="shared" si="71"/>
        <v>50</v>
      </c>
      <c r="P2287" t="str">
        <f t="shared" si="72"/>
        <v>50K</v>
      </c>
    </row>
    <row r="2288" spans="1:16" x14ac:dyDescent="0.35">
      <c r="A2288">
        <v>2006</v>
      </c>
      <c r="B2288" s="7" t="s">
        <v>35</v>
      </c>
      <c r="J2288" s="12">
        <v>72297.13</v>
      </c>
      <c r="K2288" s="5">
        <f t="shared" si="71"/>
        <v>70</v>
      </c>
      <c r="P2288" t="str">
        <f t="shared" si="72"/>
        <v>70K</v>
      </c>
    </row>
    <row r="2289" spans="1:16" x14ac:dyDescent="0.35">
      <c r="A2289">
        <v>2015</v>
      </c>
      <c r="B2289" s="6" t="s">
        <v>20</v>
      </c>
      <c r="J2289" s="13">
        <v>13522.58</v>
      </c>
      <c r="K2289" s="5">
        <f t="shared" si="71"/>
        <v>10</v>
      </c>
      <c r="P2289" t="str">
        <f t="shared" si="72"/>
        <v>10K</v>
      </c>
    </row>
    <row r="2290" spans="1:16" x14ac:dyDescent="0.35">
      <c r="A2290">
        <v>2023</v>
      </c>
      <c r="B2290" s="7" t="s">
        <v>27</v>
      </c>
      <c r="J2290" s="12">
        <v>66261.25</v>
      </c>
      <c r="K2290" s="5">
        <f t="shared" si="71"/>
        <v>70</v>
      </c>
      <c r="P2290" t="str">
        <f t="shared" si="72"/>
        <v>70K</v>
      </c>
    </row>
    <row r="2291" spans="1:16" x14ac:dyDescent="0.35">
      <c r="A2291">
        <v>2021</v>
      </c>
      <c r="B2291" s="6" t="s">
        <v>20</v>
      </c>
      <c r="J2291" s="13">
        <v>63555.14</v>
      </c>
      <c r="K2291" s="5">
        <f t="shared" si="71"/>
        <v>60</v>
      </c>
      <c r="P2291" t="str">
        <f t="shared" si="72"/>
        <v>60K</v>
      </c>
    </row>
    <row r="2292" spans="1:16" x14ac:dyDescent="0.35">
      <c r="A2292">
        <v>2020</v>
      </c>
      <c r="B2292" s="7" t="s">
        <v>27</v>
      </c>
      <c r="J2292" s="12">
        <v>27193.86</v>
      </c>
      <c r="K2292" s="5">
        <f t="shared" si="71"/>
        <v>30</v>
      </c>
      <c r="P2292" t="str">
        <f t="shared" si="72"/>
        <v>30K</v>
      </c>
    </row>
    <row r="2293" spans="1:16" x14ac:dyDescent="0.35">
      <c r="A2293">
        <v>2021</v>
      </c>
      <c r="B2293" s="6" t="s">
        <v>29</v>
      </c>
      <c r="J2293" s="13">
        <v>56527.43</v>
      </c>
      <c r="K2293" s="5">
        <f t="shared" si="71"/>
        <v>60</v>
      </c>
      <c r="P2293" t="str">
        <f t="shared" si="72"/>
        <v>60K</v>
      </c>
    </row>
    <row r="2294" spans="1:16" x14ac:dyDescent="0.35">
      <c r="A2294">
        <v>2020</v>
      </c>
      <c r="B2294" s="7" t="s">
        <v>27</v>
      </c>
      <c r="J2294" s="12">
        <v>26109.68</v>
      </c>
      <c r="K2294" s="5">
        <f t="shared" si="71"/>
        <v>30</v>
      </c>
      <c r="P2294" t="str">
        <f t="shared" si="72"/>
        <v>30K</v>
      </c>
    </row>
    <row r="2295" spans="1:16" x14ac:dyDescent="0.35">
      <c r="A2295">
        <v>2007</v>
      </c>
      <c r="B2295" s="6" t="s">
        <v>29</v>
      </c>
      <c r="J2295" s="13">
        <v>18957.689999999999</v>
      </c>
      <c r="K2295" s="5">
        <f t="shared" si="71"/>
        <v>20</v>
      </c>
      <c r="P2295" t="str">
        <f t="shared" si="72"/>
        <v>20K</v>
      </c>
    </row>
    <row r="2296" spans="1:16" x14ac:dyDescent="0.35">
      <c r="A2296">
        <v>2016</v>
      </c>
      <c r="B2296" s="7" t="s">
        <v>10</v>
      </c>
      <c r="J2296" s="12">
        <v>59447.82</v>
      </c>
      <c r="K2296" s="5">
        <f t="shared" si="71"/>
        <v>60</v>
      </c>
      <c r="P2296" t="str">
        <f t="shared" si="72"/>
        <v>60K</v>
      </c>
    </row>
    <row r="2297" spans="1:16" x14ac:dyDescent="0.35">
      <c r="A2297">
        <v>2015</v>
      </c>
      <c r="B2297" s="6" t="s">
        <v>23</v>
      </c>
      <c r="J2297" s="13">
        <v>97860.06</v>
      </c>
      <c r="K2297" s="5">
        <f t="shared" si="71"/>
        <v>100</v>
      </c>
      <c r="P2297" t="str">
        <f t="shared" si="72"/>
        <v>100K</v>
      </c>
    </row>
    <row r="2298" spans="1:16" x14ac:dyDescent="0.35">
      <c r="A2298">
        <v>2022</v>
      </c>
      <c r="B2298" s="7" t="s">
        <v>10</v>
      </c>
      <c r="J2298" s="12">
        <v>27508.67</v>
      </c>
      <c r="K2298" s="5">
        <f t="shared" si="71"/>
        <v>30</v>
      </c>
      <c r="P2298" t="str">
        <f t="shared" si="72"/>
        <v>30K</v>
      </c>
    </row>
    <row r="2299" spans="1:16" x14ac:dyDescent="0.35">
      <c r="A2299">
        <v>2009</v>
      </c>
      <c r="B2299" s="6" t="s">
        <v>10</v>
      </c>
      <c r="J2299" s="13">
        <v>38756.93</v>
      </c>
      <c r="K2299" s="5">
        <f t="shared" si="71"/>
        <v>40</v>
      </c>
      <c r="P2299" t="str">
        <f t="shared" si="72"/>
        <v>40K</v>
      </c>
    </row>
    <row r="2300" spans="1:16" x14ac:dyDescent="0.35">
      <c r="A2300">
        <v>2009</v>
      </c>
      <c r="B2300" s="7" t="s">
        <v>23</v>
      </c>
      <c r="J2300" s="12">
        <v>29374.46</v>
      </c>
      <c r="K2300" s="5">
        <f t="shared" si="71"/>
        <v>30</v>
      </c>
      <c r="P2300" t="str">
        <f t="shared" si="72"/>
        <v>30K</v>
      </c>
    </row>
    <row r="2301" spans="1:16" x14ac:dyDescent="0.35">
      <c r="A2301">
        <v>2001</v>
      </c>
      <c r="B2301" s="6" t="s">
        <v>27</v>
      </c>
      <c r="J2301" s="13">
        <v>30313.68</v>
      </c>
      <c r="K2301" s="5">
        <f t="shared" si="71"/>
        <v>30</v>
      </c>
      <c r="P2301" t="str">
        <f t="shared" si="72"/>
        <v>30K</v>
      </c>
    </row>
    <row r="2302" spans="1:16" x14ac:dyDescent="0.35">
      <c r="A2302">
        <v>2008</v>
      </c>
      <c r="B2302" s="7" t="s">
        <v>27</v>
      </c>
      <c r="J2302" s="12">
        <v>43398.25</v>
      </c>
      <c r="K2302" s="5">
        <f t="shared" si="71"/>
        <v>40</v>
      </c>
      <c r="P2302" t="str">
        <f t="shared" si="72"/>
        <v>40K</v>
      </c>
    </row>
    <row r="2303" spans="1:16" x14ac:dyDescent="0.35">
      <c r="A2303">
        <v>2016</v>
      </c>
      <c r="B2303" s="6" t="s">
        <v>29</v>
      </c>
      <c r="J2303" s="13">
        <v>71676.27</v>
      </c>
      <c r="K2303" s="5">
        <f t="shared" si="71"/>
        <v>70</v>
      </c>
      <c r="P2303" t="str">
        <f t="shared" si="72"/>
        <v>70K</v>
      </c>
    </row>
    <row r="2304" spans="1:16" x14ac:dyDescent="0.35">
      <c r="A2304">
        <v>2010</v>
      </c>
      <c r="B2304" s="7" t="s">
        <v>20</v>
      </c>
      <c r="J2304" s="12">
        <v>8686.43</v>
      </c>
      <c r="K2304" s="5">
        <f t="shared" si="71"/>
        <v>10</v>
      </c>
      <c r="P2304" t="str">
        <f t="shared" si="72"/>
        <v>10K</v>
      </c>
    </row>
    <row r="2305" spans="1:16" x14ac:dyDescent="0.35">
      <c r="A2305">
        <v>2009</v>
      </c>
      <c r="B2305" s="6" t="s">
        <v>29</v>
      </c>
      <c r="J2305" s="13">
        <v>95926.8</v>
      </c>
      <c r="K2305" s="5">
        <f t="shared" si="71"/>
        <v>100</v>
      </c>
      <c r="P2305" t="str">
        <f t="shared" si="72"/>
        <v>100K</v>
      </c>
    </row>
    <row r="2306" spans="1:16" x14ac:dyDescent="0.35">
      <c r="A2306">
        <v>2021</v>
      </c>
      <c r="B2306" s="7" t="s">
        <v>20</v>
      </c>
      <c r="J2306" s="12">
        <v>9396.59</v>
      </c>
      <c r="K2306" s="5">
        <f t="shared" si="71"/>
        <v>10</v>
      </c>
      <c r="P2306" t="str">
        <f t="shared" si="72"/>
        <v>10K</v>
      </c>
    </row>
    <row r="2307" spans="1:16" x14ac:dyDescent="0.35">
      <c r="A2307">
        <v>2016</v>
      </c>
      <c r="B2307" s="6" t="s">
        <v>10</v>
      </c>
      <c r="J2307" s="13">
        <v>88719.05</v>
      </c>
      <c r="K2307" s="5">
        <f t="shared" ref="K2307:K2370" si="73">ROUND(J2307/10000,0)*10</f>
        <v>90</v>
      </c>
      <c r="P2307" t="str">
        <f t="shared" ref="P2307:P2370" si="74">TEXT(ROUND(J2307/10000,0)*10,"0") &amp; "K"</f>
        <v>90K</v>
      </c>
    </row>
    <row r="2308" spans="1:16" x14ac:dyDescent="0.35">
      <c r="A2308">
        <v>2003</v>
      </c>
      <c r="B2308" s="7" t="s">
        <v>23</v>
      </c>
      <c r="J2308" s="12">
        <v>89965.92</v>
      </c>
      <c r="K2308" s="5">
        <f t="shared" si="73"/>
        <v>90</v>
      </c>
      <c r="P2308" t="str">
        <f t="shared" si="74"/>
        <v>90K</v>
      </c>
    </row>
    <row r="2309" spans="1:16" x14ac:dyDescent="0.35">
      <c r="A2309">
        <v>2015</v>
      </c>
      <c r="B2309" s="6" t="s">
        <v>10</v>
      </c>
      <c r="J2309" s="13">
        <v>54826.47</v>
      </c>
      <c r="K2309" s="5">
        <f t="shared" si="73"/>
        <v>50</v>
      </c>
      <c r="P2309" t="str">
        <f t="shared" si="74"/>
        <v>50K</v>
      </c>
    </row>
    <row r="2310" spans="1:16" x14ac:dyDescent="0.35">
      <c r="A2310">
        <v>2019</v>
      </c>
      <c r="B2310" s="7" t="s">
        <v>35</v>
      </c>
      <c r="J2310" s="12">
        <v>18014.7</v>
      </c>
      <c r="K2310" s="5">
        <f t="shared" si="73"/>
        <v>20</v>
      </c>
      <c r="P2310" t="str">
        <f t="shared" si="74"/>
        <v>20K</v>
      </c>
    </row>
    <row r="2311" spans="1:16" x14ac:dyDescent="0.35">
      <c r="A2311">
        <v>2014</v>
      </c>
      <c r="B2311" s="6" t="s">
        <v>27</v>
      </c>
      <c r="J2311" s="13">
        <v>58688.87</v>
      </c>
      <c r="K2311" s="5">
        <f t="shared" si="73"/>
        <v>60</v>
      </c>
      <c r="P2311" t="str">
        <f t="shared" si="74"/>
        <v>60K</v>
      </c>
    </row>
    <row r="2312" spans="1:16" x14ac:dyDescent="0.35">
      <c r="A2312">
        <v>2020</v>
      </c>
      <c r="B2312" s="7" t="s">
        <v>20</v>
      </c>
      <c r="J2312" s="12">
        <v>64720.06</v>
      </c>
      <c r="K2312" s="5">
        <f t="shared" si="73"/>
        <v>60</v>
      </c>
      <c r="P2312" t="str">
        <f t="shared" si="74"/>
        <v>60K</v>
      </c>
    </row>
    <row r="2313" spans="1:16" x14ac:dyDescent="0.35">
      <c r="A2313">
        <v>2004</v>
      </c>
      <c r="B2313" s="6" t="s">
        <v>29</v>
      </c>
      <c r="J2313" s="13">
        <v>86487.1</v>
      </c>
      <c r="K2313" s="5">
        <f t="shared" si="73"/>
        <v>90</v>
      </c>
      <c r="P2313" t="str">
        <f t="shared" si="74"/>
        <v>90K</v>
      </c>
    </row>
    <row r="2314" spans="1:16" x14ac:dyDescent="0.35">
      <c r="A2314">
        <v>2005</v>
      </c>
      <c r="B2314" s="7" t="s">
        <v>23</v>
      </c>
      <c r="J2314" s="12">
        <v>57335.06</v>
      </c>
      <c r="K2314" s="5">
        <f t="shared" si="73"/>
        <v>60</v>
      </c>
      <c r="P2314" t="str">
        <f t="shared" si="74"/>
        <v>60K</v>
      </c>
    </row>
    <row r="2315" spans="1:16" x14ac:dyDescent="0.35">
      <c r="A2315">
        <v>2016</v>
      </c>
      <c r="B2315" s="6" t="s">
        <v>20</v>
      </c>
      <c r="J2315" s="13">
        <v>44017.39</v>
      </c>
      <c r="K2315" s="5">
        <f t="shared" si="73"/>
        <v>40</v>
      </c>
      <c r="P2315" t="str">
        <f t="shared" si="74"/>
        <v>40K</v>
      </c>
    </row>
    <row r="2316" spans="1:16" x14ac:dyDescent="0.35">
      <c r="A2316">
        <v>2000</v>
      </c>
      <c r="B2316" s="7" t="s">
        <v>29</v>
      </c>
      <c r="J2316" s="12">
        <v>84637.66</v>
      </c>
      <c r="K2316" s="5">
        <f t="shared" si="73"/>
        <v>80</v>
      </c>
      <c r="P2316" t="str">
        <f t="shared" si="74"/>
        <v>80K</v>
      </c>
    </row>
    <row r="2317" spans="1:16" x14ac:dyDescent="0.35">
      <c r="A2317">
        <v>2018</v>
      </c>
      <c r="B2317" s="6" t="s">
        <v>27</v>
      </c>
      <c r="J2317" s="13">
        <v>98190.42</v>
      </c>
      <c r="K2317" s="5">
        <f t="shared" si="73"/>
        <v>100</v>
      </c>
      <c r="P2317" t="str">
        <f t="shared" si="74"/>
        <v>100K</v>
      </c>
    </row>
    <row r="2318" spans="1:16" x14ac:dyDescent="0.35">
      <c r="A2318">
        <v>2003</v>
      </c>
      <c r="B2318" s="7" t="s">
        <v>10</v>
      </c>
      <c r="J2318" s="12">
        <v>66284.800000000003</v>
      </c>
      <c r="K2318" s="5">
        <f t="shared" si="73"/>
        <v>70</v>
      </c>
      <c r="P2318" t="str">
        <f t="shared" si="74"/>
        <v>70K</v>
      </c>
    </row>
    <row r="2319" spans="1:16" x14ac:dyDescent="0.35">
      <c r="A2319">
        <v>2016</v>
      </c>
      <c r="B2319" s="6" t="s">
        <v>27</v>
      </c>
      <c r="J2319" s="13">
        <v>88066.77</v>
      </c>
      <c r="K2319" s="5">
        <f t="shared" si="73"/>
        <v>90</v>
      </c>
      <c r="P2319" t="str">
        <f t="shared" si="74"/>
        <v>90K</v>
      </c>
    </row>
    <row r="2320" spans="1:16" x14ac:dyDescent="0.35">
      <c r="A2320">
        <v>2008</v>
      </c>
      <c r="B2320" s="7" t="s">
        <v>25</v>
      </c>
      <c r="J2320" s="12">
        <v>61879.839999999997</v>
      </c>
      <c r="K2320" s="5">
        <f t="shared" si="73"/>
        <v>60</v>
      </c>
      <c r="P2320" t="str">
        <f t="shared" si="74"/>
        <v>60K</v>
      </c>
    </row>
    <row r="2321" spans="1:16" x14ac:dyDescent="0.35">
      <c r="A2321">
        <v>2023</v>
      </c>
      <c r="B2321" s="6" t="s">
        <v>35</v>
      </c>
      <c r="J2321" s="13">
        <v>70529.86</v>
      </c>
      <c r="K2321" s="5">
        <f t="shared" si="73"/>
        <v>70</v>
      </c>
      <c r="P2321" t="str">
        <f t="shared" si="74"/>
        <v>70K</v>
      </c>
    </row>
    <row r="2322" spans="1:16" x14ac:dyDescent="0.35">
      <c r="A2322">
        <v>2001</v>
      </c>
      <c r="B2322" s="7" t="s">
        <v>25</v>
      </c>
      <c r="J2322" s="12">
        <v>70375.88</v>
      </c>
      <c r="K2322" s="5">
        <f t="shared" si="73"/>
        <v>70</v>
      </c>
      <c r="P2322" t="str">
        <f t="shared" si="74"/>
        <v>70K</v>
      </c>
    </row>
    <row r="2323" spans="1:16" x14ac:dyDescent="0.35">
      <c r="A2323">
        <v>2007</v>
      </c>
      <c r="B2323" s="6" t="s">
        <v>23</v>
      </c>
      <c r="J2323" s="13">
        <v>71954.759999999995</v>
      </c>
      <c r="K2323" s="5">
        <f t="shared" si="73"/>
        <v>70</v>
      </c>
      <c r="P2323" t="str">
        <f t="shared" si="74"/>
        <v>70K</v>
      </c>
    </row>
    <row r="2324" spans="1:16" x14ac:dyDescent="0.35">
      <c r="A2324">
        <v>2014</v>
      </c>
      <c r="B2324" s="7" t="s">
        <v>20</v>
      </c>
      <c r="J2324" s="12">
        <v>35496.28</v>
      </c>
      <c r="K2324" s="5">
        <f t="shared" si="73"/>
        <v>40</v>
      </c>
      <c r="P2324" t="str">
        <f t="shared" si="74"/>
        <v>40K</v>
      </c>
    </row>
    <row r="2325" spans="1:16" x14ac:dyDescent="0.35">
      <c r="A2325">
        <v>2006</v>
      </c>
      <c r="B2325" s="6" t="s">
        <v>23</v>
      </c>
      <c r="J2325" s="13">
        <v>59687.83</v>
      </c>
      <c r="K2325" s="5">
        <f t="shared" si="73"/>
        <v>60</v>
      </c>
      <c r="P2325" t="str">
        <f t="shared" si="74"/>
        <v>60K</v>
      </c>
    </row>
    <row r="2326" spans="1:16" x14ac:dyDescent="0.35">
      <c r="A2326">
        <v>2005</v>
      </c>
      <c r="B2326" s="7" t="s">
        <v>10</v>
      </c>
      <c r="J2326" s="12">
        <v>61442.879999999997</v>
      </c>
      <c r="K2326" s="5">
        <f t="shared" si="73"/>
        <v>60</v>
      </c>
      <c r="P2326" t="str">
        <f t="shared" si="74"/>
        <v>60K</v>
      </c>
    </row>
    <row r="2327" spans="1:16" x14ac:dyDescent="0.35">
      <c r="A2327">
        <v>2000</v>
      </c>
      <c r="B2327" s="6" t="s">
        <v>29</v>
      </c>
      <c r="J2327" s="13">
        <v>34931.800000000003</v>
      </c>
      <c r="K2327" s="5">
        <f t="shared" si="73"/>
        <v>30</v>
      </c>
      <c r="P2327" t="str">
        <f t="shared" si="74"/>
        <v>30K</v>
      </c>
    </row>
    <row r="2328" spans="1:16" x14ac:dyDescent="0.35">
      <c r="A2328">
        <v>2014</v>
      </c>
      <c r="B2328" s="7" t="s">
        <v>27</v>
      </c>
      <c r="J2328" s="12">
        <v>38235.97</v>
      </c>
      <c r="K2328" s="5">
        <f t="shared" si="73"/>
        <v>40</v>
      </c>
      <c r="P2328" t="str">
        <f t="shared" si="74"/>
        <v>40K</v>
      </c>
    </row>
    <row r="2329" spans="1:16" x14ac:dyDescent="0.35">
      <c r="A2329">
        <v>2022</v>
      </c>
      <c r="B2329" s="6" t="s">
        <v>25</v>
      </c>
      <c r="J2329" s="13">
        <v>77413.440000000002</v>
      </c>
      <c r="K2329" s="5">
        <f t="shared" si="73"/>
        <v>80</v>
      </c>
      <c r="P2329" t="str">
        <f t="shared" si="74"/>
        <v>80K</v>
      </c>
    </row>
    <row r="2330" spans="1:16" x14ac:dyDescent="0.35">
      <c r="A2330">
        <v>2006</v>
      </c>
      <c r="B2330" s="7" t="s">
        <v>25</v>
      </c>
      <c r="J2330" s="12">
        <v>60358.76</v>
      </c>
      <c r="K2330" s="5">
        <f t="shared" si="73"/>
        <v>60</v>
      </c>
      <c r="P2330" t="str">
        <f t="shared" si="74"/>
        <v>60K</v>
      </c>
    </row>
    <row r="2331" spans="1:16" x14ac:dyDescent="0.35">
      <c r="A2331">
        <v>2016</v>
      </c>
      <c r="B2331" s="6" t="s">
        <v>10</v>
      </c>
      <c r="J2331" s="13">
        <v>19175.060000000001</v>
      </c>
      <c r="K2331" s="5">
        <f t="shared" si="73"/>
        <v>20</v>
      </c>
      <c r="P2331" t="str">
        <f t="shared" si="74"/>
        <v>20K</v>
      </c>
    </row>
    <row r="2332" spans="1:16" x14ac:dyDescent="0.35">
      <c r="A2332">
        <v>2001</v>
      </c>
      <c r="B2332" s="7" t="s">
        <v>25</v>
      </c>
      <c r="J2332" s="12">
        <v>84575.51</v>
      </c>
      <c r="K2332" s="5">
        <f t="shared" si="73"/>
        <v>80</v>
      </c>
      <c r="P2332" t="str">
        <f t="shared" si="74"/>
        <v>80K</v>
      </c>
    </row>
    <row r="2333" spans="1:16" x14ac:dyDescent="0.35">
      <c r="A2333">
        <v>2008</v>
      </c>
      <c r="B2333" s="6" t="s">
        <v>10</v>
      </c>
      <c r="J2333" s="13">
        <v>88895.86</v>
      </c>
      <c r="K2333" s="5">
        <f t="shared" si="73"/>
        <v>90</v>
      </c>
      <c r="P2333" t="str">
        <f t="shared" si="74"/>
        <v>90K</v>
      </c>
    </row>
    <row r="2334" spans="1:16" x14ac:dyDescent="0.35">
      <c r="A2334">
        <v>2008</v>
      </c>
      <c r="B2334" s="7" t="s">
        <v>23</v>
      </c>
      <c r="J2334" s="12">
        <v>49283.41</v>
      </c>
      <c r="K2334" s="5">
        <f t="shared" si="73"/>
        <v>50</v>
      </c>
      <c r="P2334" t="str">
        <f t="shared" si="74"/>
        <v>50K</v>
      </c>
    </row>
    <row r="2335" spans="1:16" x14ac:dyDescent="0.35">
      <c r="A2335">
        <v>2012</v>
      </c>
      <c r="B2335" s="6" t="s">
        <v>27</v>
      </c>
      <c r="J2335" s="13">
        <v>24846.21</v>
      </c>
      <c r="K2335" s="5">
        <f t="shared" si="73"/>
        <v>20</v>
      </c>
      <c r="P2335" t="str">
        <f t="shared" si="74"/>
        <v>20K</v>
      </c>
    </row>
    <row r="2336" spans="1:16" x14ac:dyDescent="0.35">
      <c r="A2336">
        <v>2005</v>
      </c>
      <c r="B2336" s="7" t="s">
        <v>20</v>
      </c>
      <c r="J2336" s="12">
        <v>95022.62</v>
      </c>
      <c r="K2336" s="5">
        <f t="shared" si="73"/>
        <v>100</v>
      </c>
      <c r="P2336" t="str">
        <f t="shared" si="74"/>
        <v>100K</v>
      </c>
    </row>
    <row r="2337" spans="1:16" x14ac:dyDescent="0.35">
      <c r="A2337">
        <v>2005</v>
      </c>
      <c r="B2337" s="6" t="s">
        <v>29</v>
      </c>
      <c r="J2337" s="13">
        <v>88815.61</v>
      </c>
      <c r="K2337" s="5">
        <f t="shared" si="73"/>
        <v>90</v>
      </c>
      <c r="P2337" t="str">
        <f t="shared" si="74"/>
        <v>90K</v>
      </c>
    </row>
    <row r="2338" spans="1:16" x14ac:dyDescent="0.35">
      <c r="A2338">
        <v>2019</v>
      </c>
      <c r="B2338" s="7" t="s">
        <v>20</v>
      </c>
      <c r="J2338" s="12">
        <v>28216.27</v>
      </c>
      <c r="K2338" s="5">
        <f t="shared" si="73"/>
        <v>30</v>
      </c>
      <c r="P2338" t="str">
        <f t="shared" si="74"/>
        <v>30K</v>
      </c>
    </row>
    <row r="2339" spans="1:16" x14ac:dyDescent="0.35">
      <c r="A2339">
        <v>2019</v>
      </c>
      <c r="B2339" s="6" t="s">
        <v>23</v>
      </c>
      <c r="J2339" s="13">
        <v>14081.4</v>
      </c>
      <c r="K2339" s="5">
        <f t="shared" si="73"/>
        <v>10</v>
      </c>
      <c r="P2339" t="str">
        <f t="shared" si="74"/>
        <v>10K</v>
      </c>
    </row>
    <row r="2340" spans="1:16" x14ac:dyDescent="0.35">
      <c r="A2340">
        <v>2020</v>
      </c>
      <c r="B2340" s="7" t="s">
        <v>29</v>
      </c>
      <c r="J2340" s="12">
        <v>46862.09</v>
      </c>
      <c r="K2340" s="5">
        <f t="shared" si="73"/>
        <v>50</v>
      </c>
      <c r="P2340" t="str">
        <f t="shared" si="74"/>
        <v>50K</v>
      </c>
    </row>
    <row r="2341" spans="1:16" x14ac:dyDescent="0.35">
      <c r="A2341">
        <v>2002</v>
      </c>
      <c r="B2341" s="6" t="s">
        <v>25</v>
      </c>
      <c r="J2341" s="13">
        <v>69257.710000000006</v>
      </c>
      <c r="K2341" s="5">
        <f t="shared" si="73"/>
        <v>70</v>
      </c>
      <c r="P2341" t="str">
        <f t="shared" si="74"/>
        <v>70K</v>
      </c>
    </row>
    <row r="2342" spans="1:16" x14ac:dyDescent="0.35">
      <c r="A2342">
        <v>2016</v>
      </c>
      <c r="B2342" s="7" t="s">
        <v>35</v>
      </c>
      <c r="J2342" s="12">
        <v>21661.919999999998</v>
      </c>
      <c r="K2342" s="5">
        <f t="shared" si="73"/>
        <v>20</v>
      </c>
      <c r="P2342" t="str">
        <f t="shared" si="74"/>
        <v>20K</v>
      </c>
    </row>
    <row r="2343" spans="1:16" x14ac:dyDescent="0.35">
      <c r="A2343">
        <v>2016</v>
      </c>
      <c r="B2343" s="6" t="s">
        <v>23</v>
      </c>
      <c r="J2343" s="13">
        <v>53755.199999999997</v>
      </c>
      <c r="K2343" s="5">
        <f t="shared" si="73"/>
        <v>50</v>
      </c>
      <c r="P2343" t="str">
        <f t="shared" si="74"/>
        <v>50K</v>
      </c>
    </row>
    <row r="2344" spans="1:16" x14ac:dyDescent="0.35">
      <c r="A2344">
        <v>2011</v>
      </c>
      <c r="B2344" s="7" t="s">
        <v>23</v>
      </c>
      <c r="J2344" s="12">
        <v>45414.47</v>
      </c>
      <c r="K2344" s="5">
        <f t="shared" si="73"/>
        <v>50</v>
      </c>
      <c r="P2344" t="str">
        <f t="shared" si="74"/>
        <v>50K</v>
      </c>
    </row>
    <row r="2345" spans="1:16" x14ac:dyDescent="0.35">
      <c r="A2345">
        <v>2015</v>
      </c>
      <c r="B2345" s="6" t="s">
        <v>27</v>
      </c>
      <c r="J2345" s="13">
        <v>89602.36</v>
      </c>
      <c r="K2345" s="5">
        <f t="shared" si="73"/>
        <v>90</v>
      </c>
      <c r="P2345" t="str">
        <f t="shared" si="74"/>
        <v>90K</v>
      </c>
    </row>
    <row r="2346" spans="1:16" x14ac:dyDescent="0.35">
      <c r="A2346">
        <v>2014</v>
      </c>
      <c r="B2346" s="7" t="s">
        <v>20</v>
      </c>
      <c r="J2346" s="12">
        <v>45808.83</v>
      </c>
      <c r="K2346" s="5">
        <f t="shared" si="73"/>
        <v>50</v>
      </c>
      <c r="P2346" t="str">
        <f t="shared" si="74"/>
        <v>50K</v>
      </c>
    </row>
    <row r="2347" spans="1:16" x14ac:dyDescent="0.35">
      <c r="A2347">
        <v>2012</v>
      </c>
      <c r="B2347" s="6" t="s">
        <v>23</v>
      </c>
      <c r="J2347" s="13">
        <v>55708.76</v>
      </c>
      <c r="K2347" s="5">
        <f t="shared" si="73"/>
        <v>60</v>
      </c>
      <c r="P2347" t="str">
        <f t="shared" si="74"/>
        <v>60K</v>
      </c>
    </row>
    <row r="2348" spans="1:16" x14ac:dyDescent="0.35">
      <c r="A2348">
        <v>2022</v>
      </c>
      <c r="B2348" s="7" t="s">
        <v>23</v>
      </c>
      <c r="J2348" s="12">
        <v>95752.19</v>
      </c>
      <c r="K2348" s="5">
        <f t="shared" si="73"/>
        <v>100</v>
      </c>
      <c r="P2348" t="str">
        <f t="shared" si="74"/>
        <v>100K</v>
      </c>
    </row>
    <row r="2349" spans="1:16" x14ac:dyDescent="0.35">
      <c r="A2349">
        <v>2000</v>
      </c>
      <c r="B2349" s="6" t="s">
        <v>25</v>
      </c>
      <c r="J2349" s="13">
        <v>33470.720000000001</v>
      </c>
      <c r="K2349" s="5">
        <f t="shared" si="73"/>
        <v>30</v>
      </c>
      <c r="P2349" t="str">
        <f t="shared" si="74"/>
        <v>30K</v>
      </c>
    </row>
    <row r="2350" spans="1:16" x14ac:dyDescent="0.35">
      <c r="A2350">
        <v>2016</v>
      </c>
      <c r="B2350" s="7" t="s">
        <v>25</v>
      </c>
      <c r="J2350" s="12">
        <v>32454.14</v>
      </c>
      <c r="K2350" s="5">
        <f t="shared" si="73"/>
        <v>30</v>
      </c>
      <c r="P2350" t="str">
        <f t="shared" si="74"/>
        <v>30K</v>
      </c>
    </row>
    <row r="2351" spans="1:16" x14ac:dyDescent="0.35">
      <c r="A2351">
        <v>2002</v>
      </c>
      <c r="B2351" s="6" t="s">
        <v>29</v>
      </c>
      <c r="J2351" s="13">
        <v>80961.53</v>
      </c>
      <c r="K2351" s="5">
        <f t="shared" si="73"/>
        <v>80</v>
      </c>
      <c r="P2351" t="str">
        <f t="shared" si="74"/>
        <v>80K</v>
      </c>
    </row>
    <row r="2352" spans="1:16" x14ac:dyDescent="0.35">
      <c r="A2352">
        <v>2014</v>
      </c>
      <c r="B2352" s="7" t="s">
        <v>10</v>
      </c>
      <c r="J2352" s="12">
        <v>31366.2</v>
      </c>
      <c r="K2352" s="5">
        <f t="shared" si="73"/>
        <v>30</v>
      </c>
      <c r="P2352" t="str">
        <f t="shared" si="74"/>
        <v>30K</v>
      </c>
    </row>
    <row r="2353" spans="1:16" x14ac:dyDescent="0.35">
      <c r="A2353">
        <v>2003</v>
      </c>
      <c r="B2353" s="6" t="s">
        <v>10</v>
      </c>
      <c r="J2353" s="13">
        <v>84027.26</v>
      </c>
      <c r="K2353" s="5">
        <f t="shared" si="73"/>
        <v>80</v>
      </c>
      <c r="P2353" t="str">
        <f t="shared" si="74"/>
        <v>80K</v>
      </c>
    </row>
    <row r="2354" spans="1:16" x14ac:dyDescent="0.35">
      <c r="A2354">
        <v>2003</v>
      </c>
      <c r="B2354" s="7" t="s">
        <v>35</v>
      </c>
      <c r="J2354" s="12">
        <v>14075.88</v>
      </c>
      <c r="K2354" s="5">
        <f t="shared" si="73"/>
        <v>10</v>
      </c>
      <c r="P2354" t="str">
        <f t="shared" si="74"/>
        <v>10K</v>
      </c>
    </row>
    <row r="2355" spans="1:16" x14ac:dyDescent="0.35">
      <c r="A2355">
        <v>2017</v>
      </c>
      <c r="B2355" s="6" t="s">
        <v>10</v>
      </c>
      <c r="J2355" s="13">
        <v>15569.82</v>
      </c>
      <c r="K2355" s="5">
        <f t="shared" si="73"/>
        <v>20</v>
      </c>
      <c r="P2355" t="str">
        <f t="shared" si="74"/>
        <v>20K</v>
      </c>
    </row>
    <row r="2356" spans="1:16" x14ac:dyDescent="0.35">
      <c r="A2356">
        <v>2016</v>
      </c>
      <c r="B2356" s="7" t="s">
        <v>27</v>
      </c>
      <c r="J2356" s="12">
        <v>90625.72</v>
      </c>
      <c r="K2356" s="5">
        <f t="shared" si="73"/>
        <v>90</v>
      </c>
      <c r="P2356" t="str">
        <f t="shared" si="74"/>
        <v>90K</v>
      </c>
    </row>
    <row r="2357" spans="1:16" x14ac:dyDescent="0.35">
      <c r="A2357">
        <v>2018</v>
      </c>
      <c r="B2357" s="6" t="s">
        <v>35</v>
      </c>
      <c r="J2357" s="13">
        <v>56377.17</v>
      </c>
      <c r="K2357" s="5">
        <f t="shared" si="73"/>
        <v>60</v>
      </c>
      <c r="P2357" t="str">
        <f t="shared" si="74"/>
        <v>60K</v>
      </c>
    </row>
    <row r="2358" spans="1:16" x14ac:dyDescent="0.35">
      <c r="A2358">
        <v>2010</v>
      </c>
      <c r="B2358" s="7" t="s">
        <v>29</v>
      </c>
      <c r="J2358" s="12">
        <v>73287.360000000001</v>
      </c>
      <c r="K2358" s="5">
        <f t="shared" si="73"/>
        <v>70</v>
      </c>
      <c r="P2358" t="str">
        <f t="shared" si="74"/>
        <v>70K</v>
      </c>
    </row>
    <row r="2359" spans="1:16" x14ac:dyDescent="0.35">
      <c r="A2359">
        <v>2019</v>
      </c>
      <c r="B2359" s="6" t="s">
        <v>25</v>
      </c>
      <c r="J2359" s="13">
        <v>26402.44</v>
      </c>
      <c r="K2359" s="5">
        <f t="shared" si="73"/>
        <v>30</v>
      </c>
      <c r="P2359" t="str">
        <f t="shared" si="74"/>
        <v>30K</v>
      </c>
    </row>
    <row r="2360" spans="1:16" x14ac:dyDescent="0.35">
      <c r="A2360">
        <v>2002</v>
      </c>
      <c r="B2360" s="7" t="s">
        <v>10</v>
      </c>
      <c r="J2360" s="12">
        <v>20796.060000000001</v>
      </c>
      <c r="K2360" s="5">
        <f t="shared" si="73"/>
        <v>20</v>
      </c>
      <c r="P2360" t="str">
        <f t="shared" si="74"/>
        <v>20K</v>
      </c>
    </row>
    <row r="2361" spans="1:16" x14ac:dyDescent="0.35">
      <c r="A2361">
        <v>2007</v>
      </c>
      <c r="B2361" s="6" t="s">
        <v>20</v>
      </c>
      <c r="J2361" s="13">
        <v>84320.65</v>
      </c>
      <c r="K2361" s="5">
        <f t="shared" si="73"/>
        <v>80</v>
      </c>
      <c r="P2361" t="str">
        <f t="shared" si="74"/>
        <v>80K</v>
      </c>
    </row>
    <row r="2362" spans="1:16" x14ac:dyDescent="0.35">
      <c r="A2362">
        <v>2013</v>
      </c>
      <c r="B2362" s="7" t="s">
        <v>25</v>
      </c>
      <c r="J2362" s="12">
        <v>39069.22</v>
      </c>
      <c r="K2362" s="5">
        <f t="shared" si="73"/>
        <v>40</v>
      </c>
      <c r="P2362" t="str">
        <f t="shared" si="74"/>
        <v>40K</v>
      </c>
    </row>
    <row r="2363" spans="1:16" x14ac:dyDescent="0.35">
      <c r="A2363">
        <v>2000</v>
      </c>
      <c r="B2363" s="6" t="s">
        <v>27</v>
      </c>
      <c r="J2363" s="13">
        <v>48228.1</v>
      </c>
      <c r="K2363" s="5">
        <f t="shared" si="73"/>
        <v>50</v>
      </c>
      <c r="P2363" t="str">
        <f t="shared" si="74"/>
        <v>50K</v>
      </c>
    </row>
    <row r="2364" spans="1:16" x14ac:dyDescent="0.35">
      <c r="A2364">
        <v>2013</v>
      </c>
      <c r="B2364" s="7" t="s">
        <v>25</v>
      </c>
      <c r="J2364" s="12">
        <v>7657.33</v>
      </c>
      <c r="K2364" s="5">
        <f t="shared" si="73"/>
        <v>10</v>
      </c>
      <c r="P2364" t="str">
        <f t="shared" si="74"/>
        <v>10K</v>
      </c>
    </row>
    <row r="2365" spans="1:16" x14ac:dyDescent="0.35">
      <c r="A2365">
        <v>2001</v>
      </c>
      <c r="B2365" s="6" t="s">
        <v>27</v>
      </c>
      <c r="J2365" s="13">
        <v>41658.67</v>
      </c>
      <c r="K2365" s="5">
        <f t="shared" si="73"/>
        <v>40</v>
      </c>
      <c r="P2365" t="str">
        <f t="shared" si="74"/>
        <v>40K</v>
      </c>
    </row>
    <row r="2366" spans="1:16" x14ac:dyDescent="0.35">
      <c r="A2366">
        <v>2022</v>
      </c>
      <c r="B2366" s="7" t="s">
        <v>27</v>
      </c>
      <c r="J2366" s="12">
        <v>78191.59</v>
      </c>
      <c r="K2366" s="5">
        <f t="shared" si="73"/>
        <v>80</v>
      </c>
      <c r="P2366" t="str">
        <f t="shared" si="74"/>
        <v>80K</v>
      </c>
    </row>
    <row r="2367" spans="1:16" x14ac:dyDescent="0.35">
      <c r="A2367">
        <v>2003</v>
      </c>
      <c r="B2367" s="6" t="s">
        <v>27</v>
      </c>
      <c r="J2367" s="13">
        <v>83021.14</v>
      </c>
      <c r="K2367" s="5">
        <f t="shared" si="73"/>
        <v>80</v>
      </c>
      <c r="P2367" t="str">
        <f t="shared" si="74"/>
        <v>80K</v>
      </c>
    </row>
    <row r="2368" spans="1:16" x14ac:dyDescent="0.35">
      <c r="A2368">
        <v>2023</v>
      </c>
      <c r="B2368" s="7" t="s">
        <v>29</v>
      </c>
      <c r="J2368" s="12">
        <v>71381.7</v>
      </c>
      <c r="K2368" s="5">
        <f t="shared" si="73"/>
        <v>70</v>
      </c>
      <c r="P2368" t="str">
        <f t="shared" si="74"/>
        <v>70K</v>
      </c>
    </row>
    <row r="2369" spans="1:16" x14ac:dyDescent="0.35">
      <c r="A2369">
        <v>2018</v>
      </c>
      <c r="B2369" s="6" t="s">
        <v>27</v>
      </c>
      <c r="J2369" s="13">
        <v>70757.070000000007</v>
      </c>
      <c r="K2369" s="5">
        <f t="shared" si="73"/>
        <v>70</v>
      </c>
      <c r="P2369" t="str">
        <f t="shared" si="74"/>
        <v>70K</v>
      </c>
    </row>
    <row r="2370" spans="1:16" x14ac:dyDescent="0.35">
      <c r="A2370">
        <v>2005</v>
      </c>
      <c r="B2370" s="7" t="s">
        <v>27</v>
      </c>
      <c r="J2370" s="12">
        <v>53092.73</v>
      </c>
      <c r="K2370" s="5">
        <f t="shared" si="73"/>
        <v>50</v>
      </c>
      <c r="P2370" t="str">
        <f t="shared" si="74"/>
        <v>50K</v>
      </c>
    </row>
    <row r="2371" spans="1:16" x14ac:dyDescent="0.35">
      <c r="A2371">
        <v>2000</v>
      </c>
      <c r="B2371" s="6" t="s">
        <v>20</v>
      </c>
      <c r="J2371" s="13">
        <v>56141.29</v>
      </c>
      <c r="K2371" s="5">
        <f t="shared" ref="K2371:K2434" si="75">ROUND(J2371/10000,0)*10</f>
        <v>60</v>
      </c>
      <c r="P2371" t="str">
        <f t="shared" ref="P2371:P2434" si="76">TEXT(ROUND(J2371/10000,0)*10,"0") &amp; "K"</f>
        <v>60K</v>
      </c>
    </row>
    <row r="2372" spans="1:16" x14ac:dyDescent="0.35">
      <c r="A2372">
        <v>2016</v>
      </c>
      <c r="B2372" s="7" t="s">
        <v>35</v>
      </c>
      <c r="J2372" s="12">
        <v>75550.02</v>
      </c>
      <c r="K2372" s="5">
        <f t="shared" si="75"/>
        <v>80</v>
      </c>
      <c r="P2372" t="str">
        <f t="shared" si="76"/>
        <v>80K</v>
      </c>
    </row>
    <row r="2373" spans="1:16" x14ac:dyDescent="0.35">
      <c r="A2373">
        <v>2007</v>
      </c>
      <c r="B2373" s="6" t="s">
        <v>23</v>
      </c>
      <c r="J2373" s="13">
        <v>28493.67</v>
      </c>
      <c r="K2373" s="5">
        <f t="shared" si="75"/>
        <v>30</v>
      </c>
      <c r="P2373" t="str">
        <f t="shared" si="76"/>
        <v>30K</v>
      </c>
    </row>
    <row r="2374" spans="1:16" x14ac:dyDescent="0.35">
      <c r="A2374">
        <v>2018</v>
      </c>
      <c r="B2374" s="7" t="s">
        <v>35</v>
      </c>
      <c r="J2374" s="12">
        <v>26994.12</v>
      </c>
      <c r="K2374" s="5">
        <f t="shared" si="75"/>
        <v>30</v>
      </c>
      <c r="P2374" t="str">
        <f t="shared" si="76"/>
        <v>30K</v>
      </c>
    </row>
    <row r="2375" spans="1:16" x14ac:dyDescent="0.35">
      <c r="A2375">
        <v>2020</v>
      </c>
      <c r="B2375" s="6" t="s">
        <v>27</v>
      </c>
      <c r="J2375" s="13">
        <v>95242.86</v>
      </c>
      <c r="K2375" s="5">
        <f t="shared" si="75"/>
        <v>100</v>
      </c>
      <c r="P2375" t="str">
        <f t="shared" si="76"/>
        <v>100K</v>
      </c>
    </row>
    <row r="2376" spans="1:16" x14ac:dyDescent="0.35">
      <c r="A2376">
        <v>2000</v>
      </c>
      <c r="B2376" s="7" t="s">
        <v>20</v>
      </c>
      <c r="J2376" s="12">
        <v>7630.54</v>
      </c>
      <c r="K2376" s="5">
        <f t="shared" si="75"/>
        <v>10</v>
      </c>
      <c r="P2376" t="str">
        <f t="shared" si="76"/>
        <v>10K</v>
      </c>
    </row>
    <row r="2377" spans="1:16" x14ac:dyDescent="0.35">
      <c r="A2377">
        <v>2004</v>
      </c>
      <c r="B2377" s="6" t="s">
        <v>25</v>
      </c>
      <c r="J2377" s="13">
        <v>18249.22</v>
      </c>
      <c r="K2377" s="5">
        <f t="shared" si="75"/>
        <v>20</v>
      </c>
      <c r="P2377" t="str">
        <f t="shared" si="76"/>
        <v>20K</v>
      </c>
    </row>
    <row r="2378" spans="1:16" x14ac:dyDescent="0.35">
      <c r="A2378">
        <v>2015</v>
      </c>
      <c r="B2378" s="7" t="s">
        <v>20</v>
      </c>
      <c r="J2378" s="12">
        <v>59181.58</v>
      </c>
      <c r="K2378" s="5">
        <f t="shared" si="75"/>
        <v>60</v>
      </c>
      <c r="P2378" t="str">
        <f t="shared" si="76"/>
        <v>60K</v>
      </c>
    </row>
    <row r="2379" spans="1:16" x14ac:dyDescent="0.35">
      <c r="A2379">
        <v>2005</v>
      </c>
      <c r="B2379" s="6" t="s">
        <v>27</v>
      </c>
      <c r="J2379" s="13">
        <v>75094.31</v>
      </c>
      <c r="K2379" s="5">
        <f t="shared" si="75"/>
        <v>80</v>
      </c>
      <c r="P2379" t="str">
        <f t="shared" si="76"/>
        <v>80K</v>
      </c>
    </row>
    <row r="2380" spans="1:16" x14ac:dyDescent="0.35">
      <c r="A2380">
        <v>2007</v>
      </c>
      <c r="B2380" s="7" t="s">
        <v>20</v>
      </c>
      <c r="J2380" s="12">
        <v>56099.65</v>
      </c>
      <c r="K2380" s="5">
        <f t="shared" si="75"/>
        <v>60</v>
      </c>
      <c r="P2380" t="str">
        <f t="shared" si="76"/>
        <v>60K</v>
      </c>
    </row>
    <row r="2381" spans="1:16" x14ac:dyDescent="0.35">
      <c r="A2381">
        <v>2012</v>
      </c>
      <c r="B2381" s="6" t="s">
        <v>10</v>
      </c>
      <c r="J2381" s="13">
        <v>38731.08</v>
      </c>
      <c r="K2381" s="5">
        <f t="shared" si="75"/>
        <v>40</v>
      </c>
      <c r="P2381" t="str">
        <f t="shared" si="76"/>
        <v>40K</v>
      </c>
    </row>
    <row r="2382" spans="1:16" x14ac:dyDescent="0.35">
      <c r="A2382">
        <v>2015</v>
      </c>
      <c r="B2382" s="7" t="s">
        <v>20</v>
      </c>
      <c r="J2382" s="12">
        <v>97907.73</v>
      </c>
      <c r="K2382" s="5">
        <f t="shared" si="75"/>
        <v>100</v>
      </c>
      <c r="P2382" t="str">
        <f t="shared" si="76"/>
        <v>100K</v>
      </c>
    </row>
    <row r="2383" spans="1:16" x14ac:dyDescent="0.35">
      <c r="A2383">
        <v>2002</v>
      </c>
      <c r="B2383" s="6" t="s">
        <v>27</v>
      </c>
      <c r="J2383" s="13">
        <v>71866.009999999995</v>
      </c>
      <c r="K2383" s="5">
        <f t="shared" si="75"/>
        <v>70</v>
      </c>
      <c r="P2383" t="str">
        <f t="shared" si="76"/>
        <v>70K</v>
      </c>
    </row>
    <row r="2384" spans="1:16" x14ac:dyDescent="0.35">
      <c r="A2384">
        <v>2018</v>
      </c>
      <c r="B2384" s="7" t="s">
        <v>29</v>
      </c>
      <c r="J2384" s="12">
        <v>83982.13</v>
      </c>
      <c r="K2384" s="5">
        <f t="shared" si="75"/>
        <v>80</v>
      </c>
      <c r="P2384" t="str">
        <f t="shared" si="76"/>
        <v>80K</v>
      </c>
    </row>
    <row r="2385" spans="1:16" x14ac:dyDescent="0.35">
      <c r="A2385">
        <v>2011</v>
      </c>
      <c r="B2385" s="6" t="s">
        <v>10</v>
      </c>
      <c r="J2385" s="13">
        <v>8823.4500000000007</v>
      </c>
      <c r="K2385" s="5">
        <f t="shared" si="75"/>
        <v>10</v>
      </c>
      <c r="P2385" t="str">
        <f t="shared" si="76"/>
        <v>10K</v>
      </c>
    </row>
    <row r="2386" spans="1:16" x14ac:dyDescent="0.35">
      <c r="A2386">
        <v>2015</v>
      </c>
      <c r="B2386" s="7" t="s">
        <v>20</v>
      </c>
      <c r="J2386" s="12">
        <v>27412.41</v>
      </c>
      <c r="K2386" s="5">
        <f t="shared" si="75"/>
        <v>30</v>
      </c>
      <c r="P2386" t="str">
        <f t="shared" si="76"/>
        <v>30K</v>
      </c>
    </row>
    <row r="2387" spans="1:16" x14ac:dyDescent="0.35">
      <c r="A2387">
        <v>2010</v>
      </c>
      <c r="B2387" s="6" t="s">
        <v>23</v>
      </c>
      <c r="J2387" s="13">
        <v>40546.25</v>
      </c>
      <c r="K2387" s="5">
        <f t="shared" si="75"/>
        <v>40</v>
      </c>
      <c r="P2387" t="str">
        <f t="shared" si="76"/>
        <v>40K</v>
      </c>
    </row>
    <row r="2388" spans="1:16" x14ac:dyDescent="0.35">
      <c r="A2388">
        <v>2009</v>
      </c>
      <c r="B2388" s="7" t="s">
        <v>23</v>
      </c>
      <c r="J2388" s="12">
        <v>22347.13</v>
      </c>
      <c r="K2388" s="5">
        <f t="shared" si="75"/>
        <v>20</v>
      </c>
      <c r="P2388" t="str">
        <f t="shared" si="76"/>
        <v>20K</v>
      </c>
    </row>
    <row r="2389" spans="1:16" x14ac:dyDescent="0.35">
      <c r="A2389">
        <v>2019</v>
      </c>
      <c r="B2389" s="6" t="s">
        <v>20</v>
      </c>
      <c r="J2389" s="13">
        <v>11925.43</v>
      </c>
      <c r="K2389" s="5">
        <f t="shared" si="75"/>
        <v>10</v>
      </c>
      <c r="P2389" t="str">
        <f t="shared" si="76"/>
        <v>10K</v>
      </c>
    </row>
    <row r="2390" spans="1:16" x14ac:dyDescent="0.35">
      <c r="A2390">
        <v>2003</v>
      </c>
      <c r="B2390" s="7" t="s">
        <v>29</v>
      </c>
      <c r="J2390" s="12">
        <v>26383.71</v>
      </c>
      <c r="K2390" s="5">
        <f t="shared" si="75"/>
        <v>30</v>
      </c>
      <c r="P2390" t="str">
        <f t="shared" si="76"/>
        <v>30K</v>
      </c>
    </row>
    <row r="2391" spans="1:16" x14ac:dyDescent="0.35">
      <c r="A2391">
        <v>2011</v>
      </c>
      <c r="B2391" s="6" t="s">
        <v>25</v>
      </c>
      <c r="J2391" s="13">
        <v>55695.38</v>
      </c>
      <c r="K2391" s="5">
        <f t="shared" si="75"/>
        <v>60</v>
      </c>
      <c r="P2391" t="str">
        <f t="shared" si="76"/>
        <v>60K</v>
      </c>
    </row>
    <row r="2392" spans="1:16" x14ac:dyDescent="0.35">
      <c r="A2392">
        <v>2022</v>
      </c>
      <c r="B2392" s="7" t="s">
        <v>27</v>
      </c>
      <c r="J2392" s="12">
        <v>71095.8</v>
      </c>
      <c r="K2392" s="5">
        <f t="shared" si="75"/>
        <v>70</v>
      </c>
      <c r="P2392" t="str">
        <f t="shared" si="76"/>
        <v>70K</v>
      </c>
    </row>
    <row r="2393" spans="1:16" x14ac:dyDescent="0.35">
      <c r="A2393">
        <v>2001</v>
      </c>
      <c r="B2393" s="6" t="s">
        <v>23</v>
      </c>
      <c r="J2393" s="13">
        <v>78531.990000000005</v>
      </c>
      <c r="K2393" s="5">
        <f t="shared" si="75"/>
        <v>80</v>
      </c>
      <c r="P2393" t="str">
        <f t="shared" si="76"/>
        <v>80K</v>
      </c>
    </row>
    <row r="2394" spans="1:16" x14ac:dyDescent="0.35">
      <c r="A2394">
        <v>2023</v>
      </c>
      <c r="B2394" s="7" t="s">
        <v>25</v>
      </c>
      <c r="J2394" s="12">
        <v>9078.93</v>
      </c>
      <c r="K2394" s="5">
        <f t="shared" si="75"/>
        <v>10</v>
      </c>
      <c r="P2394" t="str">
        <f t="shared" si="76"/>
        <v>10K</v>
      </c>
    </row>
    <row r="2395" spans="1:16" x14ac:dyDescent="0.35">
      <c r="A2395">
        <v>2021</v>
      </c>
      <c r="B2395" s="6" t="s">
        <v>20</v>
      </c>
      <c r="J2395" s="13">
        <v>45658.69</v>
      </c>
      <c r="K2395" s="5">
        <f t="shared" si="75"/>
        <v>50</v>
      </c>
      <c r="P2395" t="str">
        <f t="shared" si="76"/>
        <v>50K</v>
      </c>
    </row>
    <row r="2396" spans="1:16" x14ac:dyDescent="0.35">
      <c r="A2396">
        <v>2018</v>
      </c>
      <c r="B2396" s="7" t="s">
        <v>25</v>
      </c>
      <c r="J2396" s="12">
        <v>16610.099999999999</v>
      </c>
      <c r="K2396" s="5">
        <f t="shared" si="75"/>
        <v>20</v>
      </c>
      <c r="P2396" t="str">
        <f t="shared" si="76"/>
        <v>20K</v>
      </c>
    </row>
    <row r="2397" spans="1:16" x14ac:dyDescent="0.35">
      <c r="A2397">
        <v>2004</v>
      </c>
      <c r="B2397" s="6" t="s">
        <v>10</v>
      </c>
      <c r="J2397" s="13">
        <v>45964.04</v>
      </c>
      <c r="K2397" s="5">
        <f t="shared" si="75"/>
        <v>50</v>
      </c>
      <c r="P2397" t="str">
        <f t="shared" si="76"/>
        <v>50K</v>
      </c>
    </row>
    <row r="2398" spans="1:16" x14ac:dyDescent="0.35">
      <c r="A2398">
        <v>2007</v>
      </c>
      <c r="B2398" s="7" t="s">
        <v>35</v>
      </c>
      <c r="J2398" s="12">
        <v>46227.71</v>
      </c>
      <c r="K2398" s="5">
        <f t="shared" si="75"/>
        <v>50</v>
      </c>
      <c r="P2398" t="str">
        <f t="shared" si="76"/>
        <v>50K</v>
      </c>
    </row>
    <row r="2399" spans="1:16" x14ac:dyDescent="0.35">
      <c r="A2399">
        <v>2006</v>
      </c>
      <c r="B2399" s="6" t="s">
        <v>23</v>
      </c>
      <c r="J2399" s="13">
        <v>52330.11</v>
      </c>
      <c r="K2399" s="5">
        <f t="shared" si="75"/>
        <v>50</v>
      </c>
      <c r="P2399" t="str">
        <f t="shared" si="76"/>
        <v>50K</v>
      </c>
    </row>
    <row r="2400" spans="1:16" x14ac:dyDescent="0.35">
      <c r="A2400">
        <v>2013</v>
      </c>
      <c r="B2400" s="7" t="s">
        <v>20</v>
      </c>
      <c r="J2400" s="12">
        <v>89818.91</v>
      </c>
      <c r="K2400" s="5">
        <f t="shared" si="75"/>
        <v>90</v>
      </c>
      <c r="P2400" t="str">
        <f t="shared" si="76"/>
        <v>90K</v>
      </c>
    </row>
    <row r="2401" spans="1:16" x14ac:dyDescent="0.35">
      <c r="A2401">
        <v>2023</v>
      </c>
      <c r="B2401" s="6" t="s">
        <v>27</v>
      </c>
      <c r="J2401" s="13">
        <v>81484.070000000007</v>
      </c>
      <c r="K2401" s="5">
        <f t="shared" si="75"/>
        <v>80</v>
      </c>
      <c r="P2401" t="str">
        <f t="shared" si="76"/>
        <v>80K</v>
      </c>
    </row>
    <row r="2402" spans="1:16" x14ac:dyDescent="0.35">
      <c r="A2402">
        <v>2022</v>
      </c>
      <c r="B2402" s="7" t="s">
        <v>29</v>
      </c>
      <c r="J2402" s="12">
        <v>65488.480000000003</v>
      </c>
      <c r="K2402" s="5">
        <f t="shared" si="75"/>
        <v>70</v>
      </c>
      <c r="P2402" t="str">
        <f t="shared" si="76"/>
        <v>70K</v>
      </c>
    </row>
    <row r="2403" spans="1:16" x14ac:dyDescent="0.35">
      <c r="A2403">
        <v>2002</v>
      </c>
      <c r="B2403" s="6" t="s">
        <v>10</v>
      </c>
      <c r="J2403" s="13">
        <v>89113.7</v>
      </c>
      <c r="K2403" s="5">
        <f t="shared" si="75"/>
        <v>90</v>
      </c>
      <c r="P2403" t="str">
        <f t="shared" si="76"/>
        <v>90K</v>
      </c>
    </row>
    <row r="2404" spans="1:16" x14ac:dyDescent="0.35">
      <c r="A2404">
        <v>2017</v>
      </c>
      <c r="B2404" s="7" t="s">
        <v>20</v>
      </c>
      <c r="J2404" s="12">
        <v>69454.52</v>
      </c>
      <c r="K2404" s="5">
        <f t="shared" si="75"/>
        <v>70</v>
      </c>
      <c r="P2404" t="str">
        <f t="shared" si="76"/>
        <v>70K</v>
      </c>
    </row>
    <row r="2405" spans="1:16" x14ac:dyDescent="0.35">
      <c r="A2405">
        <v>2015</v>
      </c>
      <c r="B2405" s="6" t="s">
        <v>27</v>
      </c>
      <c r="J2405" s="13">
        <v>82791.22</v>
      </c>
      <c r="K2405" s="5">
        <f t="shared" si="75"/>
        <v>80</v>
      </c>
      <c r="P2405" t="str">
        <f t="shared" si="76"/>
        <v>80K</v>
      </c>
    </row>
    <row r="2406" spans="1:16" x14ac:dyDescent="0.35">
      <c r="A2406">
        <v>2022</v>
      </c>
      <c r="B2406" s="7" t="s">
        <v>29</v>
      </c>
      <c r="J2406" s="12">
        <v>58558.94</v>
      </c>
      <c r="K2406" s="5">
        <f t="shared" si="75"/>
        <v>60</v>
      </c>
      <c r="P2406" t="str">
        <f t="shared" si="76"/>
        <v>60K</v>
      </c>
    </row>
    <row r="2407" spans="1:16" x14ac:dyDescent="0.35">
      <c r="A2407">
        <v>2018</v>
      </c>
      <c r="B2407" s="6" t="s">
        <v>29</v>
      </c>
      <c r="J2407" s="13">
        <v>54895.73</v>
      </c>
      <c r="K2407" s="5">
        <f t="shared" si="75"/>
        <v>50</v>
      </c>
      <c r="P2407" t="str">
        <f t="shared" si="76"/>
        <v>50K</v>
      </c>
    </row>
    <row r="2408" spans="1:16" x14ac:dyDescent="0.35">
      <c r="A2408">
        <v>2018</v>
      </c>
      <c r="B2408" s="7" t="s">
        <v>20</v>
      </c>
      <c r="J2408" s="12">
        <v>73789.240000000005</v>
      </c>
      <c r="K2408" s="5">
        <f t="shared" si="75"/>
        <v>70</v>
      </c>
      <c r="P2408" t="str">
        <f t="shared" si="76"/>
        <v>70K</v>
      </c>
    </row>
    <row r="2409" spans="1:16" x14ac:dyDescent="0.35">
      <c r="A2409">
        <v>2017</v>
      </c>
      <c r="B2409" s="6" t="s">
        <v>10</v>
      </c>
      <c r="J2409" s="13">
        <v>6870.48</v>
      </c>
      <c r="K2409" s="5">
        <f t="shared" si="75"/>
        <v>10</v>
      </c>
      <c r="P2409" t="str">
        <f t="shared" si="76"/>
        <v>10K</v>
      </c>
    </row>
    <row r="2410" spans="1:16" x14ac:dyDescent="0.35">
      <c r="A2410">
        <v>2019</v>
      </c>
      <c r="B2410" s="7" t="s">
        <v>25</v>
      </c>
      <c r="J2410" s="12">
        <v>70585.87</v>
      </c>
      <c r="K2410" s="5">
        <f t="shared" si="75"/>
        <v>70</v>
      </c>
      <c r="P2410" t="str">
        <f t="shared" si="76"/>
        <v>70K</v>
      </c>
    </row>
    <row r="2411" spans="1:16" x14ac:dyDescent="0.35">
      <c r="A2411">
        <v>2015</v>
      </c>
      <c r="B2411" s="6" t="s">
        <v>25</v>
      </c>
      <c r="J2411" s="13">
        <v>93779.23</v>
      </c>
      <c r="K2411" s="5">
        <f t="shared" si="75"/>
        <v>90</v>
      </c>
      <c r="P2411" t="str">
        <f t="shared" si="76"/>
        <v>90K</v>
      </c>
    </row>
    <row r="2412" spans="1:16" x14ac:dyDescent="0.35">
      <c r="A2412">
        <v>2007</v>
      </c>
      <c r="B2412" s="7" t="s">
        <v>29</v>
      </c>
      <c r="J2412" s="12">
        <v>72824.5</v>
      </c>
      <c r="K2412" s="5">
        <f t="shared" si="75"/>
        <v>70</v>
      </c>
      <c r="P2412" t="str">
        <f t="shared" si="76"/>
        <v>70K</v>
      </c>
    </row>
    <row r="2413" spans="1:16" x14ac:dyDescent="0.35">
      <c r="A2413">
        <v>2000</v>
      </c>
      <c r="B2413" s="6" t="s">
        <v>25</v>
      </c>
      <c r="J2413" s="13">
        <v>8495.4</v>
      </c>
      <c r="K2413" s="5">
        <f t="shared" si="75"/>
        <v>10</v>
      </c>
      <c r="P2413" t="str">
        <f t="shared" si="76"/>
        <v>10K</v>
      </c>
    </row>
    <row r="2414" spans="1:16" x14ac:dyDescent="0.35">
      <c r="A2414">
        <v>2016</v>
      </c>
      <c r="B2414" s="7" t="s">
        <v>35</v>
      </c>
      <c r="J2414" s="12">
        <v>40899.14</v>
      </c>
      <c r="K2414" s="5">
        <f t="shared" si="75"/>
        <v>40</v>
      </c>
      <c r="P2414" t="str">
        <f t="shared" si="76"/>
        <v>40K</v>
      </c>
    </row>
    <row r="2415" spans="1:16" x14ac:dyDescent="0.35">
      <c r="A2415">
        <v>2011</v>
      </c>
      <c r="B2415" s="6" t="s">
        <v>29</v>
      </c>
      <c r="J2415" s="13">
        <v>81910.22</v>
      </c>
      <c r="K2415" s="5">
        <f t="shared" si="75"/>
        <v>80</v>
      </c>
      <c r="P2415" t="str">
        <f t="shared" si="76"/>
        <v>80K</v>
      </c>
    </row>
    <row r="2416" spans="1:16" x14ac:dyDescent="0.35">
      <c r="A2416">
        <v>2020</v>
      </c>
      <c r="B2416" s="7" t="s">
        <v>29</v>
      </c>
      <c r="J2416" s="12">
        <v>96067.81</v>
      </c>
      <c r="K2416" s="5">
        <f t="shared" si="75"/>
        <v>100</v>
      </c>
      <c r="P2416" t="str">
        <f t="shared" si="76"/>
        <v>100K</v>
      </c>
    </row>
    <row r="2417" spans="1:16" x14ac:dyDescent="0.35">
      <c r="A2417">
        <v>2010</v>
      </c>
      <c r="B2417" s="6" t="s">
        <v>27</v>
      </c>
      <c r="J2417" s="13">
        <v>40165.519999999997</v>
      </c>
      <c r="K2417" s="5">
        <f t="shared" si="75"/>
        <v>40</v>
      </c>
      <c r="P2417" t="str">
        <f t="shared" si="76"/>
        <v>40K</v>
      </c>
    </row>
    <row r="2418" spans="1:16" x14ac:dyDescent="0.35">
      <c r="A2418">
        <v>2004</v>
      </c>
      <c r="B2418" s="7" t="s">
        <v>25</v>
      </c>
      <c r="J2418" s="12">
        <v>84913.44</v>
      </c>
      <c r="K2418" s="5">
        <f t="shared" si="75"/>
        <v>80</v>
      </c>
      <c r="P2418" t="str">
        <f t="shared" si="76"/>
        <v>80K</v>
      </c>
    </row>
    <row r="2419" spans="1:16" x14ac:dyDescent="0.35">
      <c r="A2419">
        <v>2011</v>
      </c>
      <c r="B2419" s="6" t="s">
        <v>10</v>
      </c>
      <c r="J2419" s="13">
        <v>87061.94</v>
      </c>
      <c r="K2419" s="5">
        <f t="shared" si="75"/>
        <v>90</v>
      </c>
      <c r="P2419" t="str">
        <f t="shared" si="76"/>
        <v>90K</v>
      </c>
    </row>
    <row r="2420" spans="1:16" x14ac:dyDescent="0.35">
      <c r="A2420">
        <v>2016</v>
      </c>
      <c r="B2420" s="7" t="s">
        <v>29</v>
      </c>
      <c r="J2420" s="12">
        <v>16712.21</v>
      </c>
      <c r="K2420" s="5">
        <f t="shared" si="75"/>
        <v>20</v>
      </c>
      <c r="P2420" t="str">
        <f t="shared" si="76"/>
        <v>20K</v>
      </c>
    </row>
    <row r="2421" spans="1:16" x14ac:dyDescent="0.35">
      <c r="A2421">
        <v>2005</v>
      </c>
      <c r="B2421" s="6" t="s">
        <v>10</v>
      </c>
      <c r="J2421" s="13">
        <v>85349.9</v>
      </c>
      <c r="K2421" s="5">
        <f t="shared" si="75"/>
        <v>90</v>
      </c>
      <c r="P2421" t="str">
        <f t="shared" si="76"/>
        <v>90K</v>
      </c>
    </row>
    <row r="2422" spans="1:16" x14ac:dyDescent="0.35">
      <c r="A2422">
        <v>2000</v>
      </c>
      <c r="B2422" s="7" t="s">
        <v>35</v>
      </c>
      <c r="J2422" s="12">
        <v>35803.74</v>
      </c>
      <c r="K2422" s="5">
        <f t="shared" si="75"/>
        <v>40</v>
      </c>
      <c r="P2422" t="str">
        <f t="shared" si="76"/>
        <v>40K</v>
      </c>
    </row>
    <row r="2423" spans="1:16" x14ac:dyDescent="0.35">
      <c r="A2423">
        <v>2004</v>
      </c>
      <c r="B2423" s="6" t="s">
        <v>27</v>
      </c>
      <c r="J2423" s="13">
        <v>61357.58</v>
      </c>
      <c r="K2423" s="5">
        <f t="shared" si="75"/>
        <v>60</v>
      </c>
      <c r="P2423" t="str">
        <f t="shared" si="76"/>
        <v>60K</v>
      </c>
    </row>
    <row r="2424" spans="1:16" x14ac:dyDescent="0.35">
      <c r="A2424">
        <v>2013</v>
      </c>
      <c r="B2424" s="7" t="s">
        <v>20</v>
      </c>
      <c r="J2424" s="12">
        <v>56201.4</v>
      </c>
      <c r="K2424" s="5">
        <f t="shared" si="75"/>
        <v>60</v>
      </c>
      <c r="P2424" t="str">
        <f t="shared" si="76"/>
        <v>60K</v>
      </c>
    </row>
    <row r="2425" spans="1:16" x14ac:dyDescent="0.35">
      <c r="A2425">
        <v>2004</v>
      </c>
      <c r="B2425" s="6" t="s">
        <v>10</v>
      </c>
      <c r="J2425" s="13">
        <v>67990.12</v>
      </c>
      <c r="K2425" s="5">
        <f t="shared" si="75"/>
        <v>70</v>
      </c>
      <c r="P2425" t="str">
        <f t="shared" si="76"/>
        <v>70K</v>
      </c>
    </row>
    <row r="2426" spans="1:16" x14ac:dyDescent="0.35">
      <c r="A2426">
        <v>2021</v>
      </c>
      <c r="B2426" s="7" t="s">
        <v>29</v>
      </c>
      <c r="J2426" s="12">
        <v>75344.14</v>
      </c>
      <c r="K2426" s="5">
        <f t="shared" si="75"/>
        <v>80</v>
      </c>
      <c r="P2426" t="str">
        <f t="shared" si="76"/>
        <v>80K</v>
      </c>
    </row>
    <row r="2427" spans="1:16" x14ac:dyDescent="0.35">
      <c r="A2427">
        <v>2023</v>
      </c>
      <c r="B2427" s="6" t="s">
        <v>35</v>
      </c>
      <c r="J2427" s="13">
        <v>46883.7</v>
      </c>
      <c r="K2427" s="5">
        <f t="shared" si="75"/>
        <v>50</v>
      </c>
      <c r="P2427" t="str">
        <f t="shared" si="76"/>
        <v>50K</v>
      </c>
    </row>
    <row r="2428" spans="1:16" x14ac:dyDescent="0.35">
      <c r="A2428">
        <v>2000</v>
      </c>
      <c r="B2428" s="7" t="s">
        <v>23</v>
      </c>
      <c r="J2428" s="12">
        <v>89389.53</v>
      </c>
      <c r="K2428" s="5">
        <f t="shared" si="75"/>
        <v>90</v>
      </c>
      <c r="P2428" t="str">
        <f t="shared" si="76"/>
        <v>90K</v>
      </c>
    </row>
    <row r="2429" spans="1:16" x14ac:dyDescent="0.35">
      <c r="A2429">
        <v>2017</v>
      </c>
      <c r="B2429" s="6" t="s">
        <v>35</v>
      </c>
      <c r="J2429" s="13">
        <v>81902.350000000006</v>
      </c>
      <c r="K2429" s="5">
        <f t="shared" si="75"/>
        <v>80</v>
      </c>
      <c r="P2429" t="str">
        <f t="shared" si="76"/>
        <v>80K</v>
      </c>
    </row>
    <row r="2430" spans="1:16" x14ac:dyDescent="0.35">
      <c r="A2430">
        <v>2015</v>
      </c>
      <c r="B2430" s="7" t="s">
        <v>35</v>
      </c>
      <c r="J2430" s="12">
        <v>79615</v>
      </c>
      <c r="K2430" s="5">
        <f t="shared" si="75"/>
        <v>80</v>
      </c>
      <c r="P2430" t="str">
        <f t="shared" si="76"/>
        <v>80K</v>
      </c>
    </row>
    <row r="2431" spans="1:16" x14ac:dyDescent="0.35">
      <c r="A2431">
        <v>2008</v>
      </c>
      <c r="B2431" s="6" t="s">
        <v>27</v>
      </c>
      <c r="J2431" s="13">
        <v>48533.45</v>
      </c>
      <c r="K2431" s="5">
        <f t="shared" si="75"/>
        <v>50</v>
      </c>
      <c r="P2431" t="str">
        <f t="shared" si="76"/>
        <v>50K</v>
      </c>
    </row>
    <row r="2432" spans="1:16" x14ac:dyDescent="0.35">
      <c r="A2432">
        <v>2018</v>
      </c>
      <c r="B2432" s="7" t="s">
        <v>20</v>
      </c>
      <c r="J2432" s="12">
        <v>8569.42</v>
      </c>
      <c r="K2432" s="5">
        <f t="shared" si="75"/>
        <v>10</v>
      </c>
      <c r="P2432" t="str">
        <f t="shared" si="76"/>
        <v>10K</v>
      </c>
    </row>
    <row r="2433" spans="1:16" x14ac:dyDescent="0.35">
      <c r="A2433">
        <v>2021</v>
      </c>
      <c r="B2433" s="6" t="s">
        <v>23</v>
      </c>
      <c r="J2433" s="13">
        <v>51764.36</v>
      </c>
      <c r="K2433" s="5">
        <f t="shared" si="75"/>
        <v>50</v>
      </c>
      <c r="P2433" t="str">
        <f t="shared" si="76"/>
        <v>50K</v>
      </c>
    </row>
    <row r="2434" spans="1:16" x14ac:dyDescent="0.35">
      <c r="A2434">
        <v>2004</v>
      </c>
      <c r="B2434" s="7" t="s">
        <v>25</v>
      </c>
      <c r="J2434" s="12">
        <v>90352.33</v>
      </c>
      <c r="K2434" s="5">
        <f t="shared" si="75"/>
        <v>90</v>
      </c>
      <c r="P2434" t="str">
        <f t="shared" si="76"/>
        <v>90K</v>
      </c>
    </row>
    <row r="2435" spans="1:16" x14ac:dyDescent="0.35">
      <c r="A2435">
        <v>2001</v>
      </c>
      <c r="B2435" s="6" t="s">
        <v>25</v>
      </c>
      <c r="J2435" s="13">
        <v>23092.76</v>
      </c>
      <c r="K2435" s="5">
        <f t="shared" ref="K2435:K2498" si="77">ROUND(J2435/10000,0)*10</f>
        <v>20</v>
      </c>
      <c r="P2435" t="str">
        <f t="shared" ref="P2435:P2498" si="78">TEXT(ROUND(J2435/10000,0)*10,"0") &amp; "K"</f>
        <v>20K</v>
      </c>
    </row>
    <row r="2436" spans="1:16" x14ac:dyDescent="0.35">
      <c r="A2436">
        <v>2014</v>
      </c>
      <c r="B2436" s="7" t="s">
        <v>10</v>
      </c>
      <c r="J2436" s="12">
        <v>98346.28</v>
      </c>
      <c r="K2436" s="5">
        <f t="shared" si="77"/>
        <v>100</v>
      </c>
      <c r="P2436" t="str">
        <f t="shared" si="78"/>
        <v>100K</v>
      </c>
    </row>
    <row r="2437" spans="1:16" x14ac:dyDescent="0.35">
      <c r="A2437">
        <v>2006</v>
      </c>
      <c r="B2437" s="6" t="s">
        <v>35</v>
      </c>
      <c r="J2437" s="13">
        <v>81730.61</v>
      </c>
      <c r="K2437" s="5">
        <f t="shared" si="77"/>
        <v>80</v>
      </c>
      <c r="P2437" t="str">
        <f t="shared" si="78"/>
        <v>80K</v>
      </c>
    </row>
    <row r="2438" spans="1:16" x14ac:dyDescent="0.35">
      <c r="A2438">
        <v>2003</v>
      </c>
      <c r="B2438" s="7" t="s">
        <v>27</v>
      </c>
      <c r="J2438" s="12">
        <v>72433.83</v>
      </c>
      <c r="K2438" s="5">
        <f t="shared" si="77"/>
        <v>70</v>
      </c>
      <c r="P2438" t="str">
        <f t="shared" si="78"/>
        <v>70K</v>
      </c>
    </row>
    <row r="2439" spans="1:16" x14ac:dyDescent="0.35">
      <c r="A2439">
        <v>2000</v>
      </c>
      <c r="B2439" s="6" t="s">
        <v>27</v>
      </c>
      <c r="J2439" s="13">
        <v>69330.2</v>
      </c>
      <c r="K2439" s="5">
        <f t="shared" si="77"/>
        <v>70</v>
      </c>
      <c r="P2439" t="str">
        <f t="shared" si="78"/>
        <v>70K</v>
      </c>
    </row>
    <row r="2440" spans="1:16" x14ac:dyDescent="0.35">
      <c r="A2440">
        <v>2012</v>
      </c>
      <c r="B2440" s="7" t="s">
        <v>25</v>
      </c>
      <c r="J2440" s="12">
        <v>60767.46</v>
      </c>
      <c r="K2440" s="5">
        <f t="shared" si="77"/>
        <v>60</v>
      </c>
      <c r="P2440" t="str">
        <f t="shared" si="78"/>
        <v>60K</v>
      </c>
    </row>
    <row r="2441" spans="1:16" x14ac:dyDescent="0.35">
      <c r="A2441">
        <v>2019</v>
      </c>
      <c r="B2441" s="6" t="s">
        <v>10</v>
      </c>
      <c r="J2441" s="13">
        <v>73463.679999999993</v>
      </c>
      <c r="K2441" s="5">
        <f t="shared" si="77"/>
        <v>70</v>
      </c>
      <c r="P2441" t="str">
        <f t="shared" si="78"/>
        <v>70K</v>
      </c>
    </row>
    <row r="2442" spans="1:16" x14ac:dyDescent="0.35">
      <c r="A2442">
        <v>2021</v>
      </c>
      <c r="B2442" s="7" t="s">
        <v>10</v>
      </c>
      <c r="J2442" s="12">
        <v>45081.03</v>
      </c>
      <c r="K2442" s="5">
        <f t="shared" si="77"/>
        <v>50</v>
      </c>
      <c r="P2442" t="str">
        <f t="shared" si="78"/>
        <v>50K</v>
      </c>
    </row>
    <row r="2443" spans="1:16" x14ac:dyDescent="0.35">
      <c r="A2443">
        <v>2006</v>
      </c>
      <c r="B2443" s="6" t="s">
        <v>10</v>
      </c>
      <c r="J2443" s="13">
        <v>85302.37</v>
      </c>
      <c r="K2443" s="5">
        <f t="shared" si="77"/>
        <v>90</v>
      </c>
      <c r="P2443" t="str">
        <f t="shared" si="78"/>
        <v>90K</v>
      </c>
    </row>
    <row r="2444" spans="1:16" x14ac:dyDescent="0.35">
      <c r="A2444">
        <v>2014</v>
      </c>
      <c r="B2444" s="7" t="s">
        <v>23</v>
      </c>
      <c r="J2444" s="12">
        <v>71152.87</v>
      </c>
      <c r="K2444" s="5">
        <f t="shared" si="77"/>
        <v>70</v>
      </c>
      <c r="P2444" t="str">
        <f t="shared" si="78"/>
        <v>70K</v>
      </c>
    </row>
    <row r="2445" spans="1:16" x14ac:dyDescent="0.35">
      <c r="A2445">
        <v>2022</v>
      </c>
      <c r="B2445" s="6" t="s">
        <v>20</v>
      </c>
      <c r="J2445" s="13">
        <v>78269.05</v>
      </c>
      <c r="K2445" s="5">
        <f t="shared" si="77"/>
        <v>80</v>
      </c>
      <c r="P2445" t="str">
        <f t="shared" si="78"/>
        <v>80K</v>
      </c>
    </row>
    <row r="2446" spans="1:16" x14ac:dyDescent="0.35">
      <c r="A2446">
        <v>2013</v>
      </c>
      <c r="B2446" s="7" t="s">
        <v>23</v>
      </c>
      <c r="J2446" s="12">
        <v>80286.31</v>
      </c>
      <c r="K2446" s="5">
        <f t="shared" si="77"/>
        <v>80</v>
      </c>
      <c r="P2446" t="str">
        <f t="shared" si="78"/>
        <v>80K</v>
      </c>
    </row>
    <row r="2447" spans="1:16" x14ac:dyDescent="0.35">
      <c r="A2447">
        <v>2022</v>
      </c>
      <c r="B2447" s="6" t="s">
        <v>29</v>
      </c>
      <c r="J2447" s="13">
        <v>13746.65</v>
      </c>
      <c r="K2447" s="5">
        <f t="shared" si="77"/>
        <v>10</v>
      </c>
      <c r="P2447" t="str">
        <f t="shared" si="78"/>
        <v>10K</v>
      </c>
    </row>
    <row r="2448" spans="1:16" x14ac:dyDescent="0.35">
      <c r="A2448">
        <v>2018</v>
      </c>
      <c r="B2448" s="7" t="s">
        <v>29</v>
      </c>
      <c r="J2448" s="12">
        <v>10285.870000000001</v>
      </c>
      <c r="K2448" s="5">
        <f t="shared" si="77"/>
        <v>10</v>
      </c>
      <c r="P2448" t="str">
        <f t="shared" si="78"/>
        <v>10K</v>
      </c>
    </row>
    <row r="2449" spans="1:16" x14ac:dyDescent="0.35">
      <c r="A2449">
        <v>2021</v>
      </c>
      <c r="B2449" s="6" t="s">
        <v>20</v>
      </c>
      <c r="J2449" s="13">
        <v>81093.66</v>
      </c>
      <c r="K2449" s="5">
        <f t="shared" si="77"/>
        <v>80</v>
      </c>
      <c r="P2449" t="str">
        <f t="shared" si="78"/>
        <v>80K</v>
      </c>
    </row>
    <row r="2450" spans="1:16" x14ac:dyDescent="0.35">
      <c r="A2450">
        <v>2023</v>
      </c>
      <c r="B2450" s="7" t="s">
        <v>25</v>
      </c>
      <c r="J2450" s="12">
        <v>29641.48</v>
      </c>
      <c r="K2450" s="5">
        <f t="shared" si="77"/>
        <v>30</v>
      </c>
      <c r="P2450" t="str">
        <f t="shared" si="78"/>
        <v>30K</v>
      </c>
    </row>
    <row r="2451" spans="1:16" x14ac:dyDescent="0.35">
      <c r="A2451">
        <v>2019</v>
      </c>
      <c r="B2451" s="6" t="s">
        <v>20</v>
      </c>
      <c r="J2451" s="13">
        <v>60287.13</v>
      </c>
      <c r="K2451" s="5">
        <f t="shared" si="77"/>
        <v>60</v>
      </c>
      <c r="P2451" t="str">
        <f t="shared" si="78"/>
        <v>60K</v>
      </c>
    </row>
    <row r="2452" spans="1:16" x14ac:dyDescent="0.35">
      <c r="A2452">
        <v>2023</v>
      </c>
      <c r="B2452" s="7" t="s">
        <v>27</v>
      </c>
      <c r="J2452" s="12">
        <v>47152.53</v>
      </c>
      <c r="K2452" s="5">
        <f t="shared" si="77"/>
        <v>50</v>
      </c>
      <c r="P2452" t="str">
        <f t="shared" si="78"/>
        <v>50K</v>
      </c>
    </row>
    <row r="2453" spans="1:16" x14ac:dyDescent="0.35">
      <c r="A2453">
        <v>2017</v>
      </c>
      <c r="B2453" s="6" t="s">
        <v>29</v>
      </c>
      <c r="J2453" s="13">
        <v>7093.72</v>
      </c>
      <c r="K2453" s="5">
        <f t="shared" si="77"/>
        <v>10</v>
      </c>
      <c r="P2453" t="str">
        <f t="shared" si="78"/>
        <v>10K</v>
      </c>
    </row>
    <row r="2454" spans="1:16" x14ac:dyDescent="0.35">
      <c r="A2454">
        <v>2009</v>
      </c>
      <c r="B2454" s="7" t="s">
        <v>35</v>
      </c>
      <c r="J2454" s="12">
        <v>8826.7199999999993</v>
      </c>
      <c r="K2454" s="5">
        <f t="shared" si="77"/>
        <v>10</v>
      </c>
      <c r="P2454" t="str">
        <f t="shared" si="78"/>
        <v>10K</v>
      </c>
    </row>
    <row r="2455" spans="1:16" x14ac:dyDescent="0.35">
      <c r="A2455">
        <v>2008</v>
      </c>
      <c r="B2455" s="6" t="s">
        <v>35</v>
      </c>
      <c r="J2455" s="13">
        <v>83576.899999999994</v>
      </c>
      <c r="K2455" s="5">
        <f t="shared" si="77"/>
        <v>80</v>
      </c>
      <c r="P2455" t="str">
        <f t="shared" si="78"/>
        <v>80K</v>
      </c>
    </row>
    <row r="2456" spans="1:16" x14ac:dyDescent="0.35">
      <c r="A2456">
        <v>2007</v>
      </c>
      <c r="B2456" s="7" t="s">
        <v>25</v>
      </c>
      <c r="J2456" s="12">
        <v>62729.37</v>
      </c>
      <c r="K2456" s="5">
        <f t="shared" si="77"/>
        <v>60</v>
      </c>
      <c r="P2456" t="str">
        <f t="shared" si="78"/>
        <v>60K</v>
      </c>
    </row>
    <row r="2457" spans="1:16" x14ac:dyDescent="0.35">
      <c r="A2457">
        <v>2009</v>
      </c>
      <c r="B2457" s="6" t="s">
        <v>27</v>
      </c>
      <c r="J2457" s="13">
        <v>54765.09</v>
      </c>
      <c r="K2457" s="5">
        <f t="shared" si="77"/>
        <v>50</v>
      </c>
      <c r="P2457" t="str">
        <f t="shared" si="78"/>
        <v>50K</v>
      </c>
    </row>
    <row r="2458" spans="1:16" x14ac:dyDescent="0.35">
      <c r="A2458">
        <v>2016</v>
      </c>
      <c r="B2458" s="7" t="s">
        <v>23</v>
      </c>
      <c r="J2458" s="12">
        <v>94713.45</v>
      </c>
      <c r="K2458" s="5">
        <f t="shared" si="77"/>
        <v>90</v>
      </c>
      <c r="P2458" t="str">
        <f t="shared" si="78"/>
        <v>90K</v>
      </c>
    </row>
    <row r="2459" spans="1:16" x14ac:dyDescent="0.35">
      <c r="A2459">
        <v>2001</v>
      </c>
      <c r="B2459" s="6" t="s">
        <v>27</v>
      </c>
      <c r="J2459" s="13">
        <v>21445.93</v>
      </c>
      <c r="K2459" s="5">
        <f t="shared" si="77"/>
        <v>20</v>
      </c>
      <c r="P2459" t="str">
        <f t="shared" si="78"/>
        <v>20K</v>
      </c>
    </row>
    <row r="2460" spans="1:16" x14ac:dyDescent="0.35">
      <c r="A2460">
        <v>2005</v>
      </c>
      <c r="B2460" s="7" t="s">
        <v>35</v>
      </c>
      <c r="J2460" s="12">
        <v>29507.23</v>
      </c>
      <c r="K2460" s="5">
        <f t="shared" si="77"/>
        <v>30</v>
      </c>
      <c r="P2460" t="str">
        <f t="shared" si="78"/>
        <v>30K</v>
      </c>
    </row>
    <row r="2461" spans="1:16" x14ac:dyDescent="0.35">
      <c r="A2461">
        <v>2004</v>
      </c>
      <c r="B2461" s="6" t="s">
        <v>35</v>
      </c>
      <c r="J2461" s="13">
        <v>76890.210000000006</v>
      </c>
      <c r="K2461" s="5">
        <f t="shared" si="77"/>
        <v>80</v>
      </c>
      <c r="P2461" t="str">
        <f t="shared" si="78"/>
        <v>80K</v>
      </c>
    </row>
    <row r="2462" spans="1:16" x14ac:dyDescent="0.35">
      <c r="A2462">
        <v>2008</v>
      </c>
      <c r="B2462" s="7" t="s">
        <v>29</v>
      </c>
      <c r="J2462" s="12">
        <v>78647.350000000006</v>
      </c>
      <c r="K2462" s="5">
        <f t="shared" si="77"/>
        <v>80</v>
      </c>
      <c r="P2462" t="str">
        <f t="shared" si="78"/>
        <v>80K</v>
      </c>
    </row>
    <row r="2463" spans="1:16" x14ac:dyDescent="0.35">
      <c r="A2463">
        <v>2004</v>
      </c>
      <c r="B2463" s="6" t="s">
        <v>27</v>
      </c>
      <c r="J2463" s="13">
        <v>43465.23</v>
      </c>
      <c r="K2463" s="5">
        <f t="shared" si="77"/>
        <v>40</v>
      </c>
      <c r="P2463" t="str">
        <f t="shared" si="78"/>
        <v>40K</v>
      </c>
    </row>
    <row r="2464" spans="1:16" x14ac:dyDescent="0.35">
      <c r="A2464">
        <v>2017</v>
      </c>
      <c r="B2464" s="7" t="s">
        <v>27</v>
      </c>
      <c r="J2464" s="12">
        <v>95342.95</v>
      </c>
      <c r="K2464" s="5">
        <f t="shared" si="77"/>
        <v>100</v>
      </c>
      <c r="P2464" t="str">
        <f t="shared" si="78"/>
        <v>100K</v>
      </c>
    </row>
    <row r="2465" spans="1:16" x14ac:dyDescent="0.35">
      <c r="A2465">
        <v>2019</v>
      </c>
      <c r="B2465" s="6" t="s">
        <v>35</v>
      </c>
      <c r="J2465" s="13">
        <v>94134.18</v>
      </c>
      <c r="K2465" s="5">
        <f t="shared" si="77"/>
        <v>90</v>
      </c>
      <c r="P2465" t="str">
        <f t="shared" si="78"/>
        <v>90K</v>
      </c>
    </row>
    <row r="2466" spans="1:16" x14ac:dyDescent="0.35">
      <c r="A2466">
        <v>2008</v>
      </c>
      <c r="B2466" s="7" t="s">
        <v>23</v>
      </c>
      <c r="J2466" s="12">
        <v>6178.92</v>
      </c>
      <c r="K2466" s="5">
        <f t="shared" si="77"/>
        <v>10</v>
      </c>
      <c r="P2466" t="str">
        <f t="shared" si="78"/>
        <v>10K</v>
      </c>
    </row>
    <row r="2467" spans="1:16" x14ac:dyDescent="0.35">
      <c r="A2467">
        <v>2016</v>
      </c>
      <c r="B2467" s="6" t="s">
        <v>25</v>
      </c>
      <c r="J2467" s="13">
        <v>21371.15</v>
      </c>
      <c r="K2467" s="5">
        <f t="shared" si="77"/>
        <v>20</v>
      </c>
      <c r="P2467" t="str">
        <f t="shared" si="78"/>
        <v>20K</v>
      </c>
    </row>
    <row r="2468" spans="1:16" x14ac:dyDescent="0.35">
      <c r="A2468">
        <v>2016</v>
      </c>
      <c r="B2468" s="7" t="s">
        <v>10</v>
      </c>
      <c r="J2468" s="12">
        <v>82920.850000000006</v>
      </c>
      <c r="K2468" s="5">
        <f t="shared" si="77"/>
        <v>80</v>
      </c>
      <c r="P2468" t="str">
        <f t="shared" si="78"/>
        <v>80K</v>
      </c>
    </row>
    <row r="2469" spans="1:16" x14ac:dyDescent="0.35">
      <c r="A2469">
        <v>2011</v>
      </c>
      <c r="B2469" s="6" t="s">
        <v>25</v>
      </c>
      <c r="J2469" s="13">
        <v>36845.589999999997</v>
      </c>
      <c r="K2469" s="5">
        <f t="shared" si="77"/>
        <v>40</v>
      </c>
      <c r="P2469" t="str">
        <f t="shared" si="78"/>
        <v>40K</v>
      </c>
    </row>
    <row r="2470" spans="1:16" x14ac:dyDescent="0.35">
      <c r="A2470">
        <v>2006</v>
      </c>
      <c r="B2470" s="7" t="s">
        <v>27</v>
      </c>
      <c r="J2470" s="12">
        <v>14068.95</v>
      </c>
      <c r="K2470" s="5">
        <f t="shared" si="77"/>
        <v>10</v>
      </c>
      <c r="P2470" t="str">
        <f t="shared" si="78"/>
        <v>10K</v>
      </c>
    </row>
    <row r="2471" spans="1:16" x14ac:dyDescent="0.35">
      <c r="A2471">
        <v>2002</v>
      </c>
      <c r="B2471" s="6" t="s">
        <v>25</v>
      </c>
      <c r="J2471" s="13">
        <v>79574.92</v>
      </c>
      <c r="K2471" s="5">
        <f t="shared" si="77"/>
        <v>80</v>
      </c>
      <c r="P2471" t="str">
        <f t="shared" si="78"/>
        <v>80K</v>
      </c>
    </row>
    <row r="2472" spans="1:16" x14ac:dyDescent="0.35">
      <c r="A2472">
        <v>2009</v>
      </c>
      <c r="B2472" s="7" t="s">
        <v>35</v>
      </c>
      <c r="J2472" s="12">
        <v>48185.43</v>
      </c>
      <c r="K2472" s="5">
        <f t="shared" si="77"/>
        <v>50</v>
      </c>
      <c r="P2472" t="str">
        <f t="shared" si="78"/>
        <v>50K</v>
      </c>
    </row>
    <row r="2473" spans="1:16" x14ac:dyDescent="0.35">
      <c r="A2473">
        <v>2001</v>
      </c>
      <c r="B2473" s="6" t="s">
        <v>35</v>
      </c>
      <c r="J2473" s="13">
        <v>51779.02</v>
      </c>
      <c r="K2473" s="5">
        <f t="shared" si="77"/>
        <v>50</v>
      </c>
      <c r="P2473" t="str">
        <f t="shared" si="78"/>
        <v>50K</v>
      </c>
    </row>
    <row r="2474" spans="1:16" x14ac:dyDescent="0.35">
      <c r="A2474">
        <v>2002</v>
      </c>
      <c r="B2474" s="7" t="s">
        <v>27</v>
      </c>
      <c r="J2474" s="12">
        <v>22705.09</v>
      </c>
      <c r="K2474" s="5">
        <f t="shared" si="77"/>
        <v>20</v>
      </c>
      <c r="P2474" t="str">
        <f t="shared" si="78"/>
        <v>20K</v>
      </c>
    </row>
    <row r="2475" spans="1:16" x14ac:dyDescent="0.35">
      <c r="A2475">
        <v>2015</v>
      </c>
      <c r="B2475" s="6" t="s">
        <v>27</v>
      </c>
      <c r="J2475" s="13">
        <v>67785.03</v>
      </c>
      <c r="K2475" s="5">
        <f t="shared" si="77"/>
        <v>70</v>
      </c>
      <c r="P2475" t="str">
        <f t="shared" si="78"/>
        <v>70K</v>
      </c>
    </row>
    <row r="2476" spans="1:16" x14ac:dyDescent="0.35">
      <c r="A2476">
        <v>2001</v>
      </c>
      <c r="B2476" s="7" t="s">
        <v>10</v>
      </c>
      <c r="J2476" s="12">
        <v>57367.93</v>
      </c>
      <c r="K2476" s="5">
        <f t="shared" si="77"/>
        <v>60</v>
      </c>
      <c r="P2476" t="str">
        <f t="shared" si="78"/>
        <v>60K</v>
      </c>
    </row>
    <row r="2477" spans="1:16" x14ac:dyDescent="0.35">
      <c r="A2477">
        <v>2023</v>
      </c>
      <c r="B2477" s="6" t="s">
        <v>10</v>
      </c>
      <c r="J2477" s="13">
        <v>24633.93</v>
      </c>
      <c r="K2477" s="5">
        <f t="shared" si="77"/>
        <v>20</v>
      </c>
      <c r="P2477" t="str">
        <f t="shared" si="78"/>
        <v>20K</v>
      </c>
    </row>
    <row r="2478" spans="1:16" x14ac:dyDescent="0.35">
      <c r="A2478">
        <v>2009</v>
      </c>
      <c r="B2478" s="7" t="s">
        <v>29</v>
      </c>
      <c r="J2478" s="12">
        <v>37331.49</v>
      </c>
      <c r="K2478" s="5">
        <f t="shared" si="77"/>
        <v>40</v>
      </c>
      <c r="P2478" t="str">
        <f t="shared" si="78"/>
        <v>40K</v>
      </c>
    </row>
    <row r="2479" spans="1:16" x14ac:dyDescent="0.35">
      <c r="A2479">
        <v>2005</v>
      </c>
      <c r="B2479" s="6" t="s">
        <v>27</v>
      </c>
      <c r="J2479" s="13">
        <v>61703.53</v>
      </c>
      <c r="K2479" s="5">
        <f t="shared" si="77"/>
        <v>60</v>
      </c>
      <c r="P2479" t="str">
        <f t="shared" si="78"/>
        <v>60K</v>
      </c>
    </row>
    <row r="2480" spans="1:16" x14ac:dyDescent="0.35">
      <c r="A2480">
        <v>2021</v>
      </c>
      <c r="B2480" s="7" t="s">
        <v>23</v>
      </c>
      <c r="J2480" s="12">
        <v>92862.86</v>
      </c>
      <c r="K2480" s="5">
        <f t="shared" si="77"/>
        <v>90</v>
      </c>
      <c r="P2480" t="str">
        <f t="shared" si="78"/>
        <v>90K</v>
      </c>
    </row>
    <row r="2481" spans="1:16" x14ac:dyDescent="0.35">
      <c r="A2481">
        <v>2010</v>
      </c>
      <c r="B2481" s="6" t="s">
        <v>25</v>
      </c>
      <c r="J2481" s="13">
        <v>92435.75</v>
      </c>
      <c r="K2481" s="5">
        <f t="shared" si="77"/>
        <v>90</v>
      </c>
      <c r="P2481" t="str">
        <f t="shared" si="78"/>
        <v>90K</v>
      </c>
    </row>
    <row r="2482" spans="1:16" x14ac:dyDescent="0.35">
      <c r="A2482">
        <v>2022</v>
      </c>
      <c r="B2482" s="7" t="s">
        <v>27</v>
      </c>
      <c r="J2482" s="12">
        <v>32351.06</v>
      </c>
      <c r="K2482" s="5">
        <f t="shared" si="77"/>
        <v>30</v>
      </c>
      <c r="P2482" t="str">
        <f t="shared" si="78"/>
        <v>30K</v>
      </c>
    </row>
    <row r="2483" spans="1:16" x14ac:dyDescent="0.35">
      <c r="A2483">
        <v>2006</v>
      </c>
      <c r="B2483" s="6" t="s">
        <v>20</v>
      </c>
      <c r="J2483" s="13">
        <v>74883.990000000005</v>
      </c>
      <c r="K2483" s="5">
        <f t="shared" si="77"/>
        <v>70</v>
      </c>
      <c r="P2483" t="str">
        <f t="shared" si="78"/>
        <v>70K</v>
      </c>
    </row>
    <row r="2484" spans="1:16" x14ac:dyDescent="0.35">
      <c r="A2484">
        <v>2014</v>
      </c>
      <c r="B2484" s="7" t="s">
        <v>29</v>
      </c>
      <c r="J2484" s="12">
        <v>78674.31</v>
      </c>
      <c r="K2484" s="5">
        <f t="shared" si="77"/>
        <v>80</v>
      </c>
      <c r="P2484" t="str">
        <f t="shared" si="78"/>
        <v>80K</v>
      </c>
    </row>
    <row r="2485" spans="1:16" x14ac:dyDescent="0.35">
      <c r="A2485">
        <v>2005</v>
      </c>
      <c r="B2485" s="6" t="s">
        <v>20</v>
      </c>
      <c r="J2485" s="13">
        <v>81838.19</v>
      </c>
      <c r="K2485" s="5">
        <f t="shared" si="77"/>
        <v>80</v>
      </c>
      <c r="P2485" t="str">
        <f t="shared" si="78"/>
        <v>80K</v>
      </c>
    </row>
    <row r="2486" spans="1:16" x14ac:dyDescent="0.35">
      <c r="A2486">
        <v>2019</v>
      </c>
      <c r="B2486" s="7" t="s">
        <v>35</v>
      </c>
      <c r="J2486" s="12">
        <v>59222.42</v>
      </c>
      <c r="K2486" s="5">
        <f t="shared" si="77"/>
        <v>60</v>
      </c>
      <c r="P2486" t="str">
        <f t="shared" si="78"/>
        <v>60K</v>
      </c>
    </row>
    <row r="2487" spans="1:16" x14ac:dyDescent="0.35">
      <c r="A2487">
        <v>2008</v>
      </c>
      <c r="B2487" s="6" t="s">
        <v>10</v>
      </c>
      <c r="J2487" s="13">
        <v>5998.26</v>
      </c>
      <c r="K2487" s="5">
        <f t="shared" si="77"/>
        <v>10</v>
      </c>
      <c r="P2487" t="str">
        <f t="shared" si="78"/>
        <v>10K</v>
      </c>
    </row>
    <row r="2488" spans="1:16" x14ac:dyDescent="0.35">
      <c r="A2488">
        <v>2021</v>
      </c>
      <c r="B2488" s="7" t="s">
        <v>25</v>
      </c>
      <c r="J2488" s="12">
        <v>77359.25</v>
      </c>
      <c r="K2488" s="5">
        <f t="shared" si="77"/>
        <v>80</v>
      </c>
      <c r="P2488" t="str">
        <f t="shared" si="78"/>
        <v>80K</v>
      </c>
    </row>
    <row r="2489" spans="1:16" x14ac:dyDescent="0.35">
      <c r="A2489">
        <v>2019</v>
      </c>
      <c r="B2489" s="6" t="s">
        <v>27</v>
      </c>
      <c r="J2489" s="13">
        <v>15126.76</v>
      </c>
      <c r="K2489" s="5">
        <f t="shared" si="77"/>
        <v>20</v>
      </c>
      <c r="P2489" t="str">
        <f t="shared" si="78"/>
        <v>20K</v>
      </c>
    </row>
    <row r="2490" spans="1:16" x14ac:dyDescent="0.35">
      <c r="A2490">
        <v>2011</v>
      </c>
      <c r="B2490" s="7" t="s">
        <v>20</v>
      </c>
      <c r="J2490" s="12">
        <v>16102.78</v>
      </c>
      <c r="K2490" s="5">
        <f t="shared" si="77"/>
        <v>20</v>
      </c>
      <c r="P2490" t="str">
        <f t="shared" si="78"/>
        <v>20K</v>
      </c>
    </row>
    <row r="2491" spans="1:16" x14ac:dyDescent="0.35">
      <c r="A2491">
        <v>2018</v>
      </c>
      <c r="B2491" s="6" t="s">
        <v>25</v>
      </c>
      <c r="J2491" s="13">
        <v>62534.36</v>
      </c>
      <c r="K2491" s="5">
        <f t="shared" si="77"/>
        <v>60</v>
      </c>
      <c r="P2491" t="str">
        <f t="shared" si="78"/>
        <v>60K</v>
      </c>
    </row>
    <row r="2492" spans="1:16" x14ac:dyDescent="0.35">
      <c r="A2492">
        <v>2019</v>
      </c>
      <c r="B2492" s="7" t="s">
        <v>35</v>
      </c>
      <c r="J2492" s="12">
        <v>98434.45</v>
      </c>
      <c r="K2492" s="5">
        <f t="shared" si="77"/>
        <v>100</v>
      </c>
      <c r="P2492" t="str">
        <f t="shared" si="78"/>
        <v>100K</v>
      </c>
    </row>
    <row r="2493" spans="1:16" x14ac:dyDescent="0.35">
      <c r="A2493">
        <v>2002</v>
      </c>
      <c r="B2493" s="6" t="s">
        <v>10</v>
      </c>
      <c r="J2493" s="13">
        <v>28041.25</v>
      </c>
      <c r="K2493" s="5">
        <f t="shared" si="77"/>
        <v>30</v>
      </c>
      <c r="P2493" t="str">
        <f t="shared" si="78"/>
        <v>30K</v>
      </c>
    </row>
    <row r="2494" spans="1:16" x14ac:dyDescent="0.35">
      <c r="A2494">
        <v>2014</v>
      </c>
      <c r="B2494" s="7" t="s">
        <v>23</v>
      </c>
      <c r="J2494" s="12">
        <v>66352.03</v>
      </c>
      <c r="K2494" s="5">
        <f t="shared" si="77"/>
        <v>70</v>
      </c>
      <c r="P2494" t="str">
        <f t="shared" si="78"/>
        <v>70K</v>
      </c>
    </row>
    <row r="2495" spans="1:16" x14ac:dyDescent="0.35">
      <c r="A2495">
        <v>2001</v>
      </c>
      <c r="B2495" s="6" t="s">
        <v>29</v>
      </c>
      <c r="J2495" s="13">
        <v>33847.1</v>
      </c>
      <c r="K2495" s="5">
        <f t="shared" si="77"/>
        <v>30</v>
      </c>
      <c r="P2495" t="str">
        <f t="shared" si="78"/>
        <v>30K</v>
      </c>
    </row>
    <row r="2496" spans="1:16" x14ac:dyDescent="0.35">
      <c r="A2496">
        <v>2020</v>
      </c>
      <c r="B2496" s="7" t="s">
        <v>25</v>
      </c>
      <c r="J2496" s="12">
        <v>90378.98</v>
      </c>
      <c r="K2496" s="5">
        <f t="shared" si="77"/>
        <v>90</v>
      </c>
      <c r="P2496" t="str">
        <f t="shared" si="78"/>
        <v>90K</v>
      </c>
    </row>
    <row r="2497" spans="1:16" x14ac:dyDescent="0.35">
      <c r="A2497">
        <v>2001</v>
      </c>
      <c r="B2497" s="6" t="s">
        <v>25</v>
      </c>
      <c r="J2497" s="13">
        <v>61384.1</v>
      </c>
      <c r="K2497" s="5">
        <f t="shared" si="77"/>
        <v>60</v>
      </c>
      <c r="P2497" t="str">
        <f t="shared" si="78"/>
        <v>60K</v>
      </c>
    </row>
    <row r="2498" spans="1:16" x14ac:dyDescent="0.35">
      <c r="A2498">
        <v>2021</v>
      </c>
      <c r="B2498" s="7" t="s">
        <v>23</v>
      </c>
      <c r="J2498" s="12">
        <v>24710.35</v>
      </c>
      <c r="K2498" s="5">
        <f t="shared" si="77"/>
        <v>20</v>
      </c>
      <c r="P2498" t="str">
        <f t="shared" si="78"/>
        <v>20K</v>
      </c>
    </row>
    <row r="2499" spans="1:16" x14ac:dyDescent="0.35">
      <c r="A2499">
        <v>2002</v>
      </c>
      <c r="B2499" s="6" t="s">
        <v>25</v>
      </c>
      <c r="J2499" s="13">
        <v>29902.45</v>
      </c>
      <c r="K2499" s="5">
        <f t="shared" ref="K2499:K2501" si="79">ROUND(J2499/10000,0)*10</f>
        <v>30</v>
      </c>
      <c r="P2499" t="str">
        <f t="shared" ref="P2499:P2501" si="80">TEXT(ROUND(J2499/10000,0)*10,"0") &amp; "K"</f>
        <v>30K</v>
      </c>
    </row>
    <row r="2500" spans="1:16" x14ac:dyDescent="0.35">
      <c r="A2500">
        <v>2005</v>
      </c>
      <c r="B2500" s="7" t="s">
        <v>35</v>
      </c>
      <c r="J2500" s="12">
        <v>46085.67</v>
      </c>
      <c r="K2500" s="5">
        <f t="shared" si="79"/>
        <v>50</v>
      </c>
      <c r="P2500" t="str">
        <f t="shared" si="80"/>
        <v>50K</v>
      </c>
    </row>
    <row r="2501" spans="1:16" x14ac:dyDescent="0.35">
      <c r="J2501" s="13">
        <v>16594.14</v>
      </c>
      <c r="K2501" s="5">
        <f t="shared" si="79"/>
        <v>20</v>
      </c>
      <c r="P2501" t="str">
        <f t="shared" si="80"/>
        <v>20K</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D0A4F39-BC43-4418-9938-6FFC977F0BA9}">
  <ds:schemaRefs/>
</ds:datastoreItem>
</file>

<file path=customXml/itemProps2.xml><?xml version="1.0" encoding="utf-8"?>
<ds:datastoreItem xmlns:ds="http://schemas.openxmlformats.org/officeDocument/2006/customXml" ds:itemID="{933C5420-1842-45D7-9F97-AFF0594544BC}">
  <ds:schemaRefs>
    <ds:schemaRef ds:uri="http://schemas.microsoft.com/DataMashup"/>
  </ds:schemaRefs>
</ds:datastoreItem>
</file>

<file path=customXml/itemProps3.xml><?xml version="1.0" encoding="utf-8"?>
<ds:datastoreItem xmlns:ds="http://schemas.openxmlformats.org/officeDocument/2006/customXml" ds:itemID="{3955CAE4-1F94-4847-945C-9A6AFA1324CB}">
  <ds:schemaRefs/>
</ds:datastoreItem>
</file>

<file path=customXml/itemProps4.xml><?xml version="1.0" encoding="utf-8"?>
<ds:datastoreItem xmlns:ds="http://schemas.openxmlformats.org/officeDocument/2006/customXml" ds:itemID="{FE17DF4F-A566-4AD3-B0FE-B6F8B684C903}">
  <ds:schemaRefs/>
</ds:datastoreItem>
</file>

<file path=customXml/itemProps5.xml><?xml version="1.0" encoding="utf-8"?>
<ds:datastoreItem xmlns:ds="http://schemas.openxmlformats.org/officeDocument/2006/customXml" ds:itemID="{4C13E6DD-4D3B-4BA2-BAFC-DBF782724EA8}">
  <ds:schemaRefs/>
</ds:datastoreItem>
</file>

<file path=customXml/itemProps6.xml><?xml version="1.0" encoding="utf-8"?>
<ds:datastoreItem xmlns:ds="http://schemas.openxmlformats.org/officeDocument/2006/customXml" ds:itemID="{5C39B954-B3A7-4D4A-BA02-3771BE0FBF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Car_Dataset</vt:lpstr>
      <vt:lpstr>Pivot</vt:lpstr>
      <vt:lpstr>EnginePrice</vt:lpstr>
      <vt:lpstr>KPI</vt:lpstr>
      <vt:lpstr>BrandPrice</vt:lpstr>
      <vt:lpstr>Dasboard</vt:lpstr>
      <vt:lpstr>Cal_brand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 Putthewad</dc:creator>
  <cp:lastModifiedBy>Rushi Putthewad</cp:lastModifiedBy>
  <dcterms:created xsi:type="dcterms:W3CDTF">2025-11-10T09:04:28Z</dcterms:created>
  <dcterms:modified xsi:type="dcterms:W3CDTF">2025-11-13T11:32:41Z</dcterms:modified>
</cp:coreProperties>
</file>